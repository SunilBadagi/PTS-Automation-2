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Sunil\Softwares\Report Automation Tool\PTS-Automation\input\"/>
    </mc:Choice>
  </mc:AlternateContent>
  <xr:revisionPtr revIDLastSave="0" documentId="13_ncr:1_{55202AE4-3916-4069-BFF3-A96E6144D400}" xr6:coauthVersionLast="47" xr6:coauthVersionMax="47" xr10:uidLastSave="{00000000-0000-0000-0000-000000000000}"/>
  <bookViews>
    <workbookView xWindow="1520" yWindow="1520" windowWidth="14400" windowHeight="8250" xr2:uid="{59DC9B0E-C3C9-4BB8-AEDF-7F64135020F7}"/>
  </bookViews>
  <sheets>
    <sheet name="Main" sheetId="10" r:id="rId1"/>
    <sheet name="ScratchPad" sheetId="3" r:id="rId2"/>
    <sheet name="Summary" sheetId="4" r:id="rId3"/>
    <sheet name="Data" sheetId="5" r:id="rId4"/>
    <sheet name="Stacked Data" sheetId="6" r:id="rId5"/>
    <sheet name="SOSummary" sheetId="7" r:id="rId6"/>
    <sheet name="Revision" sheetId="8" r:id="rId7"/>
  </sheets>
  <functionGroups builtInGroupCount="19"/>
  <externalReferences>
    <externalReference r:id="rId8"/>
  </externalReferences>
  <definedNames>
    <definedName name="CurrentValues">[1]Sequence!$E$4:$J$4</definedName>
    <definedName name="DataInfo">'[1]Data Template'!$B$1:$B$4</definedName>
    <definedName name="DataStart">'[1]Data Template'!$A$7</definedName>
    <definedName name="FormattedData">[1]Summary!$N$2</definedName>
    <definedName name="LogStart">'[1]Data Template'!$A$150</definedName>
    <definedName name="Part">[1]Parts!$B$7:$B$47</definedName>
    <definedName name="Part_After">[1]Parts!$B$57</definedName>
    <definedName name="Part_Before">[1]Parts!$B$50</definedName>
    <definedName name="Part_Commands">[1]Parts!$G$6:$N$6</definedName>
    <definedName name="Part_Information">[1]Parts!$B$5:$F$5</definedName>
    <definedName name="PartCurrentValues">[1]Parts!$C$4:$N$4</definedName>
    <definedName name="PartData">[1]Parts!$G$5:$N$5</definedName>
    <definedName name="PMeasurands">[1]Helpers!$A$4:$A$10</definedName>
    <definedName name="PressureTypes">[1]Helpers!#REF!</definedName>
    <definedName name="Sequence">[1]Sequence!$C$7:$C$95</definedName>
    <definedName name="Sequence_After">[1]Sequence!$C$105</definedName>
    <definedName name="Sequence_Before">[1]Sequence!$C$98</definedName>
    <definedName name="Sequence_Commands">[1]Sequence!$E$6:$J$6</definedName>
    <definedName name="SequenceCal">[1]Sequence!$B$7:$B$95</definedName>
    <definedName name="SequenceTest">[1]Sequence!$K$7:$K$95</definedName>
    <definedName name="Summary_Data_Start">[1]Summary!$A$34</definedName>
    <definedName name="Summary_Display">[1]Summary!$G$29</definedName>
    <definedName name="Summary_New_Column">[1]Summary!$D$29</definedName>
    <definedName name="Summary_New_Row">[1]Summary!$B$29</definedName>
    <definedName name="Summary_Vert_Scale">[1]Summary!#REF!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O2515" i="3" l="1"/>
  <c r="AN2516" i="3"/>
  <c r="AN2515" i="3"/>
  <c r="AO2508" i="3"/>
  <c r="AN2509" i="3"/>
  <c r="AN2508" i="3"/>
  <c r="AO2501" i="3"/>
  <c r="AN2502" i="3"/>
  <c r="AN2501" i="3"/>
  <c r="AO2494" i="3"/>
  <c r="AN2495" i="3"/>
  <c r="AN2494" i="3"/>
  <c r="AO2487" i="3"/>
  <c r="AN2488" i="3"/>
  <c r="AN2487" i="3"/>
  <c r="AO2480" i="3"/>
  <c r="AN2481" i="3"/>
  <c r="AN2480" i="3"/>
  <c r="AO2473" i="3"/>
  <c r="AN2474" i="3"/>
  <c r="AN2473" i="3"/>
  <c r="AO2466" i="3"/>
  <c r="AN2467" i="3"/>
  <c r="AN2466" i="3"/>
  <c r="AO2459" i="3"/>
  <c r="AN2460" i="3"/>
  <c r="AN2459" i="3"/>
  <c r="AI2521" i="3"/>
  <c r="AH2521" i="3"/>
  <c r="AI2520" i="3"/>
  <c r="AH2520" i="3"/>
  <c r="AI2519" i="3"/>
  <c r="AH2519" i="3"/>
  <c r="AI2518" i="3"/>
  <c r="AH2518" i="3"/>
  <c r="AI2517" i="3"/>
  <c r="AH2517" i="3"/>
  <c r="AI2516" i="3"/>
  <c r="AH2516" i="3"/>
  <c r="AI2515" i="3"/>
  <c r="AH2515" i="3"/>
  <c r="AI2514" i="3"/>
  <c r="AH2514" i="3"/>
  <c r="AI2513" i="3"/>
  <c r="AH2513" i="3"/>
  <c r="AI2512" i="3"/>
  <c r="AH2512" i="3"/>
  <c r="AI2511" i="3"/>
  <c r="AH2511" i="3"/>
  <c r="AI2510" i="3"/>
  <c r="AH2510" i="3"/>
  <c r="AI2509" i="3"/>
  <c r="AH2509" i="3"/>
  <c r="AI2508" i="3"/>
  <c r="AH2508" i="3"/>
  <c r="AI2507" i="3"/>
  <c r="AH2507" i="3"/>
  <c r="AI2506" i="3"/>
  <c r="AH2506" i="3"/>
  <c r="AI2505" i="3"/>
  <c r="AH2505" i="3"/>
  <c r="AI2504" i="3"/>
  <c r="AH2504" i="3"/>
  <c r="AI2503" i="3"/>
  <c r="AH2503" i="3"/>
  <c r="AI2502" i="3"/>
  <c r="AH2502" i="3"/>
  <c r="AI2501" i="3"/>
  <c r="AH2501" i="3"/>
  <c r="AI2500" i="3"/>
  <c r="AH2500" i="3"/>
  <c r="AI2499" i="3"/>
  <c r="AH2499" i="3"/>
  <c r="AI2498" i="3"/>
  <c r="AH2498" i="3"/>
  <c r="AI2497" i="3"/>
  <c r="AH2497" i="3"/>
  <c r="AI2496" i="3"/>
  <c r="AH2496" i="3"/>
  <c r="AI2495" i="3"/>
  <c r="AH2495" i="3"/>
  <c r="AI2494" i="3"/>
  <c r="AH2494" i="3"/>
  <c r="AI2493" i="3"/>
  <c r="AH2493" i="3"/>
  <c r="AI2492" i="3"/>
  <c r="AH2492" i="3"/>
  <c r="AI2491" i="3"/>
  <c r="AH2491" i="3"/>
  <c r="AI2490" i="3"/>
  <c r="AH2490" i="3"/>
  <c r="AI2489" i="3"/>
  <c r="AH2489" i="3"/>
  <c r="AI2488" i="3"/>
  <c r="AH2488" i="3"/>
  <c r="AI2487" i="3"/>
  <c r="AH2487" i="3"/>
  <c r="AI2486" i="3"/>
  <c r="AH2486" i="3"/>
  <c r="AI2485" i="3"/>
  <c r="AH2485" i="3"/>
  <c r="AI2484" i="3"/>
  <c r="AH2484" i="3"/>
  <c r="AI2483" i="3"/>
  <c r="AH2483" i="3"/>
  <c r="AI2482" i="3"/>
  <c r="AH2482" i="3"/>
  <c r="AI2481" i="3"/>
  <c r="AH2481" i="3"/>
  <c r="AI2480" i="3"/>
  <c r="AH2480" i="3"/>
  <c r="AI2479" i="3"/>
  <c r="AH2479" i="3"/>
  <c r="AI2478" i="3"/>
  <c r="AH2478" i="3"/>
  <c r="AI2477" i="3"/>
  <c r="AH2477" i="3"/>
  <c r="AI2476" i="3"/>
  <c r="AH2476" i="3"/>
  <c r="AI2475" i="3"/>
  <c r="AH2475" i="3"/>
  <c r="AI2474" i="3"/>
  <c r="AH2474" i="3"/>
  <c r="AI2473" i="3"/>
  <c r="AH2473" i="3"/>
  <c r="AI2472" i="3"/>
  <c r="AH2472" i="3"/>
  <c r="AI2471" i="3"/>
  <c r="AH2471" i="3"/>
  <c r="AI2470" i="3"/>
  <c r="AH2470" i="3"/>
  <c r="AI2469" i="3"/>
  <c r="AH2469" i="3"/>
  <c r="AI2468" i="3"/>
  <c r="AH2468" i="3"/>
  <c r="AI2467" i="3"/>
  <c r="AH2467" i="3"/>
  <c r="AI2466" i="3"/>
  <c r="AH2466" i="3"/>
  <c r="AI2465" i="3"/>
  <c r="AH2465" i="3"/>
  <c r="AI2464" i="3"/>
  <c r="AH2464" i="3"/>
  <c r="AI2463" i="3"/>
  <c r="AH2463" i="3"/>
  <c r="AI2462" i="3"/>
  <c r="AH2462" i="3"/>
  <c r="AI2461" i="3"/>
  <c r="AH2461" i="3"/>
  <c r="AI2460" i="3"/>
  <c r="AH2460" i="3"/>
  <c r="AI2459" i="3"/>
  <c r="AH2459" i="3"/>
  <c r="AG2459" i="3"/>
  <c r="AO2452" i="3"/>
  <c r="AN2453" i="3"/>
  <c r="AN2452" i="3"/>
  <c r="AO2445" i="3"/>
  <c r="AN2446" i="3"/>
  <c r="AN2445" i="3"/>
  <c r="AO2438" i="3"/>
  <c r="AN2439" i="3"/>
  <c r="AN2438" i="3"/>
  <c r="AO2431" i="3"/>
  <c r="AN2432" i="3"/>
  <c r="AN2431" i="3"/>
  <c r="AO2424" i="3"/>
  <c r="AN2425" i="3"/>
  <c r="AN2424" i="3"/>
  <c r="AO2417" i="3"/>
  <c r="AN2418" i="3"/>
  <c r="AN2417" i="3"/>
  <c r="AO2410" i="3"/>
  <c r="AN2411" i="3"/>
  <c r="AN2410" i="3"/>
  <c r="AO2403" i="3"/>
  <c r="AN2404" i="3"/>
  <c r="AN2403" i="3"/>
  <c r="AO2396" i="3"/>
  <c r="AN2397" i="3"/>
  <c r="AN2396" i="3"/>
  <c r="AI2458" i="3"/>
  <c r="AH2458" i="3"/>
  <c r="AI2457" i="3"/>
  <c r="AH2457" i="3"/>
  <c r="AI2456" i="3"/>
  <c r="AH2456" i="3"/>
  <c r="AI2455" i="3"/>
  <c r="AH2455" i="3"/>
  <c r="AI2454" i="3"/>
  <c r="AH2454" i="3"/>
  <c r="AI2453" i="3"/>
  <c r="AH2453" i="3"/>
  <c r="AI2452" i="3"/>
  <c r="AH2452" i="3"/>
  <c r="AI2451" i="3"/>
  <c r="AH2451" i="3"/>
  <c r="AI2450" i="3"/>
  <c r="AH2450" i="3"/>
  <c r="AI2449" i="3"/>
  <c r="AH2449" i="3"/>
  <c r="AI2448" i="3"/>
  <c r="AH2448" i="3"/>
  <c r="AI2447" i="3"/>
  <c r="AH2447" i="3"/>
  <c r="AI2446" i="3"/>
  <c r="AH2446" i="3"/>
  <c r="AI2445" i="3"/>
  <c r="AH2445" i="3"/>
  <c r="AI2444" i="3"/>
  <c r="AH2444" i="3"/>
  <c r="AI2443" i="3"/>
  <c r="AH2443" i="3"/>
  <c r="AI2442" i="3"/>
  <c r="AH2442" i="3"/>
  <c r="AI2441" i="3"/>
  <c r="AH2441" i="3"/>
  <c r="AI2440" i="3"/>
  <c r="AH2440" i="3"/>
  <c r="AI2439" i="3"/>
  <c r="AH2439" i="3"/>
  <c r="AI2438" i="3"/>
  <c r="AH2438" i="3"/>
  <c r="AI2437" i="3"/>
  <c r="AH2437" i="3"/>
  <c r="AI2436" i="3"/>
  <c r="AH2436" i="3"/>
  <c r="AI2435" i="3"/>
  <c r="AH2435" i="3"/>
  <c r="AI2434" i="3"/>
  <c r="AH2434" i="3"/>
  <c r="AI2433" i="3"/>
  <c r="AH2433" i="3"/>
  <c r="AI2432" i="3"/>
  <c r="AH2432" i="3"/>
  <c r="AI2431" i="3"/>
  <c r="AH2431" i="3"/>
  <c r="AI2430" i="3"/>
  <c r="AH2430" i="3"/>
  <c r="AI2429" i="3"/>
  <c r="AH2429" i="3"/>
  <c r="AI2428" i="3"/>
  <c r="AH2428" i="3"/>
  <c r="AI2427" i="3"/>
  <c r="AH2427" i="3"/>
  <c r="AI2426" i="3"/>
  <c r="AH2426" i="3"/>
  <c r="AI2425" i="3"/>
  <c r="AH2425" i="3"/>
  <c r="AI2424" i="3"/>
  <c r="AH2424" i="3"/>
  <c r="AI2423" i="3"/>
  <c r="AH2423" i="3"/>
  <c r="AI2422" i="3"/>
  <c r="AH2422" i="3"/>
  <c r="AI2421" i="3"/>
  <c r="AH2421" i="3"/>
  <c r="AI2420" i="3"/>
  <c r="AH2420" i="3"/>
  <c r="AI2419" i="3"/>
  <c r="AH2419" i="3"/>
  <c r="AI2418" i="3"/>
  <c r="AH2418" i="3"/>
  <c r="AI2417" i="3"/>
  <c r="AH2417" i="3"/>
  <c r="AI2416" i="3"/>
  <c r="AH2416" i="3"/>
  <c r="AI2415" i="3"/>
  <c r="AH2415" i="3"/>
  <c r="AI2414" i="3"/>
  <c r="AH2414" i="3"/>
  <c r="AI2413" i="3"/>
  <c r="AH2413" i="3"/>
  <c r="AI2412" i="3"/>
  <c r="AH2412" i="3"/>
  <c r="AI2411" i="3"/>
  <c r="AH2411" i="3"/>
  <c r="AI2410" i="3"/>
  <c r="AH2410" i="3"/>
  <c r="AI2409" i="3"/>
  <c r="AH2409" i="3"/>
  <c r="AI2408" i="3"/>
  <c r="AH2408" i="3"/>
  <c r="AI2407" i="3"/>
  <c r="AH2407" i="3"/>
  <c r="AI2406" i="3"/>
  <c r="AH2406" i="3"/>
  <c r="AI2405" i="3"/>
  <c r="AH2405" i="3"/>
  <c r="AI2404" i="3"/>
  <c r="AH2404" i="3"/>
  <c r="AI2403" i="3"/>
  <c r="AH2403" i="3"/>
  <c r="AI2402" i="3"/>
  <c r="AH2402" i="3"/>
  <c r="AI2401" i="3"/>
  <c r="AH2401" i="3"/>
  <c r="AI2400" i="3"/>
  <c r="AH2400" i="3"/>
  <c r="AI2399" i="3"/>
  <c r="AH2399" i="3"/>
  <c r="AI2398" i="3"/>
  <c r="AH2398" i="3"/>
  <c r="AI2397" i="3"/>
  <c r="AH2397" i="3"/>
  <c r="AI2396" i="3"/>
  <c r="AH2396" i="3"/>
  <c r="AG2396" i="3"/>
  <c r="AO2389" i="3"/>
  <c r="AN2390" i="3"/>
  <c r="AN2389" i="3"/>
  <c r="AO2382" i="3"/>
  <c r="AN2383" i="3"/>
  <c r="AN2382" i="3"/>
  <c r="AO2375" i="3"/>
  <c r="AN2376" i="3"/>
  <c r="AN2375" i="3"/>
  <c r="AO2368" i="3"/>
  <c r="AN2369" i="3"/>
  <c r="AN2368" i="3"/>
  <c r="AO2361" i="3"/>
  <c r="AN2362" i="3"/>
  <c r="AN2361" i="3"/>
  <c r="AO2354" i="3"/>
  <c r="AN2355" i="3"/>
  <c r="AN2354" i="3"/>
  <c r="AO2347" i="3"/>
  <c r="AN2348" i="3"/>
  <c r="AN2347" i="3"/>
  <c r="AO2340" i="3"/>
  <c r="AN2341" i="3"/>
  <c r="AN2340" i="3"/>
  <c r="AO2333" i="3"/>
  <c r="AN2334" i="3"/>
  <c r="AN2333" i="3"/>
  <c r="AI2395" i="3"/>
  <c r="AH2395" i="3"/>
  <c r="AI2394" i="3"/>
  <c r="AH2394" i="3"/>
  <c r="AI2393" i="3"/>
  <c r="AH2393" i="3"/>
  <c r="AI2392" i="3"/>
  <c r="AH2392" i="3"/>
  <c r="AI2391" i="3"/>
  <c r="AH2391" i="3"/>
  <c r="AI2390" i="3"/>
  <c r="AH2390" i="3"/>
  <c r="AI2389" i="3"/>
  <c r="AH2389" i="3"/>
  <c r="AI2388" i="3"/>
  <c r="AH2388" i="3"/>
  <c r="AI2387" i="3"/>
  <c r="AH2387" i="3"/>
  <c r="AI2386" i="3"/>
  <c r="AH2386" i="3"/>
  <c r="AI2385" i="3"/>
  <c r="AH2385" i="3"/>
  <c r="AI2384" i="3"/>
  <c r="AH2384" i="3"/>
  <c r="AI2383" i="3"/>
  <c r="AH2383" i="3"/>
  <c r="AI2382" i="3"/>
  <c r="AH2382" i="3"/>
  <c r="AI2381" i="3"/>
  <c r="AH2381" i="3"/>
  <c r="AI2380" i="3"/>
  <c r="AH2380" i="3"/>
  <c r="AI2379" i="3"/>
  <c r="AH2379" i="3"/>
  <c r="AI2378" i="3"/>
  <c r="AH2378" i="3"/>
  <c r="AI2377" i="3"/>
  <c r="AH2377" i="3"/>
  <c r="AI2376" i="3"/>
  <c r="AH2376" i="3"/>
  <c r="AI2375" i="3"/>
  <c r="AH2375" i="3"/>
  <c r="AI2374" i="3"/>
  <c r="AH2374" i="3"/>
  <c r="AI2373" i="3"/>
  <c r="AH2373" i="3"/>
  <c r="AI2372" i="3"/>
  <c r="AH2372" i="3"/>
  <c r="AI2371" i="3"/>
  <c r="AH2371" i="3"/>
  <c r="AI2370" i="3"/>
  <c r="AH2370" i="3"/>
  <c r="AI2369" i="3"/>
  <c r="AH2369" i="3"/>
  <c r="AI2368" i="3"/>
  <c r="AH2368" i="3"/>
  <c r="AI2367" i="3"/>
  <c r="AH2367" i="3"/>
  <c r="AI2366" i="3"/>
  <c r="AH2366" i="3"/>
  <c r="AI2365" i="3"/>
  <c r="AH2365" i="3"/>
  <c r="AI2364" i="3"/>
  <c r="AH2364" i="3"/>
  <c r="AI2363" i="3"/>
  <c r="AH2363" i="3"/>
  <c r="AI2362" i="3"/>
  <c r="AH2362" i="3"/>
  <c r="AI2361" i="3"/>
  <c r="AH2361" i="3"/>
  <c r="AI2360" i="3"/>
  <c r="AH2360" i="3"/>
  <c r="AI2359" i="3"/>
  <c r="AH2359" i="3"/>
  <c r="AI2358" i="3"/>
  <c r="AH2358" i="3"/>
  <c r="AI2357" i="3"/>
  <c r="AH2357" i="3"/>
  <c r="AI2356" i="3"/>
  <c r="AH2356" i="3"/>
  <c r="AI2355" i="3"/>
  <c r="AH2355" i="3"/>
  <c r="AI2354" i="3"/>
  <c r="AH2354" i="3"/>
  <c r="AI2353" i="3"/>
  <c r="AH2353" i="3"/>
  <c r="AI2352" i="3"/>
  <c r="AH2352" i="3"/>
  <c r="AI2351" i="3"/>
  <c r="AH2351" i="3"/>
  <c r="AI2350" i="3"/>
  <c r="AH2350" i="3"/>
  <c r="AI2349" i="3"/>
  <c r="AH2349" i="3"/>
  <c r="AI2348" i="3"/>
  <c r="AH2348" i="3"/>
  <c r="AI2347" i="3"/>
  <c r="AH2347" i="3"/>
  <c r="AI2346" i="3"/>
  <c r="AH2346" i="3"/>
  <c r="AI2345" i="3"/>
  <c r="AH2345" i="3"/>
  <c r="AI2344" i="3"/>
  <c r="AH2344" i="3"/>
  <c r="AI2343" i="3"/>
  <c r="AH2343" i="3"/>
  <c r="AI2342" i="3"/>
  <c r="AH2342" i="3"/>
  <c r="AI2341" i="3"/>
  <c r="AH2341" i="3"/>
  <c r="AI2340" i="3"/>
  <c r="AH2340" i="3"/>
  <c r="AI2339" i="3"/>
  <c r="AH2339" i="3"/>
  <c r="AI2338" i="3"/>
  <c r="AH2338" i="3"/>
  <c r="AI2337" i="3"/>
  <c r="AH2337" i="3"/>
  <c r="AI2336" i="3"/>
  <c r="AH2336" i="3"/>
  <c r="AI2335" i="3"/>
  <c r="AH2335" i="3"/>
  <c r="AI2334" i="3"/>
  <c r="AH2334" i="3"/>
  <c r="AI2333" i="3"/>
  <c r="AH2333" i="3"/>
  <c r="AG2333" i="3"/>
  <c r="AO2326" i="3"/>
  <c r="AN2327" i="3"/>
  <c r="AN2326" i="3"/>
  <c r="AO2319" i="3"/>
  <c r="AN2320" i="3"/>
  <c r="AN2319" i="3"/>
  <c r="AO2312" i="3"/>
  <c r="AN2313" i="3"/>
  <c r="AN2312" i="3"/>
  <c r="AO2305" i="3"/>
  <c r="AN2306" i="3"/>
  <c r="AN2305" i="3"/>
  <c r="AO2298" i="3"/>
  <c r="AN2299" i="3"/>
  <c r="AN2298" i="3"/>
  <c r="AO2291" i="3"/>
  <c r="AN2292" i="3"/>
  <c r="AN2291" i="3"/>
  <c r="AO2284" i="3"/>
  <c r="AN2285" i="3"/>
  <c r="AN2284" i="3"/>
  <c r="AO2277" i="3"/>
  <c r="AN2278" i="3"/>
  <c r="AN2277" i="3"/>
  <c r="AO2270" i="3"/>
  <c r="AN2271" i="3"/>
  <c r="AN2270" i="3"/>
  <c r="AI2332" i="3"/>
  <c r="AH2332" i="3"/>
  <c r="AI2331" i="3"/>
  <c r="AH2331" i="3"/>
  <c r="AI2330" i="3"/>
  <c r="AH2330" i="3"/>
  <c r="AI2329" i="3"/>
  <c r="AH2329" i="3"/>
  <c r="AI2328" i="3"/>
  <c r="AH2328" i="3"/>
  <c r="AI2327" i="3"/>
  <c r="AH2327" i="3"/>
  <c r="AI2326" i="3"/>
  <c r="AH2326" i="3"/>
  <c r="AI2325" i="3"/>
  <c r="AH2325" i="3"/>
  <c r="AI2324" i="3"/>
  <c r="AH2324" i="3"/>
  <c r="AI2323" i="3"/>
  <c r="AH2323" i="3"/>
  <c r="AI2322" i="3"/>
  <c r="AH2322" i="3"/>
  <c r="AI2321" i="3"/>
  <c r="AH2321" i="3"/>
  <c r="AI2320" i="3"/>
  <c r="AH2320" i="3"/>
  <c r="AI2319" i="3"/>
  <c r="AH2319" i="3"/>
  <c r="AI2318" i="3"/>
  <c r="AH2318" i="3"/>
  <c r="AI2317" i="3"/>
  <c r="AH2317" i="3"/>
  <c r="AI2316" i="3"/>
  <c r="AH2316" i="3"/>
  <c r="AI2315" i="3"/>
  <c r="AH2315" i="3"/>
  <c r="AI2314" i="3"/>
  <c r="AH2314" i="3"/>
  <c r="AI2313" i="3"/>
  <c r="AH2313" i="3"/>
  <c r="AI2312" i="3"/>
  <c r="AH2312" i="3"/>
  <c r="AI2311" i="3"/>
  <c r="AH2311" i="3"/>
  <c r="AI2310" i="3"/>
  <c r="AH2310" i="3"/>
  <c r="AI2309" i="3"/>
  <c r="AH2309" i="3"/>
  <c r="AI2308" i="3"/>
  <c r="AH2308" i="3"/>
  <c r="AI2307" i="3"/>
  <c r="AH2307" i="3"/>
  <c r="AI2306" i="3"/>
  <c r="AH2306" i="3"/>
  <c r="AI2305" i="3"/>
  <c r="AH2305" i="3"/>
  <c r="AI2304" i="3"/>
  <c r="AH2304" i="3"/>
  <c r="AI2303" i="3"/>
  <c r="AH2303" i="3"/>
  <c r="AI2302" i="3"/>
  <c r="AH2302" i="3"/>
  <c r="AI2301" i="3"/>
  <c r="AH2301" i="3"/>
  <c r="AI2300" i="3"/>
  <c r="AH2300" i="3"/>
  <c r="AI2299" i="3"/>
  <c r="AH2299" i="3"/>
  <c r="AI2298" i="3"/>
  <c r="AH2298" i="3"/>
  <c r="AI2297" i="3"/>
  <c r="AH2297" i="3"/>
  <c r="AI2296" i="3"/>
  <c r="AH2296" i="3"/>
  <c r="AI2295" i="3"/>
  <c r="AH2295" i="3"/>
  <c r="AI2294" i="3"/>
  <c r="AH2294" i="3"/>
  <c r="AI2293" i="3"/>
  <c r="AH2293" i="3"/>
  <c r="AI2292" i="3"/>
  <c r="AH2292" i="3"/>
  <c r="AI2291" i="3"/>
  <c r="AH2291" i="3"/>
  <c r="AI2290" i="3"/>
  <c r="AH2290" i="3"/>
  <c r="AI2289" i="3"/>
  <c r="AH2289" i="3"/>
  <c r="AI2288" i="3"/>
  <c r="AH2288" i="3"/>
  <c r="AI2287" i="3"/>
  <c r="AH2287" i="3"/>
  <c r="AI2286" i="3"/>
  <c r="AH2286" i="3"/>
  <c r="AI2285" i="3"/>
  <c r="AH2285" i="3"/>
  <c r="AI2284" i="3"/>
  <c r="AH2284" i="3"/>
  <c r="AI2283" i="3"/>
  <c r="AH2283" i="3"/>
  <c r="AI2282" i="3"/>
  <c r="AH2282" i="3"/>
  <c r="AI2281" i="3"/>
  <c r="AH2281" i="3"/>
  <c r="AI2280" i="3"/>
  <c r="AH2280" i="3"/>
  <c r="AI2279" i="3"/>
  <c r="AH2279" i="3"/>
  <c r="AI2278" i="3"/>
  <c r="AH2278" i="3"/>
  <c r="AI2277" i="3"/>
  <c r="AH2277" i="3"/>
  <c r="AI2276" i="3"/>
  <c r="AH2276" i="3"/>
  <c r="AI2275" i="3"/>
  <c r="AH2275" i="3"/>
  <c r="AI2274" i="3"/>
  <c r="AH2274" i="3"/>
  <c r="AI2273" i="3"/>
  <c r="AH2273" i="3"/>
  <c r="AI2272" i="3"/>
  <c r="AH2272" i="3"/>
  <c r="AI2271" i="3"/>
  <c r="AH2271" i="3"/>
  <c r="AI2270" i="3"/>
  <c r="AH2270" i="3"/>
  <c r="AG2270" i="3"/>
  <c r="AO2263" i="3"/>
  <c r="AN2264" i="3"/>
  <c r="AN2263" i="3"/>
  <c r="AO2256" i="3"/>
  <c r="AN2257" i="3"/>
  <c r="AN2256" i="3"/>
  <c r="AO2249" i="3"/>
  <c r="AN2250" i="3"/>
  <c r="AN2249" i="3"/>
  <c r="AO2242" i="3"/>
  <c r="AN2243" i="3"/>
  <c r="AN2242" i="3"/>
  <c r="AO2235" i="3"/>
  <c r="AN2236" i="3"/>
  <c r="AN2235" i="3"/>
  <c r="AO2228" i="3"/>
  <c r="AN2229" i="3"/>
  <c r="AN2228" i="3"/>
  <c r="AO2221" i="3"/>
  <c r="AN2222" i="3"/>
  <c r="AN2221" i="3"/>
  <c r="AO2214" i="3"/>
  <c r="AN2215" i="3"/>
  <c r="AN2214" i="3"/>
  <c r="AO2207" i="3"/>
  <c r="AN2208" i="3"/>
  <c r="AN2207" i="3"/>
  <c r="AI2269" i="3"/>
  <c r="AH2269" i="3"/>
  <c r="AI2268" i="3"/>
  <c r="AH2268" i="3"/>
  <c r="AI2267" i="3"/>
  <c r="AH2267" i="3"/>
  <c r="AI2266" i="3"/>
  <c r="AH2266" i="3"/>
  <c r="AI2265" i="3"/>
  <c r="AH2265" i="3"/>
  <c r="AI2264" i="3"/>
  <c r="AH2264" i="3"/>
  <c r="AI2263" i="3"/>
  <c r="AH2263" i="3"/>
  <c r="AI2262" i="3"/>
  <c r="AH2262" i="3"/>
  <c r="AI2261" i="3"/>
  <c r="AH2261" i="3"/>
  <c r="AI2260" i="3"/>
  <c r="AH2260" i="3"/>
  <c r="AI2259" i="3"/>
  <c r="AH2259" i="3"/>
  <c r="AI2258" i="3"/>
  <c r="AH2258" i="3"/>
  <c r="AI2257" i="3"/>
  <c r="AH2257" i="3"/>
  <c r="AI2256" i="3"/>
  <c r="AH2256" i="3"/>
  <c r="AI2255" i="3"/>
  <c r="AH2255" i="3"/>
  <c r="AI2254" i="3"/>
  <c r="AH2254" i="3"/>
  <c r="AI2253" i="3"/>
  <c r="AH2253" i="3"/>
  <c r="AI2252" i="3"/>
  <c r="AH2252" i="3"/>
  <c r="AI2251" i="3"/>
  <c r="AH2251" i="3"/>
  <c r="AI2250" i="3"/>
  <c r="AH2250" i="3"/>
  <c r="AI2249" i="3"/>
  <c r="AH2249" i="3"/>
  <c r="AI2248" i="3"/>
  <c r="AH2248" i="3"/>
  <c r="AI2247" i="3"/>
  <c r="AH2247" i="3"/>
  <c r="AI2246" i="3"/>
  <c r="AH2246" i="3"/>
  <c r="AI2245" i="3"/>
  <c r="AH2245" i="3"/>
  <c r="AI2244" i="3"/>
  <c r="AH2244" i="3"/>
  <c r="AI2243" i="3"/>
  <c r="AH2243" i="3"/>
  <c r="AI2242" i="3"/>
  <c r="AH2242" i="3"/>
  <c r="AI2241" i="3"/>
  <c r="AH2241" i="3"/>
  <c r="AI2240" i="3"/>
  <c r="AH2240" i="3"/>
  <c r="AI2239" i="3"/>
  <c r="AH2239" i="3"/>
  <c r="AI2238" i="3"/>
  <c r="AH2238" i="3"/>
  <c r="AI2237" i="3"/>
  <c r="AH2237" i="3"/>
  <c r="AI2236" i="3"/>
  <c r="AH2236" i="3"/>
  <c r="AI2235" i="3"/>
  <c r="AH2235" i="3"/>
  <c r="AI2234" i="3"/>
  <c r="AH2234" i="3"/>
  <c r="AI2233" i="3"/>
  <c r="AH2233" i="3"/>
  <c r="AI2232" i="3"/>
  <c r="AH2232" i="3"/>
  <c r="AI2231" i="3"/>
  <c r="AH2231" i="3"/>
  <c r="AI2230" i="3"/>
  <c r="AH2230" i="3"/>
  <c r="AI2229" i="3"/>
  <c r="AH2229" i="3"/>
  <c r="AI2228" i="3"/>
  <c r="AH2228" i="3"/>
  <c r="AI2227" i="3"/>
  <c r="AH2227" i="3"/>
  <c r="AI2226" i="3"/>
  <c r="AH2226" i="3"/>
  <c r="AI2225" i="3"/>
  <c r="AH2225" i="3"/>
  <c r="AI2224" i="3"/>
  <c r="AH2224" i="3"/>
  <c r="AI2223" i="3"/>
  <c r="AH2223" i="3"/>
  <c r="AI2222" i="3"/>
  <c r="AH2222" i="3"/>
  <c r="AI2221" i="3"/>
  <c r="AH2221" i="3"/>
  <c r="AI2220" i="3"/>
  <c r="AH2220" i="3"/>
  <c r="AI2219" i="3"/>
  <c r="AH2219" i="3"/>
  <c r="AI2218" i="3"/>
  <c r="AH2218" i="3"/>
  <c r="AI2217" i="3"/>
  <c r="AH2217" i="3"/>
  <c r="AI2216" i="3"/>
  <c r="AH2216" i="3"/>
  <c r="AI2215" i="3"/>
  <c r="AH2215" i="3"/>
  <c r="AI2214" i="3"/>
  <c r="AH2214" i="3"/>
  <c r="AI2213" i="3"/>
  <c r="AH2213" i="3"/>
  <c r="AI2212" i="3"/>
  <c r="AH2212" i="3"/>
  <c r="AI2211" i="3"/>
  <c r="AH2211" i="3"/>
  <c r="AI2210" i="3"/>
  <c r="AH2210" i="3"/>
  <c r="AI2209" i="3"/>
  <c r="AH2209" i="3"/>
  <c r="AI2208" i="3"/>
  <c r="AH2208" i="3"/>
  <c r="AI2207" i="3"/>
  <c r="AH2207" i="3"/>
  <c r="AG2207" i="3"/>
  <c r="AO2200" i="3"/>
  <c r="AN2201" i="3"/>
  <c r="AN2200" i="3"/>
  <c r="AO2193" i="3"/>
  <c r="AN2194" i="3"/>
  <c r="AN2193" i="3"/>
  <c r="AO2186" i="3"/>
  <c r="AN2187" i="3"/>
  <c r="AN2186" i="3"/>
  <c r="AO2179" i="3"/>
  <c r="AN2180" i="3"/>
  <c r="AN2179" i="3"/>
  <c r="AO2172" i="3"/>
  <c r="AN2173" i="3"/>
  <c r="AN2172" i="3"/>
  <c r="AO2165" i="3"/>
  <c r="AN2166" i="3"/>
  <c r="AN2165" i="3"/>
  <c r="AO2158" i="3"/>
  <c r="AN2159" i="3"/>
  <c r="AN2158" i="3"/>
  <c r="AO2151" i="3"/>
  <c r="AN2152" i="3"/>
  <c r="AN2151" i="3"/>
  <c r="AO2144" i="3"/>
  <c r="AN2145" i="3"/>
  <c r="AN2144" i="3"/>
  <c r="AI2206" i="3"/>
  <c r="AH2206" i="3"/>
  <c r="AI2205" i="3"/>
  <c r="AH2205" i="3"/>
  <c r="AI2204" i="3"/>
  <c r="AH2204" i="3"/>
  <c r="AI2203" i="3"/>
  <c r="AH2203" i="3"/>
  <c r="AI2202" i="3"/>
  <c r="AH2202" i="3"/>
  <c r="AI2201" i="3"/>
  <c r="AH2201" i="3"/>
  <c r="AI2200" i="3"/>
  <c r="AH2200" i="3"/>
  <c r="AI2199" i="3"/>
  <c r="AH2199" i="3"/>
  <c r="AI2198" i="3"/>
  <c r="AH2198" i="3"/>
  <c r="AI2197" i="3"/>
  <c r="AH2197" i="3"/>
  <c r="AI2196" i="3"/>
  <c r="AH2196" i="3"/>
  <c r="AI2195" i="3"/>
  <c r="AH2195" i="3"/>
  <c r="AI2194" i="3"/>
  <c r="AH2194" i="3"/>
  <c r="AI2193" i="3"/>
  <c r="AH2193" i="3"/>
  <c r="AI2192" i="3"/>
  <c r="AH2192" i="3"/>
  <c r="AI2191" i="3"/>
  <c r="AH2191" i="3"/>
  <c r="AI2190" i="3"/>
  <c r="AH2190" i="3"/>
  <c r="AI2189" i="3"/>
  <c r="AH2189" i="3"/>
  <c r="AI2188" i="3"/>
  <c r="AH2188" i="3"/>
  <c r="AI2187" i="3"/>
  <c r="AH2187" i="3"/>
  <c r="AI2186" i="3"/>
  <c r="AH2186" i="3"/>
  <c r="AI2185" i="3"/>
  <c r="AH2185" i="3"/>
  <c r="AI2184" i="3"/>
  <c r="AH2184" i="3"/>
  <c r="AI2183" i="3"/>
  <c r="AH2183" i="3"/>
  <c r="AI2182" i="3"/>
  <c r="AH2182" i="3"/>
  <c r="AI2181" i="3"/>
  <c r="AH2181" i="3"/>
  <c r="AI2180" i="3"/>
  <c r="AH2180" i="3"/>
  <c r="AI2179" i="3"/>
  <c r="AH2179" i="3"/>
  <c r="AI2178" i="3"/>
  <c r="AH2178" i="3"/>
  <c r="AI2177" i="3"/>
  <c r="AH2177" i="3"/>
  <c r="AI2176" i="3"/>
  <c r="AH2176" i="3"/>
  <c r="AI2175" i="3"/>
  <c r="AH2175" i="3"/>
  <c r="AI2174" i="3"/>
  <c r="AH2174" i="3"/>
  <c r="AI2173" i="3"/>
  <c r="AH2173" i="3"/>
  <c r="AI2172" i="3"/>
  <c r="AH2172" i="3"/>
  <c r="AI2171" i="3"/>
  <c r="AH2171" i="3"/>
  <c r="AI2170" i="3"/>
  <c r="AH2170" i="3"/>
  <c r="AI2169" i="3"/>
  <c r="AH2169" i="3"/>
  <c r="AI2168" i="3"/>
  <c r="AH2168" i="3"/>
  <c r="AI2167" i="3"/>
  <c r="AH2167" i="3"/>
  <c r="AI2166" i="3"/>
  <c r="AH2166" i="3"/>
  <c r="AI2165" i="3"/>
  <c r="AH2165" i="3"/>
  <c r="AI2164" i="3"/>
  <c r="AH2164" i="3"/>
  <c r="AI2163" i="3"/>
  <c r="AH2163" i="3"/>
  <c r="AI2162" i="3"/>
  <c r="AH2162" i="3"/>
  <c r="AI2161" i="3"/>
  <c r="AH2161" i="3"/>
  <c r="AI2160" i="3"/>
  <c r="AH2160" i="3"/>
  <c r="AI2159" i="3"/>
  <c r="AH2159" i="3"/>
  <c r="AI2158" i="3"/>
  <c r="AH2158" i="3"/>
  <c r="AI2157" i="3"/>
  <c r="AH2157" i="3"/>
  <c r="AI2156" i="3"/>
  <c r="AH2156" i="3"/>
  <c r="AI2155" i="3"/>
  <c r="AH2155" i="3"/>
  <c r="AI2154" i="3"/>
  <c r="AH2154" i="3"/>
  <c r="AI2153" i="3"/>
  <c r="AH2153" i="3"/>
  <c r="AI2152" i="3"/>
  <c r="AH2152" i="3"/>
  <c r="AI2151" i="3"/>
  <c r="AH2151" i="3"/>
  <c r="AI2150" i="3"/>
  <c r="AH2150" i="3"/>
  <c r="AI2149" i="3"/>
  <c r="AH2149" i="3"/>
  <c r="AI2148" i="3"/>
  <c r="AH2148" i="3"/>
  <c r="AI2147" i="3"/>
  <c r="AH2147" i="3"/>
  <c r="AI2146" i="3"/>
  <c r="AH2146" i="3"/>
  <c r="AI2145" i="3"/>
  <c r="AH2145" i="3"/>
  <c r="AI2144" i="3"/>
  <c r="AH2144" i="3"/>
  <c r="AG2144" i="3"/>
  <c r="AO2137" i="3"/>
  <c r="AN2138" i="3"/>
  <c r="AN2137" i="3"/>
  <c r="AO2130" i="3"/>
  <c r="AN2131" i="3"/>
  <c r="AN2130" i="3"/>
  <c r="AO2123" i="3"/>
  <c r="AN2124" i="3"/>
  <c r="AN2123" i="3"/>
  <c r="AO2116" i="3"/>
  <c r="AN2117" i="3"/>
  <c r="AN2116" i="3"/>
  <c r="AO2109" i="3"/>
  <c r="AN2110" i="3"/>
  <c r="AN2109" i="3"/>
  <c r="AO2102" i="3"/>
  <c r="AN2103" i="3"/>
  <c r="AN2102" i="3"/>
  <c r="AO2095" i="3"/>
  <c r="AN2096" i="3"/>
  <c r="AN2095" i="3"/>
  <c r="AO2088" i="3"/>
  <c r="AN2089" i="3"/>
  <c r="AN2088" i="3"/>
  <c r="AO2081" i="3"/>
  <c r="AN2082" i="3"/>
  <c r="AN2081" i="3"/>
  <c r="AI2143" i="3"/>
  <c r="AH2143" i="3"/>
  <c r="AI2142" i="3"/>
  <c r="AH2142" i="3"/>
  <c r="AI2141" i="3"/>
  <c r="AH2141" i="3"/>
  <c r="AI2140" i="3"/>
  <c r="AH2140" i="3"/>
  <c r="AI2139" i="3"/>
  <c r="AH2139" i="3"/>
  <c r="AI2138" i="3"/>
  <c r="AH2138" i="3"/>
  <c r="AI2137" i="3"/>
  <c r="AH2137" i="3"/>
  <c r="AI2136" i="3"/>
  <c r="AH2136" i="3"/>
  <c r="AI2135" i="3"/>
  <c r="AH2135" i="3"/>
  <c r="AI2134" i="3"/>
  <c r="AH2134" i="3"/>
  <c r="AI2133" i="3"/>
  <c r="AH2133" i="3"/>
  <c r="AI2132" i="3"/>
  <c r="AH2132" i="3"/>
  <c r="AI2131" i="3"/>
  <c r="AH2131" i="3"/>
  <c r="AI2130" i="3"/>
  <c r="AH2130" i="3"/>
  <c r="AI2129" i="3"/>
  <c r="AH2129" i="3"/>
  <c r="AI2128" i="3"/>
  <c r="AH2128" i="3"/>
  <c r="AI2127" i="3"/>
  <c r="AH2127" i="3"/>
  <c r="AI2126" i="3"/>
  <c r="AH2126" i="3"/>
  <c r="AI2125" i="3"/>
  <c r="AH2125" i="3"/>
  <c r="AI2124" i="3"/>
  <c r="AH2124" i="3"/>
  <c r="AI2123" i="3"/>
  <c r="AH2123" i="3"/>
  <c r="AI2122" i="3"/>
  <c r="AH2122" i="3"/>
  <c r="AI2121" i="3"/>
  <c r="AH2121" i="3"/>
  <c r="AI2120" i="3"/>
  <c r="AH2120" i="3"/>
  <c r="AI2119" i="3"/>
  <c r="AH2119" i="3"/>
  <c r="AI2118" i="3"/>
  <c r="AH2118" i="3"/>
  <c r="AI2117" i="3"/>
  <c r="AH2117" i="3"/>
  <c r="AI2116" i="3"/>
  <c r="AH2116" i="3"/>
  <c r="AI2115" i="3"/>
  <c r="AH2115" i="3"/>
  <c r="AI2114" i="3"/>
  <c r="AH2114" i="3"/>
  <c r="AI2113" i="3"/>
  <c r="AH2113" i="3"/>
  <c r="AI2112" i="3"/>
  <c r="AH2112" i="3"/>
  <c r="AI2111" i="3"/>
  <c r="AH2111" i="3"/>
  <c r="AI2110" i="3"/>
  <c r="AH2110" i="3"/>
  <c r="AI2109" i="3"/>
  <c r="AH2109" i="3"/>
  <c r="AI2108" i="3"/>
  <c r="AH2108" i="3"/>
  <c r="AI2107" i="3"/>
  <c r="AH2107" i="3"/>
  <c r="AI2106" i="3"/>
  <c r="AH2106" i="3"/>
  <c r="AI2105" i="3"/>
  <c r="AH2105" i="3"/>
  <c r="AI2104" i="3"/>
  <c r="AH2104" i="3"/>
  <c r="AI2103" i="3"/>
  <c r="AH2103" i="3"/>
  <c r="AI2102" i="3"/>
  <c r="AH2102" i="3"/>
  <c r="AI2101" i="3"/>
  <c r="AH2101" i="3"/>
  <c r="AI2100" i="3"/>
  <c r="AH2100" i="3"/>
  <c r="AI2099" i="3"/>
  <c r="AH2099" i="3"/>
  <c r="AI2098" i="3"/>
  <c r="AH2098" i="3"/>
  <c r="AI2097" i="3"/>
  <c r="AH2097" i="3"/>
  <c r="AI2096" i="3"/>
  <c r="AH2096" i="3"/>
  <c r="AI2095" i="3"/>
  <c r="AH2095" i="3"/>
  <c r="AI2094" i="3"/>
  <c r="AH2094" i="3"/>
  <c r="AI2093" i="3"/>
  <c r="AH2093" i="3"/>
  <c r="AI2092" i="3"/>
  <c r="AH2092" i="3"/>
  <c r="AI2091" i="3"/>
  <c r="AH2091" i="3"/>
  <c r="AI2090" i="3"/>
  <c r="AH2090" i="3"/>
  <c r="AI2089" i="3"/>
  <c r="AH2089" i="3"/>
  <c r="AI2088" i="3"/>
  <c r="AH2088" i="3"/>
  <c r="AI2087" i="3"/>
  <c r="AH2087" i="3"/>
  <c r="AI2086" i="3"/>
  <c r="AH2086" i="3"/>
  <c r="AI2085" i="3"/>
  <c r="AH2085" i="3"/>
  <c r="AI2084" i="3"/>
  <c r="AH2084" i="3"/>
  <c r="AI2083" i="3"/>
  <c r="AH2083" i="3"/>
  <c r="AI2082" i="3"/>
  <c r="AH2082" i="3"/>
  <c r="AI2081" i="3"/>
  <c r="AH2081" i="3"/>
  <c r="AG2081" i="3"/>
  <c r="AO2074" i="3"/>
  <c r="AN2075" i="3"/>
  <c r="AN2074" i="3"/>
  <c r="AO2067" i="3"/>
  <c r="AN2068" i="3"/>
  <c r="AN2067" i="3"/>
  <c r="AO2060" i="3"/>
  <c r="AN2061" i="3"/>
  <c r="AN2060" i="3"/>
  <c r="AO2053" i="3"/>
  <c r="AN2054" i="3"/>
  <c r="AN2053" i="3"/>
  <c r="AO2046" i="3"/>
  <c r="AN2047" i="3"/>
  <c r="AN2046" i="3"/>
  <c r="AO2039" i="3"/>
  <c r="AN2040" i="3"/>
  <c r="AN2039" i="3"/>
  <c r="AO2032" i="3"/>
  <c r="AN2033" i="3"/>
  <c r="AN2032" i="3"/>
  <c r="AO2025" i="3"/>
  <c r="AN2026" i="3"/>
  <c r="AN2025" i="3"/>
  <c r="AO2018" i="3"/>
  <c r="AN2019" i="3"/>
  <c r="AN2018" i="3"/>
  <c r="AI2080" i="3"/>
  <c r="AH2080" i="3"/>
  <c r="AI2079" i="3"/>
  <c r="AH2079" i="3"/>
  <c r="AI2078" i="3"/>
  <c r="AH2078" i="3"/>
  <c r="AI2077" i="3"/>
  <c r="AH2077" i="3"/>
  <c r="AI2076" i="3"/>
  <c r="AH2076" i="3"/>
  <c r="AI2075" i="3"/>
  <c r="AH2075" i="3"/>
  <c r="AI2074" i="3"/>
  <c r="AH2074" i="3"/>
  <c r="AI2073" i="3"/>
  <c r="AH2073" i="3"/>
  <c r="AI2072" i="3"/>
  <c r="AH2072" i="3"/>
  <c r="AI2071" i="3"/>
  <c r="AH2071" i="3"/>
  <c r="AI2070" i="3"/>
  <c r="AH2070" i="3"/>
  <c r="AI2069" i="3"/>
  <c r="AH2069" i="3"/>
  <c r="AI2068" i="3"/>
  <c r="AH2068" i="3"/>
  <c r="AI2067" i="3"/>
  <c r="AH2067" i="3"/>
  <c r="AI2066" i="3"/>
  <c r="AH2066" i="3"/>
  <c r="AI2065" i="3"/>
  <c r="AH2065" i="3"/>
  <c r="AI2064" i="3"/>
  <c r="AH2064" i="3"/>
  <c r="AI2063" i="3"/>
  <c r="AH2063" i="3"/>
  <c r="AI2062" i="3"/>
  <c r="AH2062" i="3"/>
  <c r="AI2061" i="3"/>
  <c r="AH2061" i="3"/>
  <c r="AI2060" i="3"/>
  <c r="AH2060" i="3"/>
  <c r="AI2059" i="3"/>
  <c r="AH2059" i="3"/>
  <c r="AI2058" i="3"/>
  <c r="AH2058" i="3"/>
  <c r="AI2057" i="3"/>
  <c r="AH2057" i="3"/>
  <c r="AI2056" i="3"/>
  <c r="AH2056" i="3"/>
  <c r="AI2055" i="3"/>
  <c r="AH2055" i="3"/>
  <c r="AI2054" i="3"/>
  <c r="AH2054" i="3"/>
  <c r="AI2053" i="3"/>
  <c r="AH2053" i="3"/>
  <c r="AI2052" i="3"/>
  <c r="AH2052" i="3"/>
  <c r="AI2051" i="3"/>
  <c r="AH2051" i="3"/>
  <c r="AI2050" i="3"/>
  <c r="AH2050" i="3"/>
  <c r="AI2049" i="3"/>
  <c r="AH2049" i="3"/>
  <c r="AI2048" i="3"/>
  <c r="AH2048" i="3"/>
  <c r="AI2047" i="3"/>
  <c r="AH2047" i="3"/>
  <c r="AI2046" i="3"/>
  <c r="AH2046" i="3"/>
  <c r="AI2045" i="3"/>
  <c r="AH2045" i="3"/>
  <c r="AI2044" i="3"/>
  <c r="AH2044" i="3"/>
  <c r="AI2043" i="3"/>
  <c r="AH2043" i="3"/>
  <c r="AI2042" i="3"/>
  <c r="AH2042" i="3"/>
  <c r="AI2041" i="3"/>
  <c r="AH2041" i="3"/>
  <c r="AI2040" i="3"/>
  <c r="AH2040" i="3"/>
  <c r="AI2039" i="3"/>
  <c r="AH2039" i="3"/>
  <c r="AI2038" i="3"/>
  <c r="AH2038" i="3"/>
  <c r="AI2037" i="3"/>
  <c r="AH2037" i="3"/>
  <c r="AI2036" i="3"/>
  <c r="AH2036" i="3"/>
  <c r="AI2035" i="3"/>
  <c r="AH2035" i="3"/>
  <c r="AI2034" i="3"/>
  <c r="AH2034" i="3"/>
  <c r="AI2033" i="3"/>
  <c r="AH2033" i="3"/>
  <c r="AI2032" i="3"/>
  <c r="AH2032" i="3"/>
  <c r="AI2031" i="3"/>
  <c r="AH2031" i="3"/>
  <c r="AI2030" i="3"/>
  <c r="AH2030" i="3"/>
  <c r="AI2029" i="3"/>
  <c r="AH2029" i="3"/>
  <c r="AI2028" i="3"/>
  <c r="AH2028" i="3"/>
  <c r="AI2027" i="3"/>
  <c r="AH2027" i="3"/>
  <c r="AI2026" i="3"/>
  <c r="AH2026" i="3"/>
  <c r="AI2025" i="3"/>
  <c r="AH2025" i="3"/>
  <c r="AI2024" i="3"/>
  <c r="AH2024" i="3"/>
  <c r="AI2023" i="3"/>
  <c r="AH2023" i="3"/>
  <c r="AI2022" i="3"/>
  <c r="AH2022" i="3"/>
  <c r="AI2021" i="3"/>
  <c r="AH2021" i="3"/>
  <c r="AI2020" i="3"/>
  <c r="AH2020" i="3"/>
  <c r="AI2019" i="3"/>
  <c r="AH2019" i="3"/>
  <c r="AI2018" i="3"/>
  <c r="AH2018" i="3"/>
  <c r="AG2018" i="3"/>
  <c r="AO2011" i="3"/>
  <c r="AN2012" i="3"/>
  <c r="AN2011" i="3"/>
  <c r="AO2004" i="3"/>
  <c r="AN2005" i="3"/>
  <c r="AN2004" i="3"/>
  <c r="AO1997" i="3"/>
  <c r="AN1998" i="3"/>
  <c r="AN1997" i="3"/>
  <c r="AO1990" i="3"/>
  <c r="AN1991" i="3"/>
  <c r="AN1990" i="3"/>
  <c r="AO1983" i="3"/>
  <c r="AN1984" i="3"/>
  <c r="AN1983" i="3"/>
  <c r="AO1976" i="3"/>
  <c r="AN1977" i="3"/>
  <c r="AN1976" i="3"/>
  <c r="AO1969" i="3"/>
  <c r="AN1970" i="3"/>
  <c r="AN1969" i="3"/>
  <c r="AO1962" i="3"/>
  <c r="AN1963" i="3"/>
  <c r="AN1962" i="3"/>
  <c r="AO1955" i="3"/>
  <c r="AN1956" i="3"/>
  <c r="AN1955" i="3"/>
  <c r="AI2017" i="3"/>
  <c r="AH2017" i="3"/>
  <c r="AI2016" i="3"/>
  <c r="AH2016" i="3"/>
  <c r="AI2015" i="3"/>
  <c r="AH2015" i="3"/>
  <c r="AI2014" i="3"/>
  <c r="AH2014" i="3"/>
  <c r="AI2013" i="3"/>
  <c r="AH2013" i="3"/>
  <c r="AI2012" i="3"/>
  <c r="AH2012" i="3"/>
  <c r="AI2011" i="3"/>
  <c r="AH2011" i="3"/>
  <c r="AI2010" i="3"/>
  <c r="AH2010" i="3"/>
  <c r="AI2009" i="3"/>
  <c r="AH2009" i="3"/>
  <c r="AI2008" i="3"/>
  <c r="AH2008" i="3"/>
  <c r="AI2007" i="3"/>
  <c r="AH2007" i="3"/>
  <c r="AI2006" i="3"/>
  <c r="AH2006" i="3"/>
  <c r="AI2005" i="3"/>
  <c r="AH2005" i="3"/>
  <c r="AI2004" i="3"/>
  <c r="AH2004" i="3"/>
  <c r="AI2003" i="3"/>
  <c r="AH2003" i="3"/>
  <c r="AI2002" i="3"/>
  <c r="AH2002" i="3"/>
  <c r="AI2001" i="3"/>
  <c r="AH2001" i="3"/>
  <c r="AI2000" i="3"/>
  <c r="AH2000" i="3"/>
  <c r="AI1999" i="3"/>
  <c r="AH1999" i="3"/>
  <c r="AI1998" i="3"/>
  <c r="AH1998" i="3"/>
  <c r="AI1997" i="3"/>
  <c r="AH1997" i="3"/>
  <c r="AI1996" i="3"/>
  <c r="AH1996" i="3"/>
  <c r="AI1995" i="3"/>
  <c r="AH1995" i="3"/>
  <c r="AI1994" i="3"/>
  <c r="AH1994" i="3"/>
  <c r="AI1993" i="3"/>
  <c r="AH1993" i="3"/>
  <c r="AI1992" i="3"/>
  <c r="AH1992" i="3"/>
  <c r="AI1991" i="3"/>
  <c r="AH1991" i="3"/>
  <c r="AI1990" i="3"/>
  <c r="AH1990" i="3"/>
  <c r="AI1989" i="3"/>
  <c r="AH1989" i="3"/>
  <c r="AI1988" i="3"/>
  <c r="AH1988" i="3"/>
  <c r="AI1987" i="3"/>
  <c r="AH1987" i="3"/>
  <c r="AI1986" i="3"/>
  <c r="AH1986" i="3"/>
  <c r="AI1985" i="3"/>
  <c r="AH1985" i="3"/>
  <c r="AI1984" i="3"/>
  <c r="AH1984" i="3"/>
  <c r="AI1983" i="3"/>
  <c r="AH1983" i="3"/>
  <c r="AI1982" i="3"/>
  <c r="AH1982" i="3"/>
  <c r="AI1981" i="3"/>
  <c r="AH1981" i="3"/>
  <c r="AI1980" i="3"/>
  <c r="AH1980" i="3"/>
  <c r="AI1979" i="3"/>
  <c r="AH1979" i="3"/>
  <c r="AI1978" i="3"/>
  <c r="AH1978" i="3"/>
  <c r="AI1977" i="3"/>
  <c r="AH1977" i="3"/>
  <c r="AI1976" i="3"/>
  <c r="AH1976" i="3"/>
  <c r="AI1975" i="3"/>
  <c r="AH1975" i="3"/>
  <c r="AI1974" i="3"/>
  <c r="AH1974" i="3"/>
  <c r="AI1973" i="3"/>
  <c r="AH1973" i="3"/>
  <c r="AI1972" i="3"/>
  <c r="AH1972" i="3"/>
  <c r="AI1971" i="3"/>
  <c r="AH1971" i="3"/>
  <c r="AI1970" i="3"/>
  <c r="AH1970" i="3"/>
  <c r="AI1969" i="3"/>
  <c r="AH1969" i="3"/>
  <c r="AI1968" i="3"/>
  <c r="AH1968" i="3"/>
  <c r="AI1967" i="3"/>
  <c r="AH1967" i="3"/>
  <c r="AI1966" i="3"/>
  <c r="AH1966" i="3"/>
  <c r="AI1965" i="3"/>
  <c r="AH1965" i="3"/>
  <c r="AI1964" i="3"/>
  <c r="AH1964" i="3"/>
  <c r="AI1963" i="3"/>
  <c r="AH1963" i="3"/>
  <c r="AI1962" i="3"/>
  <c r="AH1962" i="3"/>
  <c r="AI1961" i="3"/>
  <c r="AH1961" i="3"/>
  <c r="AI1960" i="3"/>
  <c r="AH1960" i="3"/>
  <c r="AI1959" i="3"/>
  <c r="AH1959" i="3"/>
  <c r="AI1958" i="3"/>
  <c r="AH1958" i="3"/>
  <c r="AI1957" i="3"/>
  <c r="AH1957" i="3"/>
  <c r="AI1956" i="3"/>
  <c r="AH1956" i="3"/>
  <c r="AI1955" i="3"/>
  <c r="AH1955" i="3"/>
  <c r="AG1955" i="3"/>
  <c r="AO1948" i="3"/>
  <c r="AN1949" i="3"/>
  <c r="AN1948" i="3"/>
  <c r="AO1941" i="3"/>
  <c r="AN1942" i="3"/>
  <c r="AN1941" i="3"/>
  <c r="AO1934" i="3"/>
  <c r="AN1935" i="3"/>
  <c r="AN1934" i="3"/>
  <c r="AO1927" i="3"/>
  <c r="AN1928" i="3"/>
  <c r="AN1927" i="3"/>
  <c r="AO1920" i="3"/>
  <c r="AN1921" i="3"/>
  <c r="AN1920" i="3"/>
  <c r="AO1913" i="3"/>
  <c r="AN1914" i="3"/>
  <c r="AN1913" i="3"/>
  <c r="AO1906" i="3"/>
  <c r="AN1907" i="3"/>
  <c r="AN1906" i="3"/>
  <c r="AO1899" i="3"/>
  <c r="AN1900" i="3"/>
  <c r="AN1899" i="3"/>
  <c r="AO1892" i="3"/>
  <c r="AN1893" i="3"/>
  <c r="AN1892" i="3"/>
  <c r="AI1954" i="3"/>
  <c r="AH1954" i="3"/>
  <c r="AI1953" i="3"/>
  <c r="AH1953" i="3"/>
  <c r="AI1952" i="3"/>
  <c r="AH1952" i="3"/>
  <c r="AI1951" i="3"/>
  <c r="AH1951" i="3"/>
  <c r="AI1950" i="3"/>
  <c r="AH1950" i="3"/>
  <c r="AI1949" i="3"/>
  <c r="AH1949" i="3"/>
  <c r="AI1948" i="3"/>
  <c r="AH1948" i="3"/>
  <c r="AI1947" i="3"/>
  <c r="AH1947" i="3"/>
  <c r="AI1946" i="3"/>
  <c r="AH1946" i="3"/>
  <c r="AI1945" i="3"/>
  <c r="AH1945" i="3"/>
  <c r="AI1944" i="3"/>
  <c r="AH1944" i="3"/>
  <c r="AI1943" i="3"/>
  <c r="AH1943" i="3"/>
  <c r="AI1942" i="3"/>
  <c r="AH1942" i="3"/>
  <c r="AI1941" i="3"/>
  <c r="AH1941" i="3"/>
  <c r="AI1940" i="3"/>
  <c r="AH1940" i="3"/>
  <c r="AI1939" i="3"/>
  <c r="AH1939" i="3"/>
  <c r="AI1938" i="3"/>
  <c r="AH1938" i="3"/>
  <c r="AI1937" i="3"/>
  <c r="AH1937" i="3"/>
  <c r="AI1936" i="3"/>
  <c r="AH1936" i="3"/>
  <c r="AI1935" i="3"/>
  <c r="AH1935" i="3"/>
  <c r="AI1934" i="3"/>
  <c r="AH1934" i="3"/>
  <c r="AI1933" i="3"/>
  <c r="AH1933" i="3"/>
  <c r="AI1932" i="3"/>
  <c r="AH1932" i="3"/>
  <c r="AI1931" i="3"/>
  <c r="AH1931" i="3"/>
  <c r="AI1930" i="3"/>
  <c r="AH1930" i="3"/>
  <c r="AI1929" i="3"/>
  <c r="AH1929" i="3"/>
  <c r="AI1928" i="3"/>
  <c r="AH1928" i="3"/>
  <c r="AI1927" i="3"/>
  <c r="AH1927" i="3"/>
  <c r="AI1926" i="3"/>
  <c r="AH1926" i="3"/>
  <c r="AI1925" i="3"/>
  <c r="AH1925" i="3"/>
  <c r="AI1924" i="3"/>
  <c r="AH1924" i="3"/>
  <c r="AI1923" i="3"/>
  <c r="AH1923" i="3"/>
  <c r="AI1922" i="3"/>
  <c r="AH1922" i="3"/>
  <c r="AI1921" i="3"/>
  <c r="AH1921" i="3"/>
  <c r="AI1920" i="3"/>
  <c r="AH1920" i="3"/>
  <c r="AI1919" i="3"/>
  <c r="AH1919" i="3"/>
  <c r="AI1918" i="3"/>
  <c r="AH1918" i="3"/>
  <c r="AI1917" i="3"/>
  <c r="AH1917" i="3"/>
  <c r="AI1916" i="3"/>
  <c r="AH1916" i="3"/>
  <c r="AI1915" i="3"/>
  <c r="AH1915" i="3"/>
  <c r="AI1914" i="3"/>
  <c r="AH1914" i="3"/>
  <c r="AI1913" i="3"/>
  <c r="AH1913" i="3"/>
  <c r="AI1912" i="3"/>
  <c r="AH1912" i="3"/>
  <c r="AI1911" i="3"/>
  <c r="AH1911" i="3"/>
  <c r="AI1910" i="3"/>
  <c r="AH1910" i="3"/>
  <c r="AI1909" i="3"/>
  <c r="AH1909" i="3"/>
  <c r="AI1908" i="3"/>
  <c r="AH1908" i="3"/>
  <c r="AI1907" i="3"/>
  <c r="AH1907" i="3"/>
  <c r="AI1906" i="3"/>
  <c r="AH1906" i="3"/>
  <c r="AI1905" i="3"/>
  <c r="AH1905" i="3"/>
  <c r="AI1904" i="3"/>
  <c r="AH1904" i="3"/>
  <c r="AI1903" i="3"/>
  <c r="AH1903" i="3"/>
  <c r="AI1902" i="3"/>
  <c r="AH1902" i="3"/>
  <c r="AI1901" i="3"/>
  <c r="AH1901" i="3"/>
  <c r="AI1900" i="3"/>
  <c r="AH1900" i="3"/>
  <c r="AI1899" i="3"/>
  <c r="AH1899" i="3"/>
  <c r="AI1898" i="3"/>
  <c r="AH1898" i="3"/>
  <c r="AI1897" i="3"/>
  <c r="AH1897" i="3"/>
  <c r="AI1896" i="3"/>
  <c r="AH1896" i="3"/>
  <c r="AI1895" i="3"/>
  <c r="AH1895" i="3"/>
  <c r="AI1894" i="3"/>
  <c r="AH1894" i="3"/>
  <c r="AI1893" i="3"/>
  <c r="AH1893" i="3"/>
  <c r="AI1892" i="3"/>
  <c r="AH1892" i="3"/>
  <c r="AG1892" i="3"/>
  <c r="AO1885" i="3"/>
  <c r="AN1886" i="3"/>
  <c r="AN1885" i="3"/>
  <c r="AO1878" i="3"/>
  <c r="AN1879" i="3"/>
  <c r="AN1878" i="3"/>
  <c r="AO1871" i="3"/>
  <c r="AN1872" i="3"/>
  <c r="AN1871" i="3"/>
  <c r="AO1864" i="3"/>
  <c r="AN1865" i="3"/>
  <c r="AN1864" i="3"/>
  <c r="AO1857" i="3"/>
  <c r="AN1858" i="3"/>
  <c r="AN1857" i="3"/>
  <c r="AO1850" i="3"/>
  <c r="AN1851" i="3"/>
  <c r="AN1850" i="3"/>
  <c r="AO1843" i="3"/>
  <c r="AN1844" i="3"/>
  <c r="AN1843" i="3"/>
  <c r="AO1836" i="3"/>
  <c r="AN1837" i="3"/>
  <c r="AN1836" i="3"/>
  <c r="AO1829" i="3"/>
  <c r="AN1830" i="3"/>
  <c r="AN1829" i="3"/>
  <c r="AI1891" i="3"/>
  <c r="AH1891" i="3"/>
  <c r="AI1890" i="3"/>
  <c r="AH1890" i="3"/>
  <c r="AI1889" i="3"/>
  <c r="AH1889" i="3"/>
  <c r="AI1888" i="3"/>
  <c r="AH1888" i="3"/>
  <c r="AI1887" i="3"/>
  <c r="AH1887" i="3"/>
  <c r="AI1886" i="3"/>
  <c r="AH1886" i="3"/>
  <c r="AI1885" i="3"/>
  <c r="AH1885" i="3"/>
  <c r="AI1884" i="3"/>
  <c r="AH1884" i="3"/>
  <c r="AI1883" i="3"/>
  <c r="AH1883" i="3"/>
  <c r="AI1882" i="3"/>
  <c r="AH1882" i="3"/>
  <c r="AI1881" i="3"/>
  <c r="AH1881" i="3"/>
  <c r="AI1880" i="3"/>
  <c r="AH1880" i="3"/>
  <c r="AI1879" i="3"/>
  <c r="AH1879" i="3"/>
  <c r="AI1878" i="3"/>
  <c r="AH1878" i="3"/>
  <c r="AI1877" i="3"/>
  <c r="AH1877" i="3"/>
  <c r="AI1876" i="3"/>
  <c r="AH1876" i="3"/>
  <c r="AI1875" i="3"/>
  <c r="AH1875" i="3"/>
  <c r="AI1874" i="3"/>
  <c r="AH1874" i="3"/>
  <c r="AI1873" i="3"/>
  <c r="AH1873" i="3"/>
  <c r="AI1872" i="3"/>
  <c r="AH1872" i="3"/>
  <c r="AI1871" i="3"/>
  <c r="AH1871" i="3"/>
  <c r="AI1870" i="3"/>
  <c r="AH1870" i="3"/>
  <c r="AI1869" i="3"/>
  <c r="AH1869" i="3"/>
  <c r="AI1868" i="3"/>
  <c r="AH1868" i="3"/>
  <c r="AI1867" i="3"/>
  <c r="AH1867" i="3"/>
  <c r="AI1866" i="3"/>
  <c r="AH1866" i="3"/>
  <c r="AI1865" i="3"/>
  <c r="AH1865" i="3"/>
  <c r="AI1864" i="3"/>
  <c r="AH1864" i="3"/>
  <c r="AI1863" i="3"/>
  <c r="AH1863" i="3"/>
  <c r="AI1862" i="3"/>
  <c r="AH1862" i="3"/>
  <c r="AI1861" i="3"/>
  <c r="AH1861" i="3"/>
  <c r="AI1860" i="3"/>
  <c r="AH1860" i="3"/>
  <c r="AI1859" i="3"/>
  <c r="AH1859" i="3"/>
  <c r="AI1858" i="3"/>
  <c r="AH1858" i="3"/>
  <c r="AI1857" i="3"/>
  <c r="AH1857" i="3"/>
  <c r="AI1856" i="3"/>
  <c r="AH1856" i="3"/>
  <c r="AI1855" i="3"/>
  <c r="AH1855" i="3"/>
  <c r="AI1854" i="3"/>
  <c r="AH1854" i="3"/>
  <c r="AI1853" i="3"/>
  <c r="AH1853" i="3"/>
  <c r="AI1852" i="3"/>
  <c r="AH1852" i="3"/>
  <c r="AI1851" i="3"/>
  <c r="AH1851" i="3"/>
  <c r="AI1850" i="3"/>
  <c r="AH1850" i="3"/>
  <c r="AI1849" i="3"/>
  <c r="AH1849" i="3"/>
  <c r="AI1848" i="3"/>
  <c r="AH1848" i="3"/>
  <c r="AI1847" i="3"/>
  <c r="AH1847" i="3"/>
  <c r="AI1846" i="3"/>
  <c r="AH1846" i="3"/>
  <c r="AI1845" i="3"/>
  <c r="AH1845" i="3"/>
  <c r="AI1844" i="3"/>
  <c r="AH1844" i="3"/>
  <c r="AI1843" i="3"/>
  <c r="AH1843" i="3"/>
  <c r="AI1842" i="3"/>
  <c r="AH1842" i="3"/>
  <c r="AI1841" i="3"/>
  <c r="AH1841" i="3"/>
  <c r="AI1840" i="3"/>
  <c r="AH1840" i="3"/>
  <c r="AI1839" i="3"/>
  <c r="AH1839" i="3"/>
  <c r="AI1838" i="3"/>
  <c r="AH1838" i="3"/>
  <c r="AI1837" i="3"/>
  <c r="AH1837" i="3"/>
  <c r="AI1836" i="3"/>
  <c r="AH1836" i="3"/>
  <c r="AI1835" i="3"/>
  <c r="AH1835" i="3"/>
  <c r="AI1834" i="3"/>
  <c r="AH1834" i="3"/>
  <c r="AI1833" i="3"/>
  <c r="AH1833" i="3"/>
  <c r="AI1832" i="3"/>
  <c r="AH1832" i="3"/>
  <c r="AI1831" i="3"/>
  <c r="AH1831" i="3"/>
  <c r="AI1830" i="3"/>
  <c r="AH1830" i="3"/>
  <c r="AI1829" i="3"/>
  <c r="AH1829" i="3"/>
  <c r="AG1829" i="3"/>
  <c r="AO1822" i="3"/>
  <c r="AN1823" i="3"/>
  <c r="AN1822" i="3"/>
  <c r="AO1815" i="3"/>
  <c r="AN1816" i="3"/>
  <c r="AN1815" i="3"/>
  <c r="AO1808" i="3"/>
  <c r="AN1809" i="3"/>
  <c r="AN1808" i="3"/>
  <c r="AO1801" i="3"/>
  <c r="AN1802" i="3"/>
  <c r="AN1801" i="3"/>
  <c r="AO1794" i="3"/>
  <c r="AN1795" i="3"/>
  <c r="AN1794" i="3"/>
  <c r="AO1787" i="3"/>
  <c r="AN1788" i="3"/>
  <c r="AN1787" i="3"/>
  <c r="AO1780" i="3"/>
  <c r="AN1781" i="3"/>
  <c r="AN1780" i="3"/>
  <c r="AO1773" i="3"/>
  <c r="AN1774" i="3"/>
  <c r="AN1773" i="3"/>
  <c r="AO1766" i="3"/>
  <c r="AN1767" i="3"/>
  <c r="AN1766" i="3"/>
  <c r="AI1828" i="3"/>
  <c r="AH1828" i="3"/>
  <c r="AI1827" i="3"/>
  <c r="AH1827" i="3"/>
  <c r="AI1826" i="3"/>
  <c r="AH1826" i="3"/>
  <c r="AI1825" i="3"/>
  <c r="AH1825" i="3"/>
  <c r="AI1824" i="3"/>
  <c r="AH1824" i="3"/>
  <c r="AI1823" i="3"/>
  <c r="AH1823" i="3"/>
  <c r="AI1822" i="3"/>
  <c r="AH1822" i="3"/>
  <c r="AI1821" i="3"/>
  <c r="AH1821" i="3"/>
  <c r="AI1820" i="3"/>
  <c r="AH1820" i="3"/>
  <c r="AI1819" i="3"/>
  <c r="AH1819" i="3"/>
  <c r="AI1818" i="3"/>
  <c r="AH1818" i="3"/>
  <c r="AI1817" i="3"/>
  <c r="AH1817" i="3"/>
  <c r="AI1816" i="3"/>
  <c r="AH1816" i="3"/>
  <c r="AI1815" i="3"/>
  <c r="AH1815" i="3"/>
  <c r="AI1814" i="3"/>
  <c r="AH1814" i="3"/>
  <c r="AI1813" i="3"/>
  <c r="AH1813" i="3"/>
  <c r="AI1812" i="3"/>
  <c r="AH1812" i="3"/>
  <c r="AI1811" i="3"/>
  <c r="AH1811" i="3"/>
  <c r="AI1810" i="3"/>
  <c r="AH1810" i="3"/>
  <c r="AI1809" i="3"/>
  <c r="AH1809" i="3"/>
  <c r="AI1808" i="3"/>
  <c r="AH1808" i="3"/>
  <c r="AI1807" i="3"/>
  <c r="AH1807" i="3"/>
  <c r="AI1806" i="3"/>
  <c r="AH1806" i="3"/>
  <c r="AI1805" i="3"/>
  <c r="AH1805" i="3"/>
  <c r="AI1804" i="3"/>
  <c r="AH1804" i="3"/>
  <c r="AI1803" i="3"/>
  <c r="AH1803" i="3"/>
  <c r="AI1802" i="3"/>
  <c r="AH1802" i="3"/>
  <c r="AI1801" i="3"/>
  <c r="AH1801" i="3"/>
  <c r="AI1800" i="3"/>
  <c r="AH1800" i="3"/>
  <c r="AI1799" i="3"/>
  <c r="AH1799" i="3"/>
  <c r="AI1798" i="3"/>
  <c r="AH1798" i="3"/>
  <c r="AI1797" i="3"/>
  <c r="AH1797" i="3"/>
  <c r="AI1796" i="3"/>
  <c r="AH1796" i="3"/>
  <c r="AI1795" i="3"/>
  <c r="AH1795" i="3"/>
  <c r="AI1794" i="3"/>
  <c r="AH1794" i="3"/>
  <c r="AI1793" i="3"/>
  <c r="AH1793" i="3"/>
  <c r="AI1792" i="3"/>
  <c r="AH1792" i="3"/>
  <c r="AI1791" i="3"/>
  <c r="AH1791" i="3"/>
  <c r="AI1790" i="3"/>
  <c r="AH1790" i="3"/>
  <c r="AI1789" i="3"/>
  <c r="AH1789" i="3"/>
  <c r="AI1788" i="3"/>
  <c r="AH1788" i="3"/>
  <c r="AI1787" i="3"/>
  <c r="AH1787" i="3"/>
  <c r="AI1786" i="3"/>
  <c r="AH1786" i="3"/>
  <c r="AI1785" i="3"/>
  <c r="AH1785" i="3"/>
  <c r="AI1784" i="3"/>
  <c r="AH1784" i="3"/>
  <c r="AI1783" i="3"/>
  <c r="AH1783" i="3"/>
  <c r="AI1782" i="3"/>
  <c r="AH1782" i="3"/>
  <c r="AI1781" i="3"/>
  <c r="AH1781" i="3"/>
  <c r="AI1780" i="3"/>
  <c r="AH1780" i="3"/>
  <c r="AI1779" i="3"/>
  <c r="AH1779" i="3"/>
  <c r="AI1778" i="3"/>
  <c r="AH1778" i="3"/>
  <c r="AI1777" i="3"/>
  <c r="AH1777" i="3"/>
  <c r="AI1776" i="3"/>
  <c r="AH1776" i="3"/>
  <c r="AI1775" i="3"/>
  <c r="AH1775" i="3"/>
  <c r="AI1774" i="3"/>
  <c r="AH1774" i="3"/>
  <c r="AI1773" i="3"/>
  <c r="AH1773" i="3"/>
  <c r="AI1772" i="3"/>
  <c r="AH1772" i="3"/>
  <c r="AI1771" i="3"/>
  <c r="AH1771" i="3"/>
  <c r="AI1770" i="3"/>
  <c r="AH1770" i="3"/>
  <c r="AI1769" i="3"/>
  <c r="AH1769" i="3"/>
  <c r="AI1768" i="3"/>
  <c r="AH1768" i="3"/>
  <c r="AI1767" i="3"/>
  <c r="AH1767" i="3"/>
  <c r="AI1766" i="3"/>
  <c r="AH1766" i="3"/>
  <c r="AG1766" i="3"/>
  <c r="AO1759" i="3"/>
  <c r="AN1760" i="3"/>
  <c r="AN1759" i="3"/>
  <c r="AO1752" i="3"/>
  <c r="AN1753" i="3"/>
  <c r="AN1752" i="3"/>
  <c r="AO1745" i="3"/>
  <c r="AN1746" i="3"/>
  <c r="AN1745" i="3"/>
  <c r="AO1738" i="3"/>
  <c r="AN1739" i="3"/>
  <c r="AN1738" i="3"/>
  <c r="AO1731" i="3"/>
  <c r="AN1732" i="3"/>
  <c r="AN1731" i="3"/>
  <c r="AO1724" i="3"/>
  <c r="AN1725" i="3"/>
  <c r="AN1724" i="3"/>
  <c r="AO1717" i="3"/>
  <c r="AN1718" i="3"/>
  <c r="AN1717" i="3"/>
  <c r="AO1710" i="3"/>
  <c r="AN1711" i="3"/>
  <c r="AN1710" i="3"/>
  <c r="AO1703" i="3"/>
  <c r="AN1704" i="3"/>
  <c r="AN1703" i="3"/>
  <c r="AI1765" i="3"/>
  <c r="AH1765" i="3"/>
  <c r="AI1764" i="3"/>
  <c r="AH1764" i="3"/>
  <c r="AI1763" i="3"/>
  <c r="AH1763" i="3"/>
  <c r="AI1762" i="3"/>
  <c r="AH1762" i="3"/>
  <c r="AI1761" i="3"/>
  <c r="AH1761" i="3"/>
  <c r="AI1760" i="3"/>
  <c r="AH1760" i="3"/>
  <c r="AI1759" i="3"/>
  <c r="AH1759" i="3"/>
  <c r="AI1758" i="3"/>
  <c r="AH1758" i="3"/>
  <c r="AI1757" i="3"/>
  <c r="AH1757" i="3"/>
  <c r="AI1756" i="3"/>
  <c r="AH1756" i="3"/>
  <c r="AI1755" i="3"/>
  <c r="AH1755" i="3"/>
  <c r="AI1754" i="3"/>
  <c r="AH1754" i="3"/>
  <c r="AI1753" i="3"/>
  <c r="AH1753" i="3"/>
  <c r="AI1752" i="3"/>
  <c r="AH1752" i="3"/>
  <c r="AI1751" i="3"/>
  <c r="AH1751" i="3"/>
  <c r="AI1750" i="3"/>
  <c r="AH1750" i="3"/>
  <c r="AI1749" i="3"/>
  <c r="AH1749" i="3"/>
  <c r="AI1748" i="3"/>
  <c r="AH1748" i="3"/>
  <c r="AI1747" i="3"/>
  <c r="AH1747" i="3"/>
  <c r="AI1746" i="3"/>
  <c r="AH1746" i="3"/>
  <c r="AI1745" i="3"/>
  <c r="AH1745" i="3"/>
  <c r="AI1744" i="3"/>
  <c r="AH1744" i="3"/>
  <c r="AI1743" i="3"/>
  <c r="AH1743" i="3"/>
  <c r="AI1742" i="3"/>
  <c r="AH1742" i="3"/>
  <c r="AI1741" i="3"/>
  <c r="AH1741" i="3"/>
  <c r="AI1740" i="3"/>
  <c r="AH1740" i="3"/>
  <c r="AI1739" i="3"/>
  <c r="AH1739" i="3"/>
  <c r="AI1738" i="3"/>
  <c r="AH1738" i="3"/>
  <c r="AI1737" i="3"/>
  <c r="AH1737" i="3"/>
  <c r="AI1736" i="3"/>
  <c r="AH1736" i="3"/>
  <c r="AI1735" i="3"/>
  <c r="AH1735" i="3"/>
  <c r="AI1734" i="3"/>
  <c r="AH1734" i="3"/>
  <c r="AI1733" i="3"/>
  <c r="AH1733" i="3"/>
  <c r="AI1732" i="3"/>
  <c r="AH1732" i="3"/>
  <c r="AI1731" i="3"/>
  <c r="AH1731" i="3"/>
  <c r="AI1730" i="3"/>
  <c r="AH1730" i="3"/>
  <c r="AI1729" i="3"/>
  <c r="AH1729" i="3"/>
  <c r="AI1728" i="3"/>
  <c r="AH1728" i="3"/>
  <c r="AI1727" i="3"/>
  <c r="AH1727" i="3"/>
  <c r="AI1726" i="3"/>
  <c r="AH1726" i="3"/>
  <c r="AI1725" i="3"/>
  <c r="AH1725" i="3"/>
  <c r="AI1724" i="3"/>
  <c r="AH1724" i="3"/>
  <c r="AI1723" i="3"/>
  <c r="AH1723" i="3"/>
  <c r="AI1722" i="3"/>
  <c r="AH1722" i="3"/>
  <c r="AI1721" i="3"/>
  <c r="AH1721" i="3"/>
  <c r="AI1720" i="3"/>
  <c r="AH1720" i="3"/>
  <c r="AI1719" i="3"/>
  <c r="AH1719" i="3"/>
  <c r="AI1718" i="3"/>
  <c r="AH1718" i="3"/>
  <c r="AI1717" i="3"/>
  <c r="AH1717" i="3"/>
  <c r="AI1716" i="3"/>
  <c r="AH1716" i="3"/>
  <c r="AI1715" i="3"/>
  <c r="AH1715" i="3"/>
  <c r="AI1714" i="3"/>
  <c r="AH1714" i="3"/>
  <c r="AI1713" i="3"/>
  <c r="AH1713" i="3"/>
  <c r="AI1712" i="3"/>
  <c r="AH1712" i="3"/>
  <c r="AI1711" i="3"/>
  <c r="AH1711" i="3"/>
  <c r="AI1710" i="3"/>
  <c r="AH1710" i="3"/>
  <c r="AI1709" i="3"/>
  <c r="AH1709" i="3"/>
  <c r="AI1708" i="3"/>
  <c r="AH1708" i="3"/>
  <c r="AI1707" i="3"/>
  <c r="AH1707" i="3"/>
  <c r="AI1706" i="3"/>
  <c r="AH1706" i="3"/>
  <c r="AI1705" i="3"/>
  <c r="AH1705" i="3"/>
  <c r="AI1704" i="3"/>
  <c r="AH1704" i="3"/>
  <c r="AI1703" i="3"/>
  <c r="AH1703" i="3"/>
  <c r="AG1703" i="3"/>
  <c r="AO1696" i="3"/>
  <c r="AN1697" i="3"/>
  <c r="AN1696" i="3"/>
  <c r="AO1689" i="3"/>
  <c r="AN1690" i="3"/>
  <c r="AN1689" i="3"/>
  <c r="AO1682" i="3"/>
  <c r="AN1683" i="3"/>
  <c r="AN1682" i="3"/>
  <c r="AO1675" i="3"/>
  <c r="AN1676" i="3"/>
  <c r="AN1675" i="3"/>
  <c r="AO1668" i="3"/>
  <c r="AN1669" i="3"/>
  <c r="AN1668" i="3"/>
  <c r="AO1661" i="3"/>
  <c r="AN1662" i="3"/>
  <c r="AN1661" i="3"/>
  <c r="AO1654" i="3"/>
  <c r="AN1655" i="3"/>
  <c r="AN1654" i="3"/>
  <c r="AO1647" i="3"/>
  <c r="AN1648" i="3"/>
  <c r="AN1647" i="3"/>
  <c r="AO1640" i="3"/>
  <c r="AN1641" i="3"/>
  <c r="AN1640" i="3"/>
  <c r="AI1702" i="3"/>
  <c r="AH1702" i="3"/>
  <c r="AI1701" i="3"/>
  <c r="AH1701" i="3"/>
  <c r="AI1700" i="3"/>
  <c r="AH1700" i="3"/>
  <c r="AI1699" i="3"/>
  <c r="AH1699" i="3"/>
  <c r="AI1698" i="3"/>
  <c r="AH1698" i="3"/>
  <c r="AI1697" i="3"/>
  <c r="AH1697" i="3"/>
  <c r="AI1696" i="3"/>
  <c r="AH1696" i="3"/>
  <c r="AI1695" i="3"/>
  <c r="AH1695" i="3"/>
  <c r="AI1694" i="3"/>
  <c r="AH1694" i="3"/>
  <c r="AI1693" i="3"/>
  <c r="AH1693" i="3"/>
  <c r="AI1692" i="3"/>
  <c r="AH1692" i="3"/>
  <c r="AI1691" i="3"/>
  <c r="AH1691" i="3"/>
  <c r="AI1690" i="3"/>
  <c r="AH1690" i="3"/>
  <c r="AI1689" i="3"/>
  <c r="AH1689" i="3"/>
  <c r="AI1688" i="3"/>
  <c r="AH1688" i="3"/>
  <c r="AI1687" i="3"/>
  <c r="AH1687" i="3"/>
  <c r="AI1686" i="3"/>
  <c r="AH1686" i="3"/>
  <c r="AI1685" i="3"/>
  <c r="AH1685" i="3"/>
  <c r="AI1684" i="3"/>
  <c r="AH1684" i="3"/>
  <c r="AI1683" i="3"/>
  <c r="AH1683" i="3"/>
  <c r="AI1682" i="3"/>
  <c r="AH1682" i="3"/>
  <c r="AI1681" i="3"/>
  <c r="AH1681" i="3"/>
  <c r="AI1680" i="3"/>
  <c r="AH1680" i="3"/>
  <c r="AI1679" i="3"/>
  <c r="AH1679" i="3"/>
  <c r="AI1678" i="3"/>
  <c r="AH1678" i="3"/>
  <c r="AI1677" i="3"/>
  <c r="AH1677" i="3"/>
  <c r="AI1676" i="3"/>
  <c r="AH1676" i="3"/>
  <c r="AI1675" i="3"/>
  <c r="AH1675" i="3"/>
  <c r="AI1674" i="3"/>
  <c r="AH1674" i="3"/>
  <c r="AI1673" i="3"/>
  <c r="AH1673" i="3"/>
  <c r="AI1672" i="3"/>
  <c r="AH1672" i="3"/>
  <c r="AI1671" i="3"/>
  <c r="AH1671" i="3"/>
  <c r="AI1670" i="3"/>
  <c r="AH1670" i="3"/>
  <c r="AI1669" i="3"/>
  <c r="AH1669" i="3"/>
  <c r="AI1668" i="3"/>
  <c r="AH1668" i="3"/>
  <c r="AI1667" i="3"/>
  <c r="AH1667" i="3"/>
  <c r="AI1666" i="3"/>
  <c r="AH1666" i="3"/>
  <c r="AI1665" i="3"/>
  <c r="AH1665" i="3"/>
  <c r="AI1664" i="3"/>
  <c r="AH1664" i="3"/>
  <c r="AI1663" i="3"/>
  <c r="AH1663" i="3"/>
  <c r="AI1662" i="3"/>
  <c r="AH1662" i="3"/>
  <c r="AI1661" i="3"/>
  <c r="AH1661" i="3"/>
  <c r="AI1660" i="3"/>
  <c r="AH1660" i="3"/>
  <c r="AI1659" i="3"/>
  <c r="AH1659" i="3"/>
  <c r="AI1658" i="3"/>
  <c r="AH1658" i="3"/>
  <c r="AI1657" i="3"/>
  <c r="AH1657" i="3"/>
  <c r="AI1656" i="3"/>
  <c r="AH1656" i="3"/>
  <c r="AI1655" i="3"/>
  <c r="AH1655" i="3"/>
  <c r="AI1654" i="3"/>
  <c r="AH1654" i="3"/>
  <c r="AI1653" i="3"/>
  <c r="AH1653" i="3"/>
  <c r="AI1652" i="3"/>
  <c r="AH1652" i="3"/>
  <c r="AI1651" i="3"/>
  <c r="AH1651" i="3"/>
  <c r="AI1650" i="3"/>
  <c r="AH1650" i="3"/>
  <c r="AI1649" i="3"/>
  <c r="AH1649" i="3"/>
  <c r="AI1648" i="3"/>
  <c r="AH1648" i="3"/>
  <c r="AI1647" i="3"/>
  <c r="AH1647" i="3"/>
  <c r="AI1646" i="3"/>
  <c r="AH1646" i="3"/>
  <c r="AI1645" i="3"/>
  <c r="AH1645" i="3"/>
  <c r="AI1644" i="3"/>
  <c r="AH1644" i="3"/>
  <c r="AI1643" i="3"/>
  <c r="AH1643" i="3"/>
  <c r="AI1642" i="3"/>
  <c r="AH1642" i="3"/>
  <c r="AI1641" i="3"/>
  <c r="AH1641" i="3"/>
  <c r="AI1640" i="3"/>
  <c r="AH1640" i="3"/>
  <c r="AG1640" i="3"/>
  <c r="AO1633" i="3"/>
  <c r="AN1634" i="3"/>
  <c r="AN1633" i="3"/>
  <c r="AO1626" i="3"/>
  <c r="AN1627" i="3"/>
  <c r="AN1626" i="3"/>
  <c r="AO1619" i="3"/>
  <c r="AN1620" i="3"/>
  <c r="AN1619" i="3"/>
  <c r="AO1612" i="3"/>
  <c r="AN1613" i="3"/>
  <c r="AN1612" i="3"/>
  <c r="AO1605" i="3"/>
  <c r="AN1606" i="3"/>
  <c r="AN1605" i="3"/>
  <c r="AO1598" i="3"/>
  <c r="AN1599" i="3"/>
  <c r="AN1598" i="3"/>
  <c r="AO1591" i="3"/>
  <c r="AN1592" i="3"/>
  <c r="AN1591" i="3"/>
  <c r="AO1584" i="3"/>
  <c r="AN1585" i="3"/>
  <c r="AN1584" i="3"/>
  <c r="AO1577" i="3"/>
  <c r="AN1578" i="3"/>
  <c r="AN1577" i="3"/>
  <c r="AI1639" i="3"/>
  <c r="AH1639" i="3"/>
  <c r="AI1638" i="3"/>
  <c r="AH1638" i="3"/>
  <c r="AI1637" i="3"/>
  <c r="AH1637" i="3"/>
  <c r="AI1636" i="3"/>
  <c r="AH1636" i="3"/>
  <c r="AI1635" i="3"/>
  <c r="AH1635" i="3"/>
  <c r="AI1634" i="3"/>
  <c r="AH1634" i="3"/>
  <c r="AI1633" i="3"/>
  <c r="AH1633" i="3"/>
  <c r="AI1632" i="3"/>
  <c r="AH1632" i="3"/>
  <c r="AI1631" i="3"/>
  <c r="AH1631" i="3"/>
  <c r="AI1630" i="3"/>
  <c r="AH1630" i="3"/>
  <c r="AI1629" i="3"/>
  <c r="AH1629" i="3"/>
  <c r="AI1628" i="3"/>
  <c r="AH1628" i="3"/>
  <c r="AI1627" i="3"/>
  <c r="AH1627" i="3"/>
  <c r="AI1626" i="3"/>
  <c r="AH1626" i="3"/>
  <c r="AI1625" i="3"/>
  <c r="AH1625" i="3"/>
  <c r="AI1624" i="3"/>
  <c r="AH1624" i="3"/>
  <c r="AI1623" i="3"/>
  <c r="AH1623" i="3"/>
  <c r="AI1622" i="3"/>
  <c r="AH1622" i="3"/>
  <c r="AI1621" i="3"/>
  <c r="AH1621" i="3"/>
  <c r="AI1620" i="3"/>
  <c r="AH1620" i="3"/>
  <c r="AI1619" i="3"/>
  <c r="AH1619" i="3"/>
  <c r="AI1618" i="3"/>
  <c r="AH1618" i="3"/>
  <c r="AI1617" i="3"/>
  <c r="AH1617" i="3"/>
  <c r="AI1616" i="3"/>
  <c r="AH1616" i="3"/>
  <c r="AI1615" i="3"/>
  <c r="AH1615" i="3"/>
  <c r="AI1614" i="3"/>
  <c r="AH1614" i="3"/>
  <c r="AI1613" i="3"/>
  <c r="AH1613" i="3"/>
  <c r="AI1612" i="3"/>
  <c r="AH1612" i="3"/>
  <c r="AI1611" i="3"/>
  <c r="AH1611" i="3"/>
  <c r="AI1610" i="3"/>
  <c r="AH1610" i="3"/>
  <c r="AI1609" i="3"/>
  <c r="AH1609" i="3"/>
  <c r="AI1608" i="3"/>
  <c r="AH1608" i="3"/>
  <c r="AI1607" i="3"/>
  <c r="AH1607" i="3"/>
  <c r="AI1606" i="3"/>
  <c r="AH1606" i="3"/>
  <c r="AI1605" i="3"/>
  <c r="AH1605" i="3"/>
  <c r="AI1604" i="3"/>
  <c r="AH1604" i="3"/>
  <c r="AI1603" i="3"/>
  <c r="AH1603" i="3"/>
  <c r="AI1602" i="3"/>
  <c r="AH1602" i="3"/>
  <c r="AI1601" i="3"/>
  <c r="AH1601" i="3"/>
  <c r="AI1600" i="3"/>
  <c r="AH1600" i="3"/>
  <c r="AI1599" i="3"/>
  <c r="AH1599" i="3"/>
  <c r="AI1598" i="3"/>
  <c r="AH1598" i="3"/>
  <c r="AI1597" i="3"/>
  <c r="AH1597" i="3"/>
  <c r="AI1596" i="3"/>
  <c r="AH1596" i="3"/>
  <c r="AI1595" i="3"/>
  <c r="AH1595" i="3"/>
  <c r="AI1594" i="3"/>
  <c r="AH1594" i="3"/>
  <c r="AI1593" i="3"/>
  <c r="AH1593" i="3"/>
  <c r="AI1592" i="3"/>
  <c r="AH1592" i="3"/>
  <c r="AI1591" i="3"/>
  <c r="AH1591" i="3"/>
  <c r="AI1590" i="3"/>
  <c r="AH1590" i="3"/>
  <c r="AI1589" i="3"/>
  <c r="AH1589" i="3"/>
  <c r="AI1588" i="3"/>
  <c r="AH1588" i="3"/>
  <c r="AI1587" i="3"/>
  <c r="AH1587" i="3"/>
  <c r="AI1586" i="3"/>
  <c r="AH1586" i="3"/>
  <c r="AI1585" i="3"/>
  <c r="AH1585" i="3"/>
  <c r="AI1584" i="3"/>
  <c r="AH1584" i="3"/>
  <c r="AI1583" i="3"/>
  <c r="AH1583" i="3"/>
  <c r="AI1582" i="3"/>
  <c r="AH1582" i="3"/>
  <c r="AI1581" i="3"/>
  <c r="AH1581" i="3"/>
  <c r="AI1580" i="3"/>
  <c r="AH1580" i="3"/>
  <c r="AI1579" i="3"/>
  <c r="AH1579" i="3"/>
  <c r="AI1578" i="3"/>
  <c r="AH1578" i="3"/>
  <c r="AI1577" i="3"/>
  <c r="AH1577" i="3"/>
  <c r="AG1577" i="3"/>
  <c r="AO1570" i="3"/>
  <c r="AN1571" i="3"/>
  <c r="AN1570" i="3"/>
  <c r="AO1563" i="3"/>
  <c r="AN1564" i="3"/>
  <c r="AN1563" i="3"/>
  <c r="AO1556" i="3"/>
  <c r="AN1557" i="3"/>
  <c r="AN1556" i="3"/>
  <c r="AO1549" i="3"/>
  <c r="AN1550" i="3"/>
  <c r="AN1549" i="3"/>
  <c r="AO1542" i="3"/>
  <c r="AN1543" i="3"/>
  <c r="AN1542" i="3"/>
  <c r="AO1535" i="3"/>
  <c r="AN1536" i="3"/>
  <c r="AN1535" i="3"/>
  <c r="AO1528" i="3"/>
  <c r="AN1529" i="3"/>
  <c r="AN1528" i="3"/>
  <c r="AO1521" i="3"/>
  <c r="AN1522" i="3"/>
  <c r="AN1521" i="3"/>
  <c r="AO1514" i="3"/>
  <c r="AN1515" i="3"/>
  <c r="AN1514" i="3"/>
  <c r="AI1576" i="3"/>
  <c r="AH1576" i="3"/>
  <c r="AI1575" i="3"/>
  <c r="AH1575" i="3"/>
  <c r="AI1574" i="3"/>
  <c r="AH1574" i="3"/>
  <c r="AI1573" i="3"/>
  <c r="AH1573" i="3"/>
  <c r="AI1572" i="3"/>
  <c r="AH1572" i="3"/>
  <c r="AI1571" i="3"/>
  <c r="AH1571" i="3"/>
  <c r="AI1570" i="3"/>
  <c r="AH1570" i="3"/>
  <c r="AI1569" i="3"/>
  <c r="AH1569" i="3"/>
  <c r="AI1568" i="3"/>
  <c r="AH1568" i="3"/>
  <c r="AI1567" i="3"/>
  <c r="AH1567" i="3"/>
  <c r="AI1566" i="3"/>
  <c r="AH1566" i="3"/>
  <c r="AI1565" i="3"/>
  <c r="AH1565" i="3"/>
  <c r="AI1564" i="3"/>
  <c r="AH1564" i="3"/>
  <c r="AI1563" i="3"/>
  <c r="AH1563" i="3"/>
  <c r="AI1562" i="3"/>
  <c r="AH1562" i="3"/>
  <c r="AI1561" i="3"/>
  <c r="AH1561" i="3"/>
  <c r="AI1560" i="3"/>
  <c r="AH1560" i="3"/>
  <c r="AI1559" i="3"/>
  <c r="AH1559" i="3"/>
  <c r="AI1558" i="3"/>
  <c r="AH1558" i="3"/>
  <c r="AI1557" i="3"/>
  <c r="AH1557" i="3"/>
  <c r="AI1556" i="3"/>
  <c r="AH1556" i="3"/>
  <c r="AI1555" i="3"/>
  <c r="AH1555" i="3"/>
  <c r="AI1554" i="3"/>
  <c r="AH1554" i="3"/>
  <c r="AI1553" i="3"/>
  <c r="AH1553" i="3"/>
  <c r="AI1552" i="3"/>
  <c r="AH1552" i="3"/>
  <c r="AI1551" i="3"/>
  <c r="AH1551" i="3"/>
  <c r="AI1550" i="3"/>
  <c r="AH1550" i="3"/>
  <c r="AI1549" i="3"/>
  <c r="AH1549" i="3"/>
  <c r="AI1548" i="3"/>
  <c r="AH1548" i="3"/>
  <c r="AI1547" i="3"/>
  <c r="AH1547" i="3"/>
  <c r="AI1546" i="3"/>
  <c r="AH1546" i="3"/>
  <c r="AI1545" i="3"/>
  <c r="AH1545" i="3"/>
  <c r="AI1544" i="3"/>
  <c r="AH1544" i="3"/>
  <c r="AI1543" i="3"/>
  <c r="AH1543" i="3"/>
  <c r="AI1542" i="3"/>
  <c r="AH1542" i="3"/>
  <c r="AI1541" i="3"/>
  <c r="AH1541" i="3"/>
  <c r="AI1540" i="3"/>
  <c r="AH1540" i="3"/>
  <c r="AI1539" i="3"/>
  <c r="AH1539" i="3"/>
  <c r="AI1538" i="3"/>
  <c r="AH1538" i="3"/>
  <c r="AI1537" i="3"/>
  <c r="AH1537" i="3"/>
  <c r="AI1536" i="3"/>
  <c r="AH1536" i="3"/>
  <c r="AI1535" i="3"/>
  <c r="AH1535" i="3"/>
  <c r="AI1534" i="3"/>
  <c r="AH1534" i="3"/>
  <c r="AI1533" i="3"/>
  <c r="AH1533" i="3"/>
  <c r="AI1532" i="3"/>
  <c r="AH1532" i="3"/>
  <c r="AI1531" i="3"/>
  <c r="AH1531" i="3"/>
  <c r="AI1530" i="3"/>
  <c r="AH1530" i="3"/>
  <c r="AI1529" i="3"/>
  <c r="AH1529" i="3"/>
  <c r="AI1528" i="3"/>
  <c r="AH1528" i="3"/>
  <c r="AI1527" i="3"/>
  <c r="AH1527" i="3"/>
  <c r="AI1526" i="3"/>
  <c r="AH1526" i="3"/>
  <c r="AI1525" i="3"/>
  <c r="AH1525" i="3"/>
  <c r="AI1524" i="3"/>
  <c r="AH1524" i="3"/>
  <c r="AI1523" i="3"/>
  <c r="AH1523" i="3"/>
  <c r="AI1522" i="3"/>
  <c r="AH1522" i="3"/>
  <c r="AI1521" i="3"/>
  <c r="AH1521" i="3"/>
  <c r="AI1520" i="3"/>
  <c r="AH1520" i="3"/>
  <c r="AI1519" i="3"/>
  <c r="AH1519" i="3"/>
  <c r="AI1518" i="3"/>
  <c r="AH1518" i="3"/>
  <c r="AI1517" i="3"/>
  <c r="AH1517" i="3"/>
  <c r="AI1516" i="3"/>
  <c r="AH1516" i="3"/>
  <c r="AI1515" i="3"/>
  <c r="AH1515" i="3"/>
  <c r="AI1514" i="3"/>
  <c r="AH1514" i="3"/>
  <c r="AG1514" i="3"/>
  <c r="AO1507" i="3"/>
  <c r="AN1508" i="3"/>
  <c r="AN1507" i="3"/>
  <c r="AO1500" i="3"/>
  <c r="AN1501" i="3"/>
  <c r="AN1500" i="3"/>
  <c r="AO1493" i="3"/>
  <c r="AN1494" i="3"/>
  <c r="AN1493" i="3"/>
  <c r="AO1486" i="3"/>
  <c r="AN1487" i="3"/>
  <c r="AN1486" i="3"/>
  <c r="AO1479" i="3"/>
  <c r="AN1480" i="3"/>
  <c r="AN1479" i="3"/>
  <c r="AO1472" i="3"/>
  <c r="AN1473" i="3"/>
  <c r="AN1472" i="3"/>
  <c r="AO1465" i="3"/>
  <c r="AN1466" i="3"/>
  <c r="AN1465" i="3"/>
  <c r="AO1458" i="3"/>
  <c r="AN1459" i="3"/>
  <c r="AN1458" i="3"/>
  <c r="AO1451" i="3"/>
  <c r="AN1452" i="3"/>
  <c r="AN1451" i="3"/>
  <c r="AI1513" i="3"/>
  <c r="AH1513" i="3"/>
  <c r="AI1512" i="3"/>
  <c r="AH1512" i="3"/>
  <c r="AI1511" i="3"/>
  <c r="AH1511" i="3"/>
  <c r="AI1510" i="3"/>
  <c r="AH1510" i="3"/>
  <c r="AI1509" i="3"/>
  <c r="AH1509" i="3"/>
  <c r="AI1508" i="3"/>
  <c r="AH1508" i="3"/>
  <c r="AI1507" i="3"/>
  <c r="AH1507" i="3"/>
  <c r="AI1506" i="3"/>
  <c r="AH1506" i="3"/>
  <c r="AI1505" i="3"/>
  <c r="AH1505" i="3"/>
  <c r="AI1504" i="3"/>
  <c r="AH1504" i="3"/>
  <c r="AI1503" i="3"/>
  <c r="AH1503" i="3"/>
  <c r="AI1502" i="3"/>
  <c r="AH1502" i="3"/>
  <c r="AI1501" i="3"/>
  <c r="AH1501" i="3"/>
  <c r="AI1500" i="3"/>
  <c r="AH1500" i="3"/>
  <c r="AI1499" i="3"/>
  <c r="AH1499" i="3"/>
  <c r="AI1498" i="3"/>
  <c r="AH1498" i="3"/>
  <c r="AI1497" i="3"/>
  <c r="AH1497" i="3"/>
  <c r="AI1496" i="3"/>
  <c r="AH1496" i="3"/>
  <c r="AI1495" i="3"/>
  <c r="AH1495" i="3"/>
  <c r="AI1494" i="3"/>
  <c r="AH1494" i="3"/>
  <c r="AI1493" i="3"/>
  <c r="AH1493" i="3"/>
  <c r="AI1492" i="3"/>
  <c r="AH1492" i="3"/>
  <c r="AI1491" i="3"/>
  <c r="AH1491" i="3"/>
  <c r="AI1490" i="3"/>
  <c r="AH1490" i="3"/>
  <c r="AI1489" i="3"/>
  <c r="AH1489" i="3"/>
  <c r="AI1488" i="3"/>
  <c r="AH1488" i="3"/>
  <c r="AI1487" i="3"/>
  <c r="AH1487" i="3"/>
  <c r="AI1486" i="3"/>
  <c r="AH1486" i="3"/>
  <c r="AI1485" i="3"/>
  <c r="AH1485" i="3"/>
  <c r="AI1484" i="3"/>
  <c r="AH1484" i="3"/>
  <c r="AI1483" i="3"/>
  <c r="AH1483" i="3"/>
  <c r="AI1482" i="3"/>
  <c r="AH1482" i="3"/>
  <c r="AI1481" i="3"/>
  <c r="AH1481" i="3"/>
  <c r="AI1480" i="3"/>
  <c r="AH1480" i="3"/>
  <c r="AI1479" i="3"/>
  <c r="AH1479" i="3"/>
  <c r="AI1478" i="3"/>
  <c r="AH1478" i="3"/>
  <c r="AI1477" i="3"/>
  <c r="AH1477" i="3"/>
  <c r="AI1476" i="3"/>
  <c r="AH1476" i="3"/>
  <c r="AI1475" i="3"/>
  <c r="AH1475" i="3"/>
  <c r="AI1474" i="3"/>
  <c r="AH1474" i="3"/>
  <c r="AI1473" i="3"/>
  <c r="AH1473" i="3"/>
  <c r="AI1472" i="3"/>
  <c r="AH1472" i="3"/>
  <c r="AI1471" i="3"/>
  <c r="AH1471" i="3"/>
  <c r="AI1470" i="3"/>
  <c r="AH1470" i="3"/>
  <c r="AI1469" i="3"/>
  <c r="AH1469" i="3"/>
  <c r="AI1468" i="3"/>
  <c r="AH1468" i="3"/>
  <c r="AI1467" i="3"/>
  <c r="AH1467" i="3"/>
  <c r="AI1466" i="3"/>
  <c r="AH1466" i="3"/>
  <c r="AI1465" i="3"/>
  <c r="AH1465" i="3"/>
  <c r="AI1464" i="3"/>
  <c r="AH1464" i="3"/>
  <c r="AI1463" i="3"/>
  <c r="AH1463" i="3"/>
  <c r="AI1462" i="3"/>
  <c r="AH1462" i="3"/>
  <c r="AI1461" i="3"/>
  <c r="AH1461" i="3"/>
  <c r="AI1460" i="3"/>
  <c r="AH1460" i="3"/>
  <c r="AI1459" i="3"/>
  <c r="AH1459" i="3"/>
  <c r="AI1458" i="3"/>
  <c r="AH1458" i="3"/>
  <c r="AI1457" i="3"/>
  <c r="AH1457" i="3"/>
  <c r="AI1456" i="3"/>
  <c r="AH1456" i="3"/>
  <c r="AI1455" i="3"/>
  <c r="AH1455" i="3"/>
  <c r="AI1454" i="3"/>
  <c r="AH1454" i="3"/>
  <c r="AI1453" i="3"/>
  <c r="AH1453" i="3"/>
  <c r="AI1452" i="3"/>
  <c r="AH1452" i="3"/>
  <c r="AI1451" i="3"/>
  <c r="AH1451" i="3"/>
  <c r="AG1451" i="3"/>
  <c r="AO1444" i="3"/>
  <c r="AN1445" i="3"/>
  <c r="AN1444" i="3"/>
  <c r="AO1437" i="3"/>
  <c r="AN1438" i="3"/>
  <c r="AN1437" i="3"/>
  <c r="AO1430" i="3"/>
  <c r="AN1431" i="3"/>
  <c r="AN1430" i="3"/>
  <c r="AO1423" i="3"/>
  <c r="AN1424" i="3"/>
  <c r="AN1423" i="3"/>
  <c r="AO1416" i="3"/>
  <c r="AN1417" i="3"/>
  <c r="AN1416" i="3"/>
  <c r="AO1409" i="3"/>
  <c r="AN1410" i="3"/>
  <c r="AN1409" i="3"/>
  <c r="AO1402" i="3"/>
  <c r="AN1403" i="3"/>
  <c r="AN1402" i="3"/>
  <c r="AO1395" i="3"/>
  <c r="AN1396" i="3"/>
  <c r="AN1395" i="3"/>
  <c r="AO1388" i="3"/>
  <c r="AN1389" i="3"/>
  <c r="AN1388" i="3"/>
  <c r="AI1450" i="3"/>
  <c r="AH1450" i="3"/>
  <c r="AI1449" i="3"/>
  <c r="AH1449" i="3"/>
  <c r="AI1448" i="3"/>
  <c r="AH1448" i="3"/>
  <c r="AI1447" i="3"/>
  <c r="AH1447" i="3"/>
  <c r="AI1446" i="3"/>
  <c r="AH1446" i="3"/>
  <c r="AI1445" i="3"/>
  <c r="AH1445" i="3"/>
  <c r="AI1444" i="3"/>
  <c r="AH1444" i="3"/>
  <c r="AI1443" i="3"/>
  <c r="AH1443" i="3"/>
  <c r="AI1442" i="3"/>
  <c r="AH1442" i="3"/>
  <c r="AI1441" i="3"/>
  <c r="AH1441" i="3"/>
  <c r="AI1440" i="3"/>
  <c r="AH1440" i="3"/>
  <c r="AI1439" i="3"/>
  <c r="AH1439" i="3"/>
  <c r="AI1438" i="3"/>
  <c r="AH1438" i="3"/>
  <c r="AI1437" i="3"/>
  <c r="AH1437" i="3"/>
  <c r="AI1436" i="3"/>
  <c r="AH1436" i="3"/>
  <c r="AI1435" i="3"/>
  <c r="AH1435" i="3"/>
  <c r="AI1434" i="3"/>
  <c r="AH1434" i="3"/>
  <c r="AI1433" i="3"/>
  <c r="AH1433" i="3"/>
  <c r="AI1432" i="3"/>
  <c r="AH1432" i="3"/>
  <c r="AI1431" i="3"/>
  <c r="AH1431" i="3"/>
  <c r="AI1430" i="3"/>
  <c r="AH1430" i="3"/>
  <c r="AI1429" i="3"/>
  <c r="AH1429" i="3"/>
  <c r="AI1428" i="3"/>
  <c r="AH1428" i="3"/>
  <c r="AI1427" i="3"/>
  <c r="AH1427" i="3"/>
  <c r="AI1426" i="3"/>
  <c r="AH1426" i="3"/>
  <c r="AI1425" i="3"/>
  <c r="AH1425" i="3"/>
  <c r="AI1424" i="3"/>
  <c r="AH1424" i="3"/>
  <c r="AI1423" i="3"/>
  <c r="AH1423" i="3"/>
  <c r="AI1422" i="3"/>
  <c r="AH1422" i="3"/>
  <c r="AI1421" i="3"/>
  <c r="AH1421" i="3"/>
  <c r="AI1420" i="3"/>
  <c r="AH1420" i="3"/>
  <c r="AI1419" i="3"/>
  <c r="AH1419" i="3"/>
  <c r="AI1418" i="3"/>
  <c r="AH1418" i="3"/>
  <c r="AI1417" i="3"/>
  <c r="AH1417" i="3"/>
  <c r="AI1416" i="3"/>
  <c r="AH1416" i="3"/>
  <c r="AI1415" i="3"/>
  <c r="AH1415" i="3"/>
  <c r="AI1414" i="3"/>
  <c r="AH1414" i="3"/>
  <c r="AI1413" i="3"/>
  <c r="AH1413" i="3"/>
  <c r="AI1412" i="3"/>
  <c r="AH1412" i="3"/>
  <c r="AI1411" i="3"/>
  <c r="AH1411" i="3"/>
  <c r="AI1410" i="3"/>
  <c r="AH1410" i="3"/>
  <c r="AI1409" i="3"/>
  <c r="AH1409" i="3"/>
  <c r="AI1408" i="3"/>
  <c r="AH1408" i="3"/>
  <c r="AI1407" i="3"/>
  <c r="AH1407" i="3"/>
  <c r="AI1406" i="3"/>
  <c r="AH1406" i="3"/>
  <c r="AI1405" i="3"/>
  <c r="AH1405" i="3"/>
  <c r="AI1404" i="3"/>
  <c r="AH1404" i="3"/>
  <c r="AI1403" i="3"/>
  <c r="AH1403" i="3"/>
  <c r="AI1402" i="3"/>
  <c r="AH1402" i="3"/>
  <c r="AI1401" i="3"/>
  <c r="AH1401" i="3"/>
  <c r="AI1400" i="3"/>
  <c r="AH1400" i="3"/>
  <c r="AI1399" i="3"/>
  <c r="AH1399" i="3"/>
  <c r="AI1398" i="3"/>
  <c r="AH1398" i="3"/>
  <c r="AI1397" i="3"/>
  <c r="AH1397" i="3"/>
  <c r="AI1396" i="3"/>
  <c r="AH1396" i="3"/>
  <c r="AI1395" i="3"/>
  <c r="AH1395" i="3"/>
  <c r="AI1394" i="3"/>
  <c r="AH1394" i="3"/>
  <c r="AI1393" i="3"/>
  <c r="AH1393" i="3"/>
  <c r="AI1392" i="3"/>
  <c r="AH1392" i="3"/>
  <c r="AI1391" i="3"/>
  <c r="AH1391" i="3"/>
  <c r="AI1390" i="3"/>
  <c r="AH1390" i="3"/>
  <c r="AI1389" i="3"/>
  <c r="AH1389" i="3"/>
  <c r="AI1388" i="3"/>
  <c r="AH1388" i="3"/>
  <c r="AG1388" i="3"/>
  <c r="AO1381" i="3"/>
  <c r="AN1382" i="3"/>
  <c r="AN1381" i="3"/>
  <c r="AO1374" i="3"/>
  <c r="AN1375" i="3"/>
  <c r="AN1374" i="3"/>
  <c r="AO1367" i="3"/>
  <c r="AN1368" i="3"/>
  <c r="AN1367" i="3"/>
  <c r="AO1360" i="3"/>
  <c r="AN1361" i="3"/>
  <c r="AN1360" i="3"/>
  <c r="AO1353" i="3"/>
  <c r="AN1354" i="3"/>
  <c r="AN1353" i="3"/>
  <c r="AO1346" i="3"/>
  <c r="AN1347" i="3"/>
  <c r="AN1346" i="3"/>
  <c r="AO1339" i="3"/>
  <c r="AN1340" i="3"/>
  <c r="AN1339" i="3"/>
  <c r="AO1332" i="3"/>
  <c r="AN1333" i="3"/>
  <c r="AN1332" i="3"/>
  <c r="AO1325" i="3"/>
  <c r="AN1326" i="3"/>
  <c r="AN1325" i="3"/>
  <c r="AI1387" i="3"/>
  <c r="AH1387" i="3"/>
  <c r="AI1386" i="3"/>
  <c r="AH1386" i="3"/>
  <c r="AI1385" i="3"/>
  <c r="AH1385" i="3"/>
  <c r="AI1384" i="3"/>
  <c r="AH1384" i="3"/>
  <c r="AI1383" i="3"/>
  <c r="AH1383" i="3"/>
  <c r="AI1382" i="3"/>
  <c r="AH1382" i="3"/>
  <c r="AI1381" i="3"/>
  <c r="AH1381" i="3"/>
  <c r="AI1380" i="3"/>
  <c r="AH1380" i="3"/>
  <c r="AI1379" i="3"/>
  <c r="AH1379" i="3"/>
  <c r="AI1378" i="3"/>
  <c r="AH1378" i="3"/>
  <c r="AI1377" i="3"/>
  <c r="AH1377" i="3"/>
  <c r="AI1376" i="3"/>
  <c r="AH1376" i="3"/>
  <c r="AI1375" i="3"/>
  <c r="AH1375" i="3"/>
  <c r="AI1374" i="3"/>
  <c r="AH1374" i="3"/>
  <c r="AI1373" i="3"/>
  <c r="AH1373" i="3"/>
  <c r="AI1372" i="3"/>
  <c r="AH1372" i="3"/>
  <c r="AI1371" i="3"/>
  <c r="AH1371" i="3"/>
  <c r="AI1370" i="3"/>
  <c r="AH1370" i="3"/>
  <c r="AI1369" i="3"/>
  <c r="AH1369" i="3"/>
  <c r="AI1368" i="3"/>
  <c r="AH1368" i="3"/>
  <c r="AI1367" i="3"/>
  <c r="AH1367" i="3"/>
  <c r="AI1366" i="3"/>
  <c r="AH1366" i="3"/>
  <c r="AI1365" i="3"/>
  <c r="AH1365" i="3"/>
  <c r="AI1364" i="3"/>
  <c r="AH1364" i="3"/>
  <c r="AI1363" i="3"/>
  <c r="AH1363" i="3"/>
  <c r="AI1362" i="3"/>
  <c r="AH1362" i="3"/>
  <c r="AI1361" i="3"/>
  <c r="AH1361" i="3"/>
  <c r="AI1360" i="3"/>
  <c r="AH1360" i="3"/>
  <c r="AI1359" i="3"/>
  <c r="AH1359" i="3"/>
  <c r="AI1358" i="3"/>
  <c r="AH1358" i="3"/>
  <c r="AI1357" i="3"/>
  <c r="AH1357" i="3"/>
  <c r="AI1356" i="3"/>
  <c r="AH1356" i="3"/>
  <c r="AI1355" i="3"/>
  <c r="AH1355" i="3"/>
  <c r="AI1354" i="3"/>
  <c r="AH1354" i="3"/>
  <c r="AI1353" i="3"/>
  <c r="AH1353" i="3"/>
  <c r="AI1352" i="3"/>
  <c r="AH1352" i="3"/>
  <c r="AI1351" i="3"/>
  <c r="AH1351" i="3"/>
  <c r="AI1350" i="3"/>
  <c r="AH1350" i="3"/>
  <c r="AI1349" i="3"/>
  <c r="AH1349" i="3"/>
  <c r="AI1348" i="3"/>
  <c r="AH1348" i="3"/>
  <c r="AI1347" i="3"/>
  <c r="AH1347" i="3"/>
  <c r="AI1346" i="3"/>
  <c r="AH1346" i="3"/>
  <c r="AI1345" i="3"/>
  <c r="AH1345" i="3"/>
  <c r="AI1344" i="3"/>
  <c r="AH1344" i="3"/>
  <c r="AI1343" i="3"/>
  <c r="AH1343" i="3"/>
  <c r="AI1342" i="3"/>
  <c r="AH1342" i="3"/>
  <c r="AI1341" i="3"/>
  <c r="AH1341" i="3"/>
  <c r="AI1340" i="3"/>
  <c r="AH1340" i="3"/>
  <c r="AI1339" i="3"/>
  <c r="AH1339" i="3"/>
  <c r="AI1338" i="3"/>
  <c r="AH1338" i="3"/>
  <c r="AI1337" i="3"/>
  <c r="AH1337" i="3"/>
  <c r="AI1336" i="3"/>
  <c r="AH1336" i="3"/>
  <c r="AI1335" i="3"/>
  <c r="AH1335" i="3"/>
  <c r="AI1334" i="3"/>
  <c r="AH1334" i="3"/>
  <c r="AI1333" i="3"/>
  <c r="AH1333" i="3"/>
  <c r="AI1332" i="3"/>
  <c r="AH1332" i="3"/>
  <c r="AI1331" i="3"/>
  <c r="AH1331" i="3"/>
  <c r="AI1330" i="3"/>
  <c r="AH1330" i="3"/>
  <c r="AI1329" i="3"/>
  <c r="AH1329" i="3"/>
  <c r="AI1328" i="3"/>
  <c r="AH1328" i="3"/>
  <c r="AI1327" i="3"/>
  <c r="AH1327" i="3"/>
  <c r="AI1326" i="3"/>
  <c r="AH1326" i="3"/>
  <c r="AI1325" i="3"/>
  <c r="AH1325" i="3"/>
  <c r="AG1325" i="3"/>
  <c r="AO1318" i="3"/>
  <c r="AN1319" i="3"/>
  <c r="AN1318" i="3"/>
  <c r="AO1311" i="3"/>
  <c r="AN1312" i="3"/>
  <c r="AN1311" i="3"/>
  <c r="AO1304" i="3"/>
  <c r="AN1305" i="3"/>
  <c r="AN1304" i="3"/>
  <c r="AO1297" i="3"/>
  <c r="AN1298" i="3"/>
  <c r="AN1297" i="3"/>
  <c r="AO1290" i="3"/>
  <c r="AN1291" i="3"/>
  <c r="AN1290" i="3"/>
  <c r="AO1283" i="3"/>
  <c r="AN1284" i="3"/>
  <c r="AN1283" i="3"/>
  <c r="AO1276" i="3"/>
  <c r="AN1277" i="3"/>
  <c r="AN1276" i="3"/>
  <c r="AO1269" i="3"/>
  <c r="AN1270" i="3"/>
  <c r="AN1269" i="3"/>
  <c r="AO1262" i="3"/>
  <c r="AN1263" i="3"/>
  <c r="AN1262" i="3"/>
  <c r="AI1324" i="3"/>
  <c r="AH1324" i="3"/>
  <c r="AI1323" i="3"/>
  <c r="AH1323" i="3"/>
  <c r="AI1322" i="3"/>
  <c r="AH1322" i="3"/>
  <c r="AI1321" i="3"/>
  <c r="AH1321" i="3"/>
  <c r="AI1320" i="3"/>
  <c r="AH1320" i="3"/>
  <c r="AI1319" i="3"/>
  <c r="AH1319" i="3"/>
  <c r="AI1318" i="3"/>
  <c r="AH1318" i="3"/>
  <c r="AI1317" i="3"/>
  <c r="AH1317" i="3"/>
  <c r="AI1316" i="3"/>
  <c r="AH1316" i="3"/>
  <c r="AI1315" i="3"/>
  <c r="AH1315" i="3"/>
  <c r="AI1314" i="3"/>
  <c r="AH1314" i="3"/>
  <c r="AI1313" i="3"/>
  <c r="AH1313" i="3"/>
  <c r="AI1312" i="3"/>
  <c r="AH1312" i="3"/>
  <c r="AI1311" i="3"/>
  <c r="AH1311" i="3"/>
  <c r="AI1310" i="3"/>
  <c r="AH1310" i="3"/>
  <c r="AI1309" i="3"/>
  <c r="AH1309" i="3"/>
  <c r="AI1308" i="3"/>
  <c r="AH1308" i="3"/>
  <c r="AI1307" i="3"/>
  <c r="AH1307" i="3"/>
  <c r="AI1306" i="3"/>
  <c r="AH1306" i="3"/>
  <c r="AI1305" i="3"/>
  <c r="AH1305" i="3"/>
  <c r="AI1304" i="3"/>
  <c r="AH1304" i="3"/>
  <c r="AI1303" i="3"/>
  <c r="AH1303" i="3"/>
  <c r="AI1302" i="3"/>
  <c r="AH1302" i="3"/>
  <c r="AI1301" i="3"/>
  <c r="AH1301" i="3"/>
  <c r="AI1300" i="3"/>
  <c r="AH1300" i="3"/>
  <c r="AI1299" i="3"/>
  <c r="AH1299" i="3"/>
  <c r="AI1298" i="3"/>
  <c r="AH1298" i="3"/>
  <c r="AI1297" i="3"/>
  <c r="AH1297" i="3"/>
  <c r="AI1296" i="3"/>
  <c r="AH1296" i="3"/>
  <c r="AI1295" i="3"/>
  <c r="AH1295" i="3"/>
  <c r="AI1294" i="3"/>
  <c r="AH1294" i="3"/>
  <c r="AI1293" i="3"/>
  <c r="AH1293" i="3"/>
  <c r="AI1292" i="3"/>
  <c r="AH1292" i="3"/>
  <c r="AI1291" i="3"/>
  <c r="AH1291" i="3"/>
  <c r="AI1290" i="3"/>
  <c r="AH1290" i="3"/>
  <c r="AI1289" i="3"/>
  <c r="AH1289" i="3"/>
  <c r="AI1288" i="3"/>
  <c r="AH1288" i="3"/>
  <c r="AI1287" i="3"/>
  <c r="AH1287" i="3"/>
  <c r="AI1286" i="3"/>
  <c r="AH1286" i="3"/>
  <c r="AI1285" i="3"/>
  <c r="AH1285" i="3"/>
  <c r="AI1284" i="3"/>
  <c r="AH1284" i="3"/>
  <c r="AI1283" i="3"/>
  <c r="AH1283" i="3"/>
  <c r="AI1282" i="3"/>
  <c r="AH1282" i="3"/>
  <c r="AI1281" i="3"/>
  <c r="AH1281" i="3"/>
  <c r="AI1280" i="3"/>
  <c r="AH1280" i="3"/>
  <c r="AI1279" i="3"/>
  <c r="AH1279" i="3"/>
  <c r="AI1278" i="3"/>
  <c r="AH1278" i="3"/>
  <c r="AI1277" i="3"/>
  <c r="AH1277" i="3"/>
  <c r="AI1276" i="3"/>
  <c r="AH1276" i="3"/>
  <c r="AI1275" i="3"/>
  <c r="AH1275" i="3"/>
  <c r="AI1274" i="3"/>
  <c r="AH1274" i="3"/>
  <c r="AI1273" i="3"/>
  <c r="AH1273" i="3"/>
  <c r="AI1272" i="3"/>
  <c r="AH1272" i="3"/>
  <c r="AI1271" i="3"/>
  <c r="AH1271" i="3"/>
  <c r="AI1270" i="3"/>
  <c r="AH1270" i="3"/>
  <c r="AI1269" i="3"/>
  <c r="AH1269" i="3"/>
  <c r="AI1268" i="3"/>
  <c r="AH1268" i="3"/>
  <c r="AI1267" i="3"/>
  <c r="AH1267" i="3"/>
  <c r="AI1266" i="3"/>
  <c r="AH1266" i="3"/>
  <c r="AI1265" i="3"/>
  <c r="AH1265" i="3"/>
  <c r="AI1264" i="3"/>
  <c r="AH1264" i="3"/>
  <c r="AI1263" i="3"/>
  <c r="AH1263" i="3"/>
  <c r="AI1262" i="3"/>
  <c r="AH1262" i="3"/>
  <c r="AG1262" i="3"/>
  <c r="AO1255" i="3"/>
  <c r="AN1256" i="3"/>
  <c r="AN1255" i="3"/>
  <c r="AO1248" i="3"/>
  <c r="AN1249" i="3"/>
  <c r="AN1248" i="3"/>
  <c r="AO1241" i="3"/>
  <c r="AN1242" i="3"/>
  <c r="AN1241" i="3"/>
  <c r="AO1234" i="3"/>
  <c r="AN1235" i="3"/>
  <c r="AN1234" i="3"/>
  <c r="AO1227" i="3"/>
  <c r="AN1228" i="3"/>
  <c r="AN1227" i="3"/>
  <c r="AO1220" i="3"/>
  <c r="AN1221" i="3"/>
  <c r="AN1220" i="3"/>
  <c r="AO1213" i="3"/>
  <c r="AN1214" i="3"/>
  <c r="AN1213" i="3"/>
  <c r="AO1206" i="3"/>
  <c r="AN1207" i="3"/>
  <c r="AN1206" i="3"/>
  <c r="AO1199" i="3"/>
  <c r="AN1200" i="3"/>
  <c r="AN1199" i="3"/>
  <c r="AI1261" i="3"/>
  <c r="AH1261" i="3"/>
  <c r="AI1260" i="3"/>
  <c r="AH1260" i="3"/>
  <c r="AI1259" i="3"/>
  <c r="AH1259" i="3"/>
  <c r="AI1258" i="3"/>
  <c r="AH1258" i="3"/>
  <c r="AI1257" i="3"/>
  <c r="AH1257" i="3"/>
  <c r="AI1256" i="3"/>
  <c r="AH1256" i="3"/>
  <c r="AI1255" i="3"/>
  <c r="AH1255" i="3"/>
  <c r="AI1254" i="3"/>
  <c r="AH1254" i="3"/>
  <c r="AI1253" i="3"/>
  <c r="AH1253" i="3"/>
  <c r="AI1252" i="3"/>
  <c r="AH1252" i="3"/>
  <c r="AI1251" i="3"/>
  <c r="AH1251" i="3"/>
  <c r="AI1250" i="3"/>
  <c r="AH1250" i="3"/>
  <c r="AI1249" i="3"/>
  <c r="AH1249" i="3"/>
  <c r="AI1248" i="3"/>
  <c r="AH1248" i="3"/>
  <c r="AI1247" i="3"/>
  <c r="AH1247" i="3"/>
  <c r="AI1246" i="3"/>
  <c r="AH1246" i="3"/>
  <c r="AI1245" i="3"/>
  <c r="AH1245" i="3"/>
  <c r="AI1244" i="3"/>
  <c r="AH1244" i="3"/>
  <c r="AI1243" i="3"/>
  <c r="AH1243" i="3"/>
  <c r="AI1242" i="3"/>
  <c r="AH1242" i="3"/>
  <c r="AI1241" i="3"/>
  <c r="AH1241" i="3"/>
  <c r="AI1240" i="3"/>
  <c r="AH1240" i="3"/>
  <c r="AI1239" i="3"/>
  <c r="AH1239" i="3"/>
  <c r="AI1238" i="3"/>
  <c r="AH1238" i="3"/>
  <c r="AI1237" i="3"/>
  <c r="AH1237" i="3"/>
  <c r="AI1236" i="3"/>
  <c r="AH1236" i="3"/>
  <c r="AI1235" i="3"/>
  <c r="AH1235" i="3"/>
  <c r="AI1234" i="3"/>
  <c r="AH1234" i="3"/>
  <c r="AI1233" i="3"/>
  <c r="AH1233" i="3"/>
  <c r="AI1232" i="3"/>
  <c r="AH1232" i="3"/>
  <c r="AI1231" i="3"/>
  <c r="AH1231" i="3"/>
  <c r="AI1230" i="3"/>
  <c r="AH1230" i="3"/>
  <c r="AI1229" i="3"/>
  <c r="AH1229" i="3"/>
  <c r="AI1228" i="3"/>
  <c r="AH1228" i="3"/>
  <c r="AI1227" i="3"/>
  <c r="AH1227" i="3"/>
  <c r="AI1226" i="3"/>
  <c r="AH1226" i="3"/>
  <c r="AI1225" i="3"/>
  <c r="AH1225" i="3"/>
  <c r="AI1224" i="3"/>
  <c r="AH1224" i="3"/>
  <c r="AI1223" i="3"/>
  <c r="AH1223" i="3"/>
  <c r="AI1222" i="3"/>
  <c r="AH1222" i="3"/>
  <c r="AI1221" i="3"/>
  <c r="AH1221" i="3"/>
  <c r="AI1220" i="3"/>
  <c r="AH1220" i="3"/>
  <c r="AI1219" i="3"/>
  <c r="AH1219" i="3"/>
  <c r="AI1218" i="3"/>
  <c r="AH1218" i="3"/>
  <c r="AI1217" i="3"/>
  <c r="AH1217" i="3"/>
  <c r="AI1216" i="3"/>
  <c r="AH1216" i="3"/>
  <c r="AI1215" i="3"/>
  <c r="AH1215" i="3"/>
  <c r="AI1214" i="3"/>
  <c r="AH1214" i="3"/>
  <c r="AI1213" i="3"/>
  <c r="AH1213" i="3"/>
  <c r="AI1212" i="3"/>
  <c r="AH1212" i="3"/>
  <c r="AI1211" i="3"/>
  <c r="AH1211" i="3"/>
  <c r="AI1210" i="3"/>
  <c r="AH1210" i="3"/>
  <c r="AI1209" i="3"/>
  <c r="AH1209" i="3"/>
  <c r="AI1208" i="3"/>
  <c r="AH1208" i="3"/>
  <c r="AI1207" i="3"/>
  <c r="AH1207" i="3"/>
  <c r="AI1206" i="3"/>
  <c r="AH1206" i="3"/>
  <c r="AI1205" i="3"/>
  <c r="AH1205" i="3"/>
  <c r="AI1204" i="3"/>
  <c r="AH1204" i="3"/>
  <c r="AI1203" i="3"/>
  <c r="AH1203" i="3"/>
  <c r="AI1202" i="3"/>
  <c r="AH1202" i="3"/>
  <c r="AI1201" i="3"/>
  <c r="AH1201" i="3"/>
  <c r="AI1200" i="3"/>
  <c r="AH1200" i="3"/>
  <c r="AI1199" i="3"/>
  <c r="AH1199" i="3"/>
  <c r="AG1199" i="3"/>
  <c r="AO1192" i="3"/>
  <c r="AN1193" i="3"/>
  <c r="AN1192" i="3"/>
  <c r="AO1185" i="3"/>
  <c r="AN1186" i="3"/>
  <c r="AN1185" i="3"/>
  <c r="AO1178" i="3"/>
  <c r="AN1179" i="3"/>
  <c r="AN1178" i="3"/>
  <c r="AO1171" i="3"/>
  <c r="AN1172" i="3"/>
  <c r="AN1171" i="3"/>
  <c r="AO1164" i="3"/>
  <c r="AN1165" i="3"/>
  <c r="AN1164" i="3"/>
  <c r="AO1157" i="3"/>
  <c r="AN1158" i="3"/>
  <c r="AN1157" i="3"/>
  <c r="AO1150" i="3"/>
  <c r="AN1151" i="3"/>
  <c r="AN1150" i="3"/>
  <c r="AO1143" i="3"/>
  <c r="AN1144" i="3"/>
  <c r="AN1143" i="3"/>
  <c r="AO1136" i="3"/>
  <c r="AN1137" i="3"/>
  <c r="AN1136" i="3"/>
  <c r="AI1198" i="3"/>
  <c r="AH1198" i="3"/>
  <c r="AI1197" i="3"/>
  <c r="AH1197" i="3"/>
  <c r="AI1196" i="3"/>
  <c r="AH1196" i="3"/>
  <c r="AI1195" i="3"/>
  <c r="AH1195" i="3"/>
  <c r="AI1194" i="3"/>
  <c r="AH1194" i="3"/>
  <c r="AI1193" i="3"/>
  <c r="AH1193" i="3"/>
  <c r="AI1192" i="3"/>
  <c r="AH1192" i="3"/>
  <c r="AI1191" i="3"/>
  <c r="AH1191" i="3"/>
  <c r="AI1190" i="3"/>
  <c r="AH1190" i="3"/>
  <c r="AI1189" i="3"/>
  <c r="AH1189" i="3"/>
  <c r="AI1188" i="3"/>
  <c r="AH1188" i="3"/>
  <c r="AI1187" i="3"/>
  <c r="AH1187" i="3"/>
  <c r="AI1186" i="3"/>
  <c r="AH1186" i="3"/>
  <c r="AI1185" i="3"/>
  <c r="AH1185" i="3"/>
  <c r="AI1184" i="3"/>
  <c r="AH1184" i="3"/>
  <c r="AI1183" i="3"/>
  <c r="AH1183" i="3"/>
  <c r="AI1182" i="3"/>
  <c r="AH1182" i="3"/>
  <c r="AI1181" i="3"/>
  <c r="AH1181" i="3"/>
  <c r="AI1180" i="3"/>
  <c r="AH1180" i="3"/>
  <c r="AI1179" i="3"/>
  <c r="AH1179" i="3"/>
  <c r="AI1178" i="3"/>
  <c r="AH1178" i="3"/>
  <c r="AI1177" i="3"/>
  <c r="AH1177" i="3"/>
  <c r="AI1176" i="3"/>
  <c r="AH1176" i="3"/>
  <c r="AI1175" i="3"/>
  <c r="AH1175" i="3"/>
  <c r="AI1174" i="3"/>
  <c r="AH1174" i="3"/>
  <c r="AI1173" i="3"/>
  <c r="AH1173" i="3"/>
  <c r="AI1172" i="3"/>
  <c r="AH1172" i="3"/>
  <c r="AI1171" i="3"/>
  <c r="AH1171" i="3"/>
  <c r="AI1170" i="3"/>
  <c r="AH1170" i="3"/>
  <c r="AI1169" i="3"/>
  <c r="AH1169" i="3"/>
  <c r="AI1168" i="3"/>
  <c r="AH1168" i="3"/>
  <c r="AI1167" i="3"/>
  <c r="AH1167" i="3"/>
  <c r="AI1166" i="3"/>
  <c r="AH1166" i="3"/>
  <c r="AI1165" i="3"/>
  <c r="AH1165" i="3"/>
  <c r="AI1164" i="3"/>
  <c r="AH1164" i="3"/>
  <c r="AI1163" i="3"/>
  <c r="AH1163" i="3"/>
  <c r="AI1162" i="3"/>
  <c r="AH1162" i="3"/>
  <c r="AI1161" i="3"/>
  <c r="AH1161" i="3"/>
  <c r="AI1160" i="3"/>
  <c r="AH1160" i="3"/>
  <c r="AI1159" i="3"/>
  <c r="AH1159" i="3"/>
  <c r="AI1158" i="3"/>
  <c r="AH1158" i="3"/>
  <c r="AI1157" i="3"/>
  <c r="AH1157" i="3"/>
  <c r="AI1156" i="3"/>
  <c r="AH1156" i="3"/>
  <c r="AI1155" i="3"/>
  <c r="AH1155" i="3"/>
  <c r="AI1154" i="3"/>
  <c r="AH1154" i="3"/>
  <c r="AI1153" i="3"/>
  <c r="AH1153" i="3"/>
  <c r="AI1152" i="3"/>
  <c r="AH1152" i="3"/>
  <c r="AI1151" i="3"/>
  <c r="AH1151" i="3"/>
  <c r="AI1150" i="3"/>
  <c r="AH1150" i="3"/>
  <c r="AI1149" i="3"/>
  <c r="AH1149" i="3"/>
  <c r="AI1148" i="3"/>
  <c r="AH1148" i="3"/>
  <c r="AI1147" i="3"/>
  <c r="AH1147" i="3"/>
  <c r="AI1146" i="3"/>
  <c r="AH1146" i="3"/>
  <c r="AI1145" i="3"/>
  <c r="AH1145" i="3"/>
  <c r="AI1144" i="3"/>
  <c r="AH1144" i="3"/>
  <c r="AI1143" i="3"/>
  <c r="AH1143" i="3"/>
  <c r="AI1142" i="3"/>
  <c r="AH1142" i="3"/>
  <c r="AI1141" i="3"/>
  <c r="AH1141" i="3"/>
  <c r="AI1140" i="3"/>
  <c r="AH1140" i="3"/>
  <c r="AI1139" i="3"/>
  <c r="AH1139" i="3"/>
  <c r="AI1138" i="3"/>
  <c r="AH1138" i="3"/>
  <c r="AI1137" i="3"/>
  <c r="AH1137" i="3"/>
  <c r="AI1136" i="3"/>
  <c r="AH1136" i="3"/>
  <c r="AG1136" i="3"/>
  <c r="AO1129" i="3"/>
  <c r="AN1130" i="3"/>
  <c r="AN1129" i="3"/>
  <c r="AO1122" i="3"/>
  <c r="AN1123" i="3"/>
  <c r="AN1122" i="3"/>
  <c r="AO1115" i="3"/>
  <c r="AN1116" i="3"/>
  <c r="AN1115" i="3"/>
  <c r="AO1108" i="3"/>
  <c r="AN1109" i="3"/>
  <c r="AN1108" i="3"/>
  <c r="AO1101" i="3"/>
  <c r="AN1102" i="3"/>
  <c r="AN1101" i="3"/>
  <c r="AO1094" i="3"/>
  <c r="AN1095" i="3"/>
  <c r="AN1094" i="3"/>
  <c r="AO1087" i="3"/>
  <c r="AN1088" i="3"/>
  <c r="AN1087" i="3"/>
  <c r="AO1080" i="3"/>
  <c r="AN1081" i="3"/>
  <c r="AN1080" i="3"/>
  <c r="AO1073" i="3"/>
  <c r="AN1074" i="3"/>
  <c r="AN1073" i="3"/>
  <c r="AI1135" i="3"/>
  <c r="AH1135" i="3"/>
  <c r="AI1134" i="3"/>
  <c r="AH1134" i="3"/>
  <c r="AI1133" i="3"/>
  <c r="AH1133" i="3"/>
  <c r="AI1132" i="3"/>
  <c r="AH1132" i="3"/>
  <c r="AI1131" i="3"/>
  <c r="AH1131" i="3"/>
  <c r="AI1130" i="3"/>
  <c r="AH1130" i="3"/>
  <c r="AI1129" i="3"/>
  <c r="AH1129" i="3"/>
  <c r="AI1128" i="3"/>
  <c r="AH1128" i="3"/>
  <c r="AI1127" i="3"/>
  <c r="AH1127" i="3"/>
  <c r="AI1126" i="3"/>
  <c r="AH1126" i="3"/>
  <c r="AI1125" i="3"/>
  <c r="AH1125" i="3"/>
  <c r="AI1124" i="3"/>
  <c r="AH1124" i="3"/>
  <c r="AI1123" i="3"/>
  <c r="AH1123" i="3"/>
  <c r="AI1122" i="3"/>
  <c r="AH1122" i="3"/>
  <c r="AI1121" i="3"/>
  <c r="AH1121" i="3"/>
  <c r="AI1120" i="3"/>
  <c r="AH1120" i="3"/>
  <c r="AI1119" i="3"/>
  <c r="AH1119" i="3"/>
  <c r="AI1118" i="3"/>
  <c r="AH1118" i="3"/>
  <c r="AI1117" i="3"/>
  <c r="AH1117" i="3"/>
  <c r="AI1116" i="3"/>
  <c r="AH1116" i="3"/>
  <c r="AI1115" i="3"/>
  <c r="AH1115" i="3"/>
  <c r="AI1114" i="3"/>
  <c r="AH1114" i="3"/>
  <c r="AI1113" i="3"/>
  <c r="AH1113" i="3"/>
  <c r="AI1112" i="3"/>
  <c r="AH1112" i="3"/>
  <c r="AI1111" i="3"/>
  <c r="AH1111" i="3"/>
  <c r="AI1110" i="3"/>
  <c r="AH1110" i="3"/>
  <c r="AI1109" i="3"/>
  <c r="AH1109" i="3"/>
  <c r="AI1108" i="3"/>
  <c r="AH1108" i="3"/>
  <c r="AI1107" i="3"/>
  <c r="AH1107" i="3"/>
  <c r="AI1106" i="3"/>
  <c r="AH1106" i="3"/>
  <c r="AI1105" i="3"/>
  <c r="AH1105" i="3"/>
  <c r="AI1104" i="3"/>
  <c r="AH1104" i="3"/>
  <c r="AI1103" i="3"/>
  <c r="AH1103" i="3"/>
  <c r="AI1102" i="3"/>
  <c r="AH1102" i="3"/>
  <c r="AI1101" i="3"/>
  <c r="AH1101" i="3"/>
  <c r="AI1100" i="3"/>
  <c r="AH1100" i="3"/>
  <c r="AI1099" i="3"/>
  <c r="AH1099" i="3"/>
  <c r="AI1098" i="3"/>
  <c r="AH1098" i="3"/>
  <c r="AI1097" i="3"/>
  <c r="AH1097" i="3"/>
  <c r="AI1096" i="3"/>
  <c r="AH1096" i="3"/>
  <c r="AI1095" i="3"/>
  <c r="AH1095" i="3"/>
  <c r="AI1094" i="3"/>
  <c r="AH1094" i="3"/>
  <c r="AI1093" i="3"/>
  <c r="AH1093" i="3"/>
  <c r="AI1092" i="3"/>
  <c r="AH1092" i="3"/>
  <c r="AI1091" i="3"/>
  <c r="AH1091" i="3"/>
  <c r="AI1090" i="3"/>
  <c r="AH1090" i="3"/>
  <c r="AI1089" i="3"/>
  <c r="AH1089" i="3"/>
  <c r="AI1088" i="3"/>
  <c r="AH1088" i="3"/>
  <c r="AI1087" i="3"/>
  <c r="AH1087" i="3"/>
  <c r="AI1086" i="3"/>
  <c r="AH1086" i="3"/>
  <c r="AI1085" i="3"/>
  <c r="AH1085" i="3"/>
  <c r="AI1084" i="3"/>
  <c r="AH1084" i="3"/>
  <c r="AI1083" i="3"/>
  <c r="AH1083" i="3"/>
  <c r="AI1082" i="3"/>
  <c r="AH1082" i="3"/>
  <c r="AI1081" i="3"/>
  <c r="AH1081" i="3"/>
  <c r="AI1080" i="3"/>
  <c r="AH1080" i="3"/>
  <c r="AI1079" i="3"/>
  <c r="AH1079" i="3"/>
  <c r="AI1078" i="3"/>
  <c r="AH1078" i="3"/>
  <c r="AI1077" i="3"/>
  <c r="AH1077" i="3"/>
  <c r="AI1076" i="3"/>
  <c r="AH1076" i="3"/>
  <c r="AI1075" i="3"/>
  <c r="AH1075" i="3"/>
  <c r="AI1074" i="3"/>
  <c r="AH1074" i="3"/>
  <c r="AI1073" i="3"/>
  <c r="AH1073" i="3"/>
  <c r="AG1073" i="3"/>
  <c r="AO1066" i="3"/>
  <c r="AN1067" i="3"/>
  <c r="AN1066" i="3"/>
  <c r="AO1059" i="3"/>
  <c r="AN1060" i="3"/>
  <c r="AN1059" i="3"/>
  <c r="AO1052" i="3"/>
  <c r="AN1053" i="3"/>
  <c r="AN1052" i="3"/>
  <c r="AO1045" i="3"/>
  <c r="AN1046" i="3"/>
  <c r="AN1045" i="3"/>
  <c r="AO1038" i="3"/>
  <c r="AN1039" i="3"/>
  <c r="AN1038" i="3"/>
  <c r="AO1031" i="3"/>
  <c r="AN1032" i="3"/>
  <c r="AN1031" i="3"/>
  <c r="AO1024" i="3"/>
  <c r="AN1025" i="3"/>
  <c r="AN1024" i="3"/>
  <c r="AO1017" i="3"/>
  <c r="AN1018" i="3"/>
  <c r="AN1017" i="3"/>
  <c r="AO1010" i="3"/>
  <c r="AN1011" i="3"/>
  <c r="AN1010" i="3"/>
  <c r="AI1072" i="3"/>
  <c r="AH1072" i="3"/>
  <c r="AI1071" i="3"/>
  <c r="AH1071" i="3"/>
  <c r="AI1070" i="3"/>
  <c r="AH1070" i="3"/>
  <c r="AI1069" i="3"/>
  <c r="AH1069" i="3"/>
  <c r="AI1068" i="3"/>
  <c r="AH1068" i="3"/>
  <c r="AI1067" i="3"/>
  <c r="AH1067" i="3"/>
  <c r="AI1066" i="3"/>
  <c r="AH1066" i="3"/>
  <c r="AI1065" i="3"/>
  <c r="AH1065" i="3"/>
  <c r="AI1064" i="3"/>
  <c r="AH1064" i="3"/>
  <c r="AI1063" i="3"/>
  <c r="AH1063" i="3"/>
  <c r="AI1062" i="3"/>
  <c r="AH1062" i="3"/>
  <c r="AI1061" i="3"/>
  <c r="AH1061" i="3"/>
  <c r="AI1060" i="3"/>
  <c r="AH1060" i="3"/>
  <c r="AI1059" i="3"/>
  <c r="AH1059" i="3"/>
  <c r="AI1058" i="3"/>
  <c r="AH1058" i="3"/>
  <c r="AI1057" i="3"/>
  <c r="AH1057" i="3"/>
  <c r="AI1056" i="3"/>
  <c r="AH1056" i="3"/>
  <c r="AI1055" i="3"/>
  <c r="AH1055" i="3"/>
  <c r="AI1054" i="3"/>
  <c r="AH1054" i="3"/>
  <c r="AI1053" i="3"/>
  <c r="AH1053" i="3"/>
  <c r="AI1052" i="3"/>
  <c r="AH1052" i="3"/>
  <c r="AI1051" i="3"/>
  <c r="AH1051" i="3"/>
  <c r="AI1050" i="3"/>
  <c r="AH1050" i="3"/>
  <c r="AI1049" i="3"/>
  <c r="AH1049" i="3"/>
  <c r="AI1048" i="3"/>
  <c r="AH1048" i="3"/>
  <c r="AI1047" i="3"/>
  <c r="AH1047" i="3"/>
  <c r="AI1046" i="3"/>
  <c r="AH1046" i="3"/>
  <c r="AI1045" i="3"/>
  <c r="AH1045" i="3"/>
  <c r="AI1044" i="3"/>
  <c r="AH1044" i="3"/>
  <c r="AI1043" i="3"/>
  <c r="AH1043" i="3"/>
  <c r="AI1042" i="3"/>
  <c r="AH1042" i="3"/>
  <c r="AI1041" i="3"/>
  <c r="AH1041" i="3"/>
  <c r="AI1040" i="3"/>
  <c r="AH1040" i="3"/>
  <c r="AI1039" i="3"/>
  <c r="AH1039" i="3"/>
  <c r="AI1038" i="3"/>
  <c r="AH1038" i="3"/>
  <c r="AI1037" i="3"/>
  <c r="AH1037" i="3"/>
  <c r="AI1036" i="3"/>
  <c r="AH1036" i="3"/>
  <c r="AI1035" i="3"/>
  <c r="AH1035" i="3"/>
  <c r="AI1034" i="3"/>
  <c r="AH1034" i="3"/>
  <c r="AI1033" i="3"/>
  <c r="AH1033" i="3"/>
  <c r="AI1032" i="3"/>
  <c r="AH1032" i="3"/>
  <c r="AI1031" i="3"/>
  <c r="AH1031" i="3"/>
  <c r="AI1030" i="3"/>
  <c r="AH1030" i="3"/>
  <c r="AI1029" i="3"/>
  <c r="AH1029" i="3"/>
  <c r="AI1028" i="3"/>
  <c r="AH1028" i="3"/>
  <c r="AI1027" i="3"/>
  <c r="AH1027" i="3"/>
  <c r="AI1026" i="3"/>
  <c r="AH1026" i="3"/>
  <c r="AI1025" i="3"/>
  <c r="AH1025" i="3"/>
  <c r="AI1024" i="3"/>
  <c r="AH1024" i="3"/>
  <c r="AI1023" i="3"/>
  <c r="AH1023" i="3"/>
  <c r="AI1022" i="3"/>
  <c r="AH1022" i="3"/>
  <c r="AI1021" i="3"/>
  <c r="AH1021" i="3"/>
  <c r="AI1020" i="3"/>
  <c r="AH1020" i="3"/>
  <c r="AI1019" i="3"/>
  <c r="AH1019" i="3"/>
  <c r="AI1018" i="3"/>
  <c r="AH1018" i="3"/>
  <c r="AI1017" i="3"/>
  <c r="AH1017" i="3"/>
  <c r="AI1016" i="3"/>
  <c r="AH1016" i="3"/>
  <c r="AI1015" i="3"/>
  <c r="AH1015" i="3"/>
  <c r="AI1014" i="3"/>
  <c r="AH1014" i="3"/>
  <c r="AI1013" i="3"/>
  <c r="AH1013" i="3"/>
  <c r="AI1012" i="3"/>
  <c r="AH1012" i="3"/>
  <c r="AI1011" i="3"/>
  <c r="AH1011" i="3"/>
  <c r="AI1010" i="3"/>
  <c r="AH1010" i="3"/>
  <c r="AG1010" i="3"/>
  <c r="AO1003" i="3"/>
  <c r="AN1004" i="3"/>
  <c r="AN1003" i="3"/>
  <c r="AO996" i="3"/>
  <c r="AN997" i="3"/>
  <c r="AN996" i="3"/>
  <c r="AO989" i="3"/>
  <c r="AN990" i="3"/>
  <c r="AN989" i="3"/>
  <c r="AO982" i="3"/>
  <c r="AN983" i="3"/>
  <c r="AN982" i="3"/>
  <c r="AO975" i="3"/>
  <c r="AN976" i="3"/>
  <c r="AN975" i="3"/>
  <c r="AO968" i="3"/>
  <c r="AN969" i="3"/>
  <c r="AN968" i="3"/>
  <c r="AO961" i="3"/>
  <c r="AN962" i="3"/>
  <c r="AN961" i="3"/>
  <c r="AO954" i="3"/>
  <c r="AN955" i="3"/>
  <c r="AN954" i="3"/>
  <c r="AO947" i="3"/>
  <c r="AN948" i="3"/>
  <c r="AN947" i="3"/>
  <c r="AI1009" i="3"/>
  <c r="AH1009" i="3"/>
  <c r="AI1008" i="3"/>
  <c r="AH1008" i="3"/>
  <c r="AI1007" i="3"/>
  <c r="AH1007" i="3"/>
  <c r="AI1006" i="3"/>
  <c r="AH1006" i="3"/>
  <c r="AI1005" i="3"/>
  <c r="AH1005" i="3"/>
  <c r="AI1004" i="3"/>
  <c r="AH1004" i="3"/>
  <c r="AI1003" i="3"/>
  <c r="AH1003" i="3"/>
  <c r="AI1002" i="3"/>
  <c r="AH1002" i="3"/>
  <c r="AI1001" i="3"/>
  <c r="AH1001" i="3"/>
  <c r="AI1000" i="3"/>
  <c r="AH1000" i="3"/>
  <c r="AI999" i="3"/>
  <c r="AH999" i="3"/>
  <c r="AI998" i="3"/>
  <c r="AH998" i="3"/>
  <c r="AI997" i="3"/>
  <c r="AH997" i="3"/>
  <c r="AI996" i="3"/>
  <c r="AH996" i="3"/>
  <c r="AI995" i="3"/>
  <c r="AH995" i="3"/>
  <c r="AI994" i="3"/>
  <c r="AH994" i="3"/>
  <c r="AI993" i="3"/>
  <c r="AH993" i="3"/>
  <c r="AI992" i="3"/>
  <c r="AH992" i="3"/>
  <c r="AI991" i="3"/>
  <c r="AH991" i="3"/>
  <c r="AI990" i="3"/>
  <c r="AH990" i="3"/>
  <c r="AI989" i="3"/>
  <c r="AH989" i="3"/>
  <c r="AI988" i="3"/>
  <c r="AH988" i="3"/>
  <c r="AI987" i="3"/>
  <c r="AH987" i="3"/>
  <c r="AI986" i="3"/>
  <c r="AH986" i="3"/>
  <c r="AI985" i="3"/>
  <c r="AH985" i="3"/>
  <c r="AI984" i="3"/>
  <c r="AH984" i="3"/>
  <c r="AI983" i="3"/>
  <c r="AH983" i="3"/>
  <c r="AI982" i="3"/>
  <c r="AH982" i="3"/>
  <c r="AI981" i="3"/>
  <c r="AH981" i="3"/>
  <c r="AI980" i="3"/>
  <c r="AH980" i="3"/>
  <c r="AI979" i="3"/>
  <c r="AH979" i="3"/>
  <c r="AI978" i="3"/>
  <c r="AH978" i="3"/>
  <c r="AI977" i="3"/>
  <c r="AH977" i="3"/>
  <c r="AI976" i="3"/>
  <c r="AH976" i="3"/>
  <c r="AI975" i="3"/>
  <c r="AH975" i="3"/>
  <c r="AI974" i="3"/>
  <c r="AH974" i="3"/>
  <c r="AI973" i="3"/>
  <c r="AH973" i="3"/>
  <c r="AI972" i="3"/>
  <c r="AH972" i="3"/>
  <c r="AI971" i="3"/>
  <c r="AH971" i="3"/>
  <c r="AI970" i="3"/>
  <c r="AH970" i="3"/>
  <c r="AI969" i="3"/>
  <c r="AH969" i="3"/>
  <c r="AI968" i="3"/>
  <c r="AH968" i="3"/>
  <c r="AI967" i="3"/>
  <c r="AH967" i="3"/>
  <c r="AI966" i="3"/>
  <c r="AH966" i="3"/>
  <c r="AI965" i="3"/>
  <c r="AH965" i="3"/>
  <c r="AI964" i="3"/>
  <c r="AH964" i="3"/>
  <c r="AI963" i="3"/>
  <c r="AH963" i="3"/>
  <c r="AI962" i="3"/>
  <c r="AH962" i="3"/>
  <c r="AI961" i="3"/>
  <c r="AH961" i="3"/>
  <c r="AI960" i="3"/>
  <c r="AH960" i="3"/>
  <c r="AI959" i="3"/>
  <c r="AH959" i="3"/>
  <c r="AI958" i="3"/>
  <c r="AH958" i="3"/>
  <c r="AI957" i="3"/>
  <c r="AH957" i="3"/>
  <c r="AI956" i="3"/>
  <c r="AH956" i="3"/>
  <c r="AI955" i="3"/>
  <c r="AH955" i="3"/>
  <c r="AI954" i="3"/>
  <c r="AH954" i="3"/>
  <c r="AI953" i="3"/>
  <c r="AH953" i="3"/>
  <c r="AI952" i="3"/>
  <c r="AH952" i="3"/>
  <c r="AI951" i="3"/>
  <c r="AH951" i="3"/>
  <c r="AI950" i="3"/>
  <c r="AH950" i="3"/>
  <c r="AI949" i="3"/>
  <c r="AH949" i="3"/>
  <c r="AI948" i="3"/>
  <c r="AH948" i="3"/>
  <c r="AI947" i="3"/>
  <c r="AH947" i="3"/>
  <c r="AG947" i="3"/>
  <c r="AO940" i="3"/>
  <c r="AN941" i="3"/>
  <c r="AN940" i="3"/>
  <c r="AO933" i="3"/>
  <c r="AN934" i="3"/>
  <c r="AN933" i="3"/>
  <c r="AO926" i="3"/>
  <c r="AN927" i="3"/>
  <c r="AN926" i="3"/>
  <c r="AO919" i="3"/>
  <c r="AN920" i="3"/>
  <c r="AN919" i="3"/>
  <c r="AO912" i="3"/>
  <c r="AN913" i="3"/>
  <c r="AN912" i="3"/>
  <c r="AO905" i="3"/>
  <c r="AN906" i="3"/>
  <c r="AN905" i="3"/>
  <c r="AO898" i="3"/>
  <c r="AN899" i="3"/>
  <c r="AN898" i="3"/>
  <c r="AO891" i="3"/>
  <c r="AN892" i="3"/>
  <c r="AN891" i="3"/>
  <c r="AO884" i="3"/>
  <c r="AN885" i="3"/>
  <c r="AN884" i="3"/>
  <c r="AI946" i="3"/>
  <c r="AH946" i="3"/>
  <c r="AI945" i="3"/>
  <c r="AH945" i="3"/>
  <c r="AI944" i="3"/>
  <c r="AH944" i="3"/>
  <c r="AI943" i="3"/>
  <c r="AH943" i="3"/>
  <c r="AI942" i="3"/>
  <c r="AH942" i="3"/>
  <c r="AI941" i="3"/>
  <c r="AH941" i="3"/>
  <c r="AI940" i="3"/>
  <c r="AH940" i="3"/>
  <c r="AI939" i="3"/>
  <c r="AH939" i="3"/>
  <c r="AI938" i="3"/>
  <c r="AH938" i="3"/>
  <c r="AI937" i="3"/>
  <c r="AH937" i="3"/>
  <c r="AI936" i="3"/>
  <c r="AH936" i="3"/>
  <c r="AI935" i="3"/>
  <c r="AH935" i="3"/>
  <c r="AI934" i="3"/>
  <c r="AH934" i="3"/>
  <c r="AI933" i="3"/>
  <c r="AH933" i="3"/>
  <c r="AI932" i="3"/>
  <c r="AH932" i="3"/>
  <c r="AI931" i="3"/>
  <c r="AH931" i="3"/>
  <c r="AI930" i="3"/>
  <c r="AH930" i="3"/>
  <c r="AI929" i="3"/>
  <c r="AH929" i="3"/>
  <c r="AI928" i="3"/>
  <c r="AH928" i="3"/>
  <c r="AI927" i="3"/>
  <c r="AH927" i="3"/>
  <c r="AI926" i="3"/>
  <c r="AH926" i="3"/>
  <c r="AI925" i="3"/>
  <c r="AH925" i="3"/>
  <c r="AI924" i="3"/>
  <c r="AH924" i="3"/>
  <c r="AI923" i="3"/>
  <c r="AH923" i="3"/>
  <c r="AI922" i="3"/>
  <c r="AH922" i="3"/>
  <c r="AI921" i="3"/>
  <c r="AH921" i="3"/>
  <c r="AI920" i="3"/>
  <c r="AH920" i="3"/>
  <c r="AI919" i="3"/>
  <c r="AH919" i="3"/>
  <c r="AI918" i="3"/>
  <c r="AH918" i="3"/>
  <c r="AI917" i="3"/>
  <c r="AH917" i="3"/>
  <c r="AI916" i="3"/>
  <c r="AH916" i="3"/>
  <c r="AI915" i="3"/>
  <c r="AH915" i="3"/>
  <c r="AI914" i="3"/>
  <c r="AH914" i="3"/>
  <c r="AI913" i="3"/>
  <c r="AH913" i="3"/>
  <c r="AI912" i="3"/>
  <c r="AH912" i="3"/>
  <c r="AI911" i="3"/>
  <c r="AH911" i="3"/>
  <c r="AI910" i="3"/>
  <c r="AH910" i="3"/>
  <c r="AI909" i="3"/>
  <c r="AH909" i="3"/>
  <c r="AI908" i="3"/>
  <c r="AH908" i="3"/>
  <c r="AI907" i="3"/>
  <c r="AH907" i="3"/>
  <c r="AI906" i="3"/>
  <c r="AH906" i="3"/>
  <c r="AI905" i="3"/>
  <c r="AH905" i="3"/>
  <c r="AI904" i="3"/>
  <c r="AH904" i="3"/>
  <c r="AI903" i="3"/>
  <c r="AH903" i="3"/>
  <c r="AI902" i="3"/>
  <c r="AH902" i="3"/>
  <c r="AI901" i="3"/>
  <c r="AH901" i="3"/>
  <c r="AI900" i="3"/>
  <c r="AH900" i="3"/>
  <c r="AI899" i="3"/>
  <c r="AH899" i="3"/>
  <c r="AI898" i="3"/>
  <c r="AH898" i="3"/>
  <c r="AI897" i="3"/>
  <c r="AH897" i="3"/>
  <c r="AI896" i="3"/>
  <c r="AH896" i="3"/>
  <c r="AI895" i="3"/>
  <c r="AH895" i="3"/>
  <c r="AI894" i="3"/>
  <c r="AH894" i="3"/>
  <c r="AI893" i="3"/>
  <c r="AH893" i="3"/>
  <c r="AI892" i="3"/>
  <c r="AH892" i="3"/>
  <c r="AI891" i="3"/>
  <c r="AH891" i="3"/>
  <c r="AI890" i="3"/>
  <c r="AH890" i="3"/>
  <c r="AI889" i="3"/>
  <c r="AH889" i="3"/>
  <c r="AI888" i="3"/>
  <c r="AH888" i="3"/>
  <c r="AI887" i="3"/>
  <c r="AH887" i="3"/>
  <c r="AI886" i="3"/>
  <c r="AH886" i="3"/>
  <c r="AI885" i="3"/>
  <c r="AH885" i="3"/>
  <c r="AI884" i="3"/>
  <c r="AH884" i="3"/>
  <c r="AG884" i="3"/>
  <c r="AO877" i="3"/>
  <c r="AN878" i="3"/>
  <c r="AN877" i="3"/>
  <c r="AO870" i="3"/>
  <c r="AN871" i="3"/>
  <c r="AN870" i="3"/>
  <c r="AO863" i="3"/>
  <c r="AN864" i="3"/>
  <c r="AN863" i="3"/>
  <c r="AO856" i="3"/>
  <c r="AN857" i="3"/>
  <c r="AN856" i="3"/>
  <c r="AO849" i="3"/>
  <c r="AN850" i="3"/>
  <c r="AN849" i="3"/>
  <c r="AO842" i="3"/>
  <c r="AN843" i="3"/>
  <c r="AN842" i="3"/>
  <c r="AO835" i="3"/>
  <c r="AN836" i="3"/>
  <c r="AN835" i="3"/>
  <c r="AO828" i="3"/>
  <c r="AN829" i="3"/>
  <c r="AN828" i="3"/>
  <c r="AO821" i="3"/>
  <c r="AN822" i="3"/>
  <c r="AN821" i="3"/>
  <c r="AI883" i="3"/>
  <c r="AH883" i="3"/>
  <c r="AI882" i="3"/>
  <c r="AH882" i="3"/>
  <c r="AI881" i="3"/>
  <c r="AH881" i="3"/>
  <c r="AI880" i="3"/>
  <c r="AH880" i="3"/>
  <c r="AI879" i="3"/>
  <c r="AH879" i="3"/>
  <c r="AI878" i="3"/>
  <c r="AH878" i="3"/>
  <c r="AI877" i="3"/>
  <c r="AH877" i="3"/>
  <c r="AI876" i="3"/>
  <c r="AH876" i="3"/>
  <c r="AI875" i="3"/>
  <c r="AH875" i="3"/>
  <c r="AI874" i="3"/>
  <c r="AH874" i="3"/>
  <c r="AI873" i="3"/>
  <c r="AH873" i="3"/>
  <c r="AI872" i="3"/>
  <c r="AH872" i="3"/>
  <c r="AI871" i="3"/>
  <c r="AH871" i="3"/>
  <c r="AI870" i="3"/>
  <c r="AH870" i="3"/>
  <c r="AI869" i="3"/>
  <c r="AH869" i="3"/>
  <c r="AI868" i="3"/>
  <c r="AH868" i="3"/>
  <c r="AI867" i="3"/>
  <c r="AH867" i="3"/>
  <c r="AI866" i="3"/>
  <c r="AH866" i="3"/>
  <c r="AI865" i="3"/>
  <c r="AH865" i="3"/>
  <c r="AI864" i="3"/>
  <c r="AH864" i="3"/>
  <c r="AI863" i="3"/>
  <c r="AH863" i="3"/>
  <c r="AI862" i="3"/>
  <c r="AH862" i="3"/>
  <c r="AI861" i="3"/>
  <c r="AH861" i="3"/>
  <c r="AI860" i="3"/>
  <c r="AH860" i="3"/>
  <c r="AI859" i="3"/>
  <c r="AH859" i="3"/>
  <c r="AI858" i="3"/>
  <c r="AH858" i="3"/>
  <c r="AI857" i="3"/>
  <c r="AH857" i="3"/>
  <c r="AI856" i="3"/>
  <c r="AH856" i="3"/>
  <c r="AI855" i="3"/>
  <c r="AH855" i="3"/>
  <c r="AI854" i="3"/>
  <c r="AH854" i="3"/>
  <c r="AI853" i="3"/>
  <c r="AH853" i="3"/>
  <c r="AI852" i="3"/>
  <c r="AH852" i="3"/>
  <c r="AI851" i="3"/>
  <c r="AH851" i="3"/>
  <c r="AI850" i="3"/>
  <c r="AH850" i="3"/>
  <c r="AI849" i="3"/>
  <c r="AH849" i="3"/>
  <c r="AI848" i="3"/>
  <c r="AH848" i="3"/>
  <c r="AI847" i="3"/>
  <c r="AH847" i="3"/>
  <c r="AI846" i="3"/>
  <c r="AH846" i="3"/>
  <c r="AI845" i="3"/>
  <c r="AH845" i="3"/>
  <c r="AI844" i="3"/>
  <c r="AH844" i="3"/>
  <c r="AI843" i="3"/>
  <c r="AH843" i="3"/>
  <c r="AI842" i="3"/>
  <c r="AH842" i="3"/>
  <c r="AI841" i="3"/>
  <c r="AH841" i="3"/>
  <c r="AI840" i="3"/>
  <c r="AH840" i="3"/>
  <c r="AI839" i="3"/>
  <c r="AH839" i="3"/>
  <c r="AI838" i="3"/>
  <c r="AH838" i="3"/>
  <c r="AI837" i="3"/>
  <c r="AH837" i="3"/>
  <c r="AI836" i="3"/>
  <c r="AH836" i="3"/>
  <c r="AI835" i="3"/>
  <c r="AH835" i="3"/>
  <c r="AI834" i="3"/>
  <c r="AH834" i="3"/>
  <c r="AI833" i="3"/>
  <c r="AH833" i="3"/>
  <c r="AI832" i="3"/>
  <c r="AH832" i="3"/>
  <c r="AI831" i="3"/>
  <c r="AH831" i="3"/>
  <c r="AI830" i="3"/>
  <c r="AH830" i="3"/>
  <c r="AI829" i="3"/>
  <c r="AH829" i="3"/>
  <c r="AI828" i="3"/>
  <c r="AH828" i="3"/>
  <c r="AI827" i="3"/>
  <c r="AH827" i="3"/>
  <c r="AI826" i="3"/>
  <c r="AH826" i="3"/>
  <c r="AI825" i="3"/>
  <c r="AH825" i="3"/>
  <c r="AI824" i="3"/>
  <c r="AH824" i="3"/>
  <c r="AI823" i="3"/>
  <c r="AH823" i="3"/>
  <c r="AI822" i="3"/>
  <c r="AH822" i="3"/>
  <c r="AI821" i="3"/>
  <c r="AH821" i="3"/>
  <c r="AG821" i="3"/>
  <c r="AO814" i="3"/>
  <c r="AN815" i="3"/>
  <c r="AN814" i="3"/>
  <c r="AO807" i="3"/>
  <c r="AN808" i="3"/>
  <c r="AN807" i="3"/>
  <c r="AO800" i="3"/>
  <c r="AN801" i="3"/>
  <c r="AN800" i="3"/>
  <c r="AO793" i="3"/>
  <c r="AN794" i="3"/>
  <c r="AN793" i="3"/>
  <c r="AO786" i="3"/>
  <c r="AN787" i="3"/>
  <c r="AN786" i="3"/>
  <c r="AO779" i="3"/>
  <c r="AN780" i="3"/>
  <c r="AN779" i="3"/>
  <c r="AO772" i="3"/>
  <c r="AN773" i="3"/>
  <c r="AN772" i="3"/>
  <c r="AO765" i="3"/>
  <c r="AN766" i="3"/>
  <c r="AN765" i="3"/>
  <c r="AO758" i="3"/>
  <c r="AN759" i="3"/>
  <c r="AN758" i="3"/>
  <c r="AI820" i="3"/>
  <c r="AH820" i="3"/>
  <c r="AI819" i="3"/>
  <c r="AH819" i="3"/>
  <c r="AI818" i="3"/>
  <c r="AH818" i="3"/>
  <c r="AI817" i="3"/>
  <c r="AH817" i="3"/>
  <c r="AI816" i="3"/>
  <c r="AH816" i="3"/>
  <c r="AI815" i="3"/>
  <c r="AH815" i="3"/>
  <c r="AI814" i="3"/>
  <c r="AH814" i="3"/>
  <c r="AI813" i="3"/>
  <c r="AH813" i="3"/>
  <c r="AI812" i="3"/>
  <c r="AH812" i="3"/>
  <c r="AI811" i="3"/>
  <c r="AH811" i="3"/>
  <c r="AI810" i="3"/>
  <c r="AH810" i="3"/>
  <c r="AI809" i="3"/>
  <c r="AH809" i="3"/>
  <c r="AI808" i="3"/>
  <c r="AH808" i="3"/>
  <c r="AI807" i="3"/>
  <c r="AH807" i="3"/>
  <c r="AI806" i="3"/>
  <c r="AH806" i="3"/>
  <c r="AI805" i="3"/>
  <c r="AH805" i="3"/>
  <c r="AI804" i="3"/>
  <c r="AH804" i="3"/>
  <c r="AI803" i="3"/>
  <c r="AH803" i="3"/>
  <c r="AI802" i="3"/>
  <c r="AH802" i="3"/>
  <c r="AI801" i="3"/>
  <c r="AH801" i="3"/>
  <c r="AI800" i="3"/>
  <c r="AH800" i="3"/>
  <c r="AI799" i="3"/>
  <c r="AH799" i="3"/>
  <c r="AI798" i="3"/>
  <c r="AH798" i="3"/>
  <c r="AI797" i="3"/>
  <c r="AH797" i="3"/>
  <c r="AI796" i="3"/>
  <c r="AH796" i="3"/>
  <c r="AI795" i="3"/>
  <c r="AH795" i="3"/>
  <c r="AI794" i="3"/>
  <c r="AH794" i="3"/>
  <c r="AI793" i="3"/>
  <c r="AH793" i="3"/>
  <c r="AI792" i="3"/>
  <c r="AH792" i="3"/>
  <c r="AI791" i="3"/>
  <c r="AH791" i="3"/>
  <c r="AI790" i="3"/>
  <c r="AH790" i="3"/>
  <c r="AI789" i="3"/>
  <c r="AH789" i="3"/>
  <c r="AI788" i="3"/>
  <c r="AH788" i="3"/>
  <c r="AI787" i="3"/>
  <c r="AH787" i="3"/>
  <c r="AI786" i="3"/>
  <c r="AH786" i="3"/>
  <c r="AI785" i="3"/>
  <c r="AH785" i="3"/>
  <c r="AI784" i="3"/>
  <c r="AH784" i="3"/>
  <c r="AI783" i="3"/>
  <c r="AH783" i="3"/>
  <c r="AI782" i="3"/>
  <c r="AH782" i="3"/>
  <c r="AI781" i="3"/>
  <c r="AH781" i="3"/>
  <c r="AI780" i="3"/>
  <c r="AH780" i="3"/>
  <c r="AI779" i="3"/>
  <c r="AH779" i="3"/>
  <c r="AI778" i="3"/>
  <c r="AH778" i="3"/>
  <c r="AI777" i="3"/>
  <c r="AH777" i="3"/>
  <c r="AI776" i="3"/>
  <c r="AH776" i="3"/>
  <c r="AI775" i="3"/>
  <c r="AH775" i="3"/>
  <c r="AI774" i="3"/>
  <c r="AH774" i="3"/>
  <c r="AI773" i="3"/>
  <c r="AH773" i="3"/>
  <c r="AI772" i="3"/>
  <c r="AH772" i="3"/>
  <c r="AI771" i="3"/>
  <c r="AH771" i="3"/>
  <c r="AI770" i="3"/>
  <c r="AH770" i="3"/>
  <c r="AI769" i="3"/>
  <c r="AH769" i="3"/>
  <c r="AI768" i="3"/>
  <c r="AH768" i="3"/>
  <c r="AI767" i="3"/>
  <c r="AH767" i="3"/>
  <c r="AI766" i="3"/>
  <c r="AH766" i="3"/>
  <c r="AI765" i="3"/>
  <c r="AH765" i="3"/>
  <c r="AI764" i="3"/>
  <c r="AH764" i="3"/>
  <c r="AI763" i="3"/>
  <c r="AH763" i="3"/>
  <c r="AI762" i="3"/>
  <c r="AH762" i="3"/>
  <c r="AI761" i="3"/>
  <c r="AH761" i="3"/>
  <c r="AI760" i="3"/>
  <c r="AH760" i="3"/>
  <c r="AI759" i="3"/>
  <c r="AH759" i="3"/>
  <c r="AI758" i="3"/>
  <c r="AH758" i="3"/>
  <c r="AG758" i="3"/>
  <c r="AO751" i="3"/>
  <c r="AN752" i="3"/>
  <c r="AN751" i="3"/>
  <c r="AO744" i="3"/>
  <c r="AN745" i="3"/>
  <c r="AN744" i="3"/>
  <c r="AO737" i="3"/>
  <c r="AN738" i="3"/>
  <c r="AN737" i="3"/>
  <c r="AO730" i="3"/>
  <c r="AN731" i="3"/>
  <c r="AN730" i="3"/>
  <c r="AO723" i="3"/>
  <c r="AN724" i="3"/>
  <c r="AN723" i="3"/>
  <c r="AO716" i="3"/>
  <c r="AN717" i="3"/>
  <c r="AN716" i="3"/>
  <c r="AO709" i="3"/>
  <c r="AN710" i="3"/>
  <c r="AN709" i="3"/>
  <c r="AO702" i="3"/>
  <c r="AN703" i="3"/>
  <c r="AN702" i="3"/>
  <c r="AO695" i="3"/>
  <c r="AN696" i="3"/>
  <c r="AN695" i="3"/>
  <c r="AI757" i="3"/>
  <c r="AH757" i="3"/>
  <c r="AI756" i="3"/>
  <c r="AH756" i="3"/>
  <c r="AI755" i="3"/>
  <c r="AH755" i="3"/>
  <c r="AI754" i="3"/>
  <c r="AH754" i="3"/>
  <c r="AI753" i="3"/>
  <c r="AH753" i="3"/>
  <c r="AI752" i="3"/>
  <c r="AH752" i="3"/>
  <c r="AI751" i="3"/>
  <c r="AH751" i="3"/>
  <c r="AI750" i="3"/>
  <c r="AH750" i="3"/>
  <c r="AI749" i="3"/>
  <c r="AH749" i="3"/>
  <c r="AI748" i="3"/>
  <c r="AH748" i="3"/>
  <c r="AI747" i="3"/>
  <c r="AH747" i="3"/>
  <c r="AI746" i="3"/>
  <c r="AH746" i="3"/>
  <c r="AI745" i="3"/>
  <c r="AH745" i="3"/>
  <c r="AI744" i="3"/>
  <c r="AH744" i="3"/>
  <c r="AI743" i="3"/>
  <c r="AH743" i="3"/>
  <c r="AI742" i="3"/>
  <c r="AH742" i="3"/>
  <c r="AI741" i="3"/>
  <c r="AH741" i="3"/>
  <c r="AI740" i="3"/>
  <c r="AH740" i="3"/>
  <c r="AI739" i="3"/>
  <c r="AH739" i="3"/>
  <c r="AI738" i="3"/>
  <c r="AH738" i="3"/>
  <c r="AI737" i="3"/>
  <c r="AH737" i="3"/>
  <c r="AI736" i="3"/>
  <c r="AH736" i="3"/>
  <c r="AI735" i="3"/>
  <c r="AH735" i="3"/>
  <c r="AI734" i="3"/>
  <c r="AH734" i="3"/>
  <c r="AI733" i="3"/>
  <c r="AH733" i="3"/>
  <c r="AI732" i="3"/>
  <c r="AH732" i="3"/>
  <c r="AI731" i="3"/>
  <c r="AH731" i="3"/>
  <c r="AI730" i="3"/>
  <c r="AH730" i="3"/>
  <c r="AI729" i="3"/>
  <c r="AH729" i="3"/>
  <c r="AI728" i="3"/>
  <c r="AH728" i="3"/>
  <c r="AI727" i="3"/>
  <c r="AH727" i="3"/>
  <c r="AI726" i="3"/>
  <c r="AH726" i="3"/>
  <c r="AI725" i="3"/>
  <c r="AH725" i="3"/>
  <c r="AI724" i="3"/>
  <c r="AH724" i="3"/>
  <c r="AI723" i="3"/>
  <c r="AH723" i="3"/>
  <c r="AI722" i="3"/>
  <c r="AH722" i="3"/>
  <c r="AI721" i="3"/>
  <c r="AH721" i="3"/>
  <c r="AI720" i="3"/>
  <c r="AH720" i="3"/>
  <c r="AI719" i="3"/>
  <c r="AH719" i="3"/>
  <c r="AI718" i="3"/>
  <c r="AH718" i="3"/>
  <c r="AI717" i="3"/>
  <c r="AH717" i="3"/>
  <c r="AI716" i="3"/>
  <c r="AH716" i="3"/>
  <c r="AI715" i="3"/>
  <c r="AH715" i="3"/>
  <c r="AI714" i="3"/>
  <c r="AH714" i="3"/>
  <c r="AI713" i="3"/>
  <c r="AH713" i="3"/>
  <c r="AI712" i="3"/>
  <c r="AH712" i="3"/>
  <c r="AI711" i="3"/>
  <c r="AH711" i="3"/>
  <c r="AI710" i="3"/>
  <c r="AH710" i="3"/>
  <c r="AI709" i="3"/>
  <c r="AH709" i="3"/>
  <c r="AI708" i="3"/>
  <c r="AH708" i="3"/>
  <c r="AI707" i="3"/>
  <c r="AH707" i="3"/>
  <c r="AI706" i="3"/>
  <c r="AH706" i="3"/>
  <c r="AI705" i="3"/>
  <c r="AH705" i="3"/>
  <c r="AI704" i="3"/>
  <c r="AH704" i="3"/>
  <c r="AI703" i="3"/>
  <c r="AH703" i="3"/>
  <c r="AI702" i="3"/>
  <c r="AH702" i="3"/>
  <c r="AI701" i="3"/>
  <c r="AH701" i="3"/>
  <c r="AI700" i="3"/>
  <c r="AH700" i="3"/>
  <c r="AI699" i="3"/>
  <c r="AH699" i="3"/>
  <c r="AI698" i="3"/>
  <c r="AH698" i="3"/>
  <c r="AI697" i="3"/>
  <c r="AH697" i="3"/>
  <c r="AI696" i="3"/>
  <c r="AH696" i="3"/>
  <c r="AI695" i="3"/>
  <c r="AH695" i="3"/>
  <c r="AG695" i="3"/>
  <c r="AO688" i="3"/>
  <c r="AN689" i="3"/>
  <c r="AN688" i="3"/>
  <c r="AO681" i="3"/>
  <c r="AN682" i="3"/>
  <c r="AN681" i="3"/>
  <c r="AO674" i="3"/>
  <c r="AN675" i="3"/>
  <c r="AN674" i="3"/>
  <c r="AO667" i="3"/>
  <c r="AN668" i="3"/>
  <c r="AN667" i="3"/>
  <c r="AO660" i="3"/>
  <c r="AN661" i="3"/>
  <c r="AN660" i="3"/>
  <c r="AO653" i="3"/>
  <c r="AN654" i="3"/>
  <c r="AN653" i="3"/>
  <c r="AO646" i="3"/>
  <c r="AN647" i="3"/>
  <c r="AN646" i="3"/>
  <c r="AO639" i="3"/>
  <c r="AN640" i="3"/>
  <c r="AN639" i="3"/>
  <c r="AO632" i="3"/>
  <c r="AN633" i="3"/>
  <c r="AN632" i="3"/>
  <c r="AI694" i="3"/>
  <c r="AH694" i="3"/>
  <c r="AI693" i="3"/>
  <c r="AH693" i="3"/>
  <c r="AI692" i="3"/>
  <c r="AH692" i="3"/>
  <c r="AI691" i="3"/>
  <c r="AH691" i="3"/>
  <c r="AI690" i="3"/>
  <c r="AH690" i="3"/>
  <c r="AI689" i="3"/>
  <c r="AH689" i="3"/>
  <c r="AI688" i="3"/>
  <c r="AH688" i="3"/>
  <c r="AI687" i="3"/>
  <c r="AH687" i="3"/>
  <c r="AI686" i="3"/>
  <c r="AH686" i="3"/>
  <c r="AI685" i="3"/>
  <c r="AH685" i="3"/>
  <c r="AI684" i="3"/>
  <c r="AH684" i="3"/>
  <c r="AI683" i="3"/>
  <c r="AH683" i="3"/>
  <c r="AI682" i="3"/>
  <c r="AH682" i="3"/>
  <c r="AI681" i="3"/>
  <c r="AH681" i="3"/>
  <c r="AI680" i="3"/>
  <c r="AH680" i="3"/>
  <c r="AI679" i="3"/>
  <c r="AH679" i="3"/>
  <c r="AI678" i="3"/>
  <c r="AH678" i="3"/>
  <c r="AI677" i="3"/>
  <c r="AH677" i="3"/>
  <c r="AI676" i="3"/>
  <c r="AH676" i="3"/>
  <c r="AI675" i="3"/>
  <c r="AH675" i="3"/>
  <c r="AI674" i="3"/>
  <c r="AH674" i="3"/>
  <c r="AI673" i="3"/>
  <c r="AH673" i="3"/>
  <c r="AI672" i="3"/>
  <c r="AH672" i="3"/>
  <c r="AI671" i="3"/>
  <c r="AH671" i="3"/>
  <c r="AI670" i="3"/>
  <c r="AH670" i="3"/>
  <c r="AI669" i="3"/>
  <c r="AH669" i="3"/>
  <c r="AI668" i="3"/>
  <c r="AH668" i="3"/>
  <c r="AI667" i="3"/>
  <c r="AH667" i="3"/>
  <c r="AI666" i="3"/>
  <c r="AH666" i="3"/>
  <c r="AI665" i="3"/>
  <c r="AH665" i="3"/>
  <c r="AI664" i="3"/>
  <c r="AH664" i="3"/>
  <c r="AI663" i="3"/>
  <c r="AH663" i="3"/>
  <c r="AI662" i="3"/>
  <c r="AH662" i="3"/>
  <c r="AI661" i="3"/>
  <c r="AH661" i="3"/>
  <c r="AI660" i="3"/>
  <c r="AH660" i="3"/>
  <c r="AI659" i="3"/>
  <c r="AH659" i="3"/>
  <c r="AI658" i="3"/>
  <c r="AH658" i="3"/>
  <c r="AI657" i="3"/>
  <c r="AH657" i="3"/>
  <c r="AI656" i="3"/>
  <c r="AH656" i="3"/>
  <c r="AI655" i="3"/>
  <c r="AH655" i="3"/>
  <c r="AI654" i="3"/>
  <c r="AH654" i="3"/>
  <c r="AI653" i="3"/>
  <c r="AH653" i="3"/>
  <c r="AI652" i="3"/>
  <c r="AH652" i="3"/>
  <c r="AI651" i="3"/>
  <c r="AH651" i="3"/>
  <c r="AI650" i="3"/>
  <c r="AH650" i="3"/>
  <c r="AI649" i="3"/>
  <c r="AH649" i="3"/>
  <c r="AI648" i="3"/>
  <c r="AH648" i="3"/>
  <c r="AI647" i="3"/>
  <c r="AH647" i="3"/>
  <c r="AI646" i="3"/>
  <c r="AH646" i="3"/>
  <c r="AI645" i="3"/>
  <c r="AH645" i="3"/>
  <c r="AI644" i="3"/>
  <c r="AH644" i="3"/>
  <c r="AI643" i="3"/>
  <c r="AH643" i="3"/>
  <c r="AI642" i="3"/>
  <c r="AH642" i="3"/>
  <c r="AI641" i="3"/>
  <c r="AH641" i="3"/>
  <c r="AI640" i="3"/>
  <c r="AH640" i="3"/>
  <c r="AI639" i="3"/>
  <c r="AH639" i="3"/>
  <c r="AI638" i="3"/>
  <c r="AH638" i="3"/>
  <c r="AI637" i="3"/>
  <c r="AH637" i="3"/>
  <c r="AI636" i="3"/>
  <c r="AH636" i="3"/>
  <c r="AI635" i="3"/>
  <c r="AH635" i="3"/>
  <c r="AI634" i="3"/>
  <c r="AH634" i="3"/>
  <c r="AI633" i="3"/>
  <c r="AH633" i="3"/>
  <c r="AI632" i="3"/>
  <c r="AH632" i="3"/>
  <c r="AG632" i="3"/>
  <c r="AO625" i="3"/>
  <c r="AN626" i="3"/>
  <c r="AN625" i="3"/>
  <c r="AO618" i="3"/>
  <c r="AN619" i="3"/>
  <c r="AN618" i="3"/>
  <c r="AO611" i="3"/>
  <c r="AN612" i="3"/>
  <c r="AN611" i="3"/>
  <c r="AO604" i="3"/>
  <c r="AN605" i="3"/>
  <c r="AN604" i="3"/>
  <c r="AO597" i="3"/>
  <c r="AN598" i="3"/>
  <c r="AN597" i="3"/>
  <c r="AO590" i="3"/>
  <c r="AN591" i="3"/>
  <c r="AN590" i="3"/>
  <c r="AO583" i="3"/>
  <c r="AN584" i="3"/>
  <c r="AN583" i="3"/>
  <c r="AO576" i="3"/>
  <c r="AN577" i="3"/>
  <c r="AN576" i="3"/>
  <c r="AO569" i="3"/>
  <c r="AN570" i="3"/>
  <c r="AN569" i="3"/>
  <c r="AI631" i="3"/>
  <c r="AH631" i="3"/>
  <c r="AI630" i="3"/>
  <c r="AH630" i="3"/>
  <c r="AI629" i="3"/>
  <c r="AH629" i="3"/>
  <c r="AI628" i="3"/>
  <c r="AH628" i="3"/>
  <c r="AI627" i="3"/>
  <c r="AH627" i="3"/>
  <c r="AI626" i="3"/>
  <c r="AH626" i="3"/>
  <c r="AI625" i="3"/>
  <c r="AH625" i="3"/>
  <c r="AI624" i="3"/>
  <c r="AH624" i="3"/>
  <c r="AI623" i="3"/>
  <c r="AH623" i="3"/>
  <c r="AI622" i="3"/>
  <c r="AH622" i="3"/>
  <c r="AI621" i="3"/>
  <c r="AH621" i="3"/>
  <c r="AI620" i="3"/>
  <c r="AH620" i="3"/>
  <c r="AI619" i="3"/>
  <c r="AH619" i="3"/>
  <c r="AI618" i="3"/>
  <c r="AH618" i="3"/>
  <c r="AI617" i="3"/>
  <c r="AH617" i="3"/>
  <c r="AI616" i="3"/>
  <c r="AH616" i="3"/>
  <c r="AI615" i="3"/>
  <c r="AH615" i="3"/>
  <c r="AI614" i="3"/>
  <c r="AH614" i="3"/>
  <c r="AI613" i="3"/>
  <c r="AH613" i="3"/>
  <c r="AI612" i="3"/>
  <c r="AH612" i="3"/>
  <c r="AI611" i="3"/>
  <c r="AH611" i="3"/>
  <c r="AI610" i="3"/>
  <c r="AH610" i="3"/>
  <c r="AI609" i="3"/>
  <c r="AH609" i="3"/>
  <c r="AI608" i="3"/>
  <c r="AH608" i="3"/>
  <c r="AI607" i="3"/>
  <c r="AH607" i="3"/>
  <c r="AI606" i="3"/>
  <c r="AH606" i="3"/>
  <c r="AI605" i="3"/>
  <c r="AH605" i="3"/>
  <c r="AI604" i="3"/>
  <c r="AH604" i="3"/>
  <c r="AI603" i="3"/>
  <c r="AH603" i="3"/>
  <c r="AI602" i="3"/>
  <c r="AH602" i="3"/>
  <c r="AI601" i="3"/>
  <c r="AH601" i="3"/>
  <c r="AI600" i="3"/>
  <c r="AH600" i="3"/>
  <c r="AI599" i="3"/>
  <c r="AH599" i="3"/>
  <c r="AI598" i="3"/>
  <c r="AH598" i="3"/>
  <c r="AI597" i="3"/>
  <c r="AH597" i="3"/>
  <c r="AI596" i="3"/>
  <c r="AH596" i="3"/>
  <c r="AI595" i="3"/>
  <c r="AH595" i="3"/>
  <c r="AI594" i="3"/>
  <c r="AH594" i="3"/>
  <c r="AI593" i="3"/>
  <c r="AH593" i="3"/>
  <c r="AI592" i="3"/>
  <c r="AH592" i="3"/>
  <c r="AI591" i="3"/>
  <c r="AH591" i="3"/>
  <c r="AI590" i="3"/>
  <c r="AH590" i="3"/>
  <c r="AI589" i="3"/>
  <c r="AH589" i="3"/>
  <c r="AI588" i="3"/>
  <c r="AH588" i="3"/>
  <c r="AI587" i="3"/>
  <c r="AH587" i="3"/>
  <c r="AI586" i="3"/>
  <c r="AH586" i="3"/>
  <c r="AI585" i="3"/>
  <c r="AH585" i="3"/>
  <c r="AI584" i="3"/>
  <c r="AH584" i="3"/>
  <c r="AI583" i="3"/>
  <c r="AH583" i="3"/>
  <c r="AI582" i="3"/>
  <c r="AH582" i="3"/>
  <c r="AI581" i="3"/>
  <c r="AH581" i="3"/>
  <c r="AI580" i="3"/>
  <c r="AH580" i="3"/>
  <c r="AI579" i="3"/>
  <c r="AH579" i="3"/>
  <c r="AI578" i="3"/>
  <c r="AH578" i="3"/>
  <c r="AI577" i="3"/>
  <c r="AH577" i="3"/>
  <c r="AI576" i="3"/>
  <c r="AH576" i="3"/>
  <c r="AI575" i="3"/>
  <c r="AH575" i="3"/>
  <c r="AI574" i="3"/>
  <c r="AH574" i="3"/>
  <c r="AI573" i="3"/>
  <c r="AH573" i="3"/>
  <c r="AI572" i="3"/>
  <c r="AH572" i="3"/>
  <c r="AI571" i="3"/>
  <c r="AH571" i="3"/>
  <c r="AI570" i="3"/>
  <c r="AH570" i="3"/>
  <c r="AI569" i="3"/>
  <c r="AH569" i="3"/>
  <c r="AG569" i="3"/>
  <c r="AO562" i="3"/>
  <c r="AN563" i="3"/>
  <c r="AN562" i="3"/>
  <c r="AO555" i="3"/>
  <c r="AN556" i="3"/>
  <c r="AN555" i="3"/>
  <c r="AO548" i="3"/>
  <c r="AN549" i="3"/>
  <c r="AN548" i="3"/>
  <c r="AO541" i="3"/>
  <c r="AN542" i="3"/>
  <c r="AN541" i="3"/>
  <c r="AO534" i="3"/>
  <c r="AN535" i="3"/>
  <c r="AN534" i="3"/>
  <c r="AO527" i="3"/>
  <c r="AN528" i="3"/>
  <c r="AN527" i="3"/>
  <c r="AO520" i="3"/>
  <c r="AN521" i="3"/>
  <c r="AN520" i="3"/>
  <c r="AO513" i="3"/>
  <c r="AN514" i="3"/>
  <c r="AN513" i="3"/>
  <c r="AO506" i="3"/>
  <c r="AN507" i="3"/>
  <c r="AN506" i="3"/>
  <c r="AI568" i="3"/>
  <c r="AH568" i="3"/>
  <c r="AI567" i="3"/>
  <c r="AH567" i="3"/>
  <c r="AI566" i="3"/>
  <c r="AH566" i="3"/>
  <c r="AI565" i="3"/>
  <c r="AH565" i="3"/>
  <c r="AI564" i="3"/>
  <c r="AH564" i="3"/>
  <c r="AI563" i="3"/>
  <c r="AH563" i="3"/>
  <c r="AI562" i="3"/>
  <c r="AH562" i="3"/>
  <c r="AI561" i="3"/>
  <c r="AH561" i="3"/>
  <c r="AI560" i="3"/>
  <c r="AH560" i="3"/>
  <c r="AI559" i="3"/>
  <c r="AH559" i="3"/>
  <c r="AI558" i="3"/>
  <c r="AH558" i="3"/>
  <c r="AI557" i="3"/>
  <c r="AH557" i="3"/>
  <c r="AI556" i="3"/>
  <c r="AH556" i="3"/>
  <c r="AI555" i="3"/>
  <c r="AH555" i="3"/>
  <c r="AI554" i="3"/>
  <c r="AH554" i="3"/>
  <c r="AI553" i="3"/>
  <c r="AH553" i="3"/>
  <c r="AI552" i="3"/>
  <c r="AH552" i="3"/>
  <c r="AI551" i="3"/>
  <c r="AH551" i="3"/>
  <c r="AI550" i="3"/>
  <c r="AH550" i="3"/>
  <c r="AI549" i="3"/>
  <c r="AH549" i="3"/>
  <c r="AI548" i="3"/>
  <c r="AH548" i="3"/>
  <c r="AI547" i="3"/>
  <c r="AH547" i="3"/>
  <c r="AI546" i="3"/>
  <c r="AH546" i="3"/>
  <c r="AI545" i="3"/>
  <c r="AH545" i="3"/>
  <c r="AI544" i="3"/>
  <c r="AH544" i="3"/>
  <c r="AI543" i="3"/>
  <c r="AH543" i="3"/>
  <c r="AI542" i="3"/>
  <c r="AH542" i="3"/>
  <c r="AI541" i="3"/>
  <c r="AH541" i="3"/>
  <c r="AI540" i="3"/>
  <c r="AH540" i="3"/>
  <c r="AI539" i="3"/>
  <c r="AH539" i="3"/>
  <c r="AI538" i="3"/>
  <c r="AH538" i="3"/>
  <c r="AI537" i="3"/>
  <c r="AH537" i="3"/>
  <c r="AI536" i="3"/>
  <c r="AH536" i="3"/>
  <c r="AI535" i="3"/>
  <c r="AH535" i="3"/>
  <c r="AI534" i="3"/>
  <c r="AH534" i="3"/>
  <c r="AI533" i="3"/>
  <c r="AH533" i="3"/>
  <c r="AI532" i="3"/>
  <c r="AH532" i="3"/>
  <c r="AI531" i="3"/>
  <c r="AH531" i="3"/>
  <c r="AI530" i="3"/>
  <c r="AH530" i="3"/>
  <c r="AI529" i="3"/>
  <c r="AH529" i="3"/>
  <c r="AI528" i="3"/>
  <c r="AH528" i="3"/>
  <c r="AI527" i="3"/>
  <c r="AH527" i="3"/>
  <c r="AI526" i="3"/>
  <c r="AH526" i="3"/>
  <c r="AI525" i="3"/>
  <c r="AH525" i="3"/>
  <c r="AI524" i="3"/>
  <c r="AH524" i="3"/>
  <c r="AI523" i="3"/>
  <c r="AH523" i="3"/>
  <c r="AI522" i="3"/>
  <c r="AH522" i="3"/>
  <c r="AI521" i="3"/>
  <c r="AH521" i="3"/>
  <c r="AI520" i="3"/>
  <c r="AH520" i="3"/>
  <c r="AI519" i="3"/>
  <c r="AH519" i="3"/>
  <c r="AI518" i="3"/>
  <c r="AH518" i="3"/>
  <c r="AI517" i="3"/>
  <c r="AH517" i="3"/>
  <c r="AI516" i="3"/>
  <c r="AH516" i="3"/>
  <c r="AI515" i="3"/>
  <c r="AH515" i="3"/>
  <c r="AI514" i="3"/>
  <c r="AH514" i="3"/>
  <c r="AI513" i="3"/>
  <c r="AH513" i="3"/>
  <c r="AI512" i="3"/>
  <c r="AH512" i="3"/>
  <c r="AI511" i="3"/>
  <c r="AH511" i="3"/>
  <c r="AI510" i="3"/>
  <c r="AH510" i="3"/>
  <c r="AI509" i="3"/>
  <c r="AH509" i="3"/>
  <c r="AI508" i="3"/>
  <c r="AH508" i="3"/>
  <c r="AI507" i="3"/>
  <c r="AH507" i="3"/>
  <c r="AI506" i="3"/>
  <c r="AH506" i="3"/>
  <c r="AG506" i="3"/>
  <c r="AO499" i="3"/>
  <c r="AN500" i="3"/>
  <c r="AN499" i="3"/>
  <c r="AO492" i="3"/>
  <c r="AN493" i="3"/>
  <c r="AN492" i="3"/>
  <c r="AO485" i="3"/>
  <c r="AN486" i="3"/>
  <c r="AN485" i="3"/>
  <c r="AO478" i="3"/>
  <c r="AN479" i="3"/>
  <c r="AN478" i="3"/>
  <c r="AO471" i="3"/>
  <c r="AN472" i="3"/>
  <c r="AN471" i="3"/>
  <c r="AO464" i="3"/>
  <c r="AN465" i="3"/>
  <c r="AN464" i="3"/>
  <c r="AO457" i="3"/>
  <c r="AN458" i="3"/>
  <c r="AN457" i="3"/>
  <c r="AO450" i="3"/>
  <c r="AN451" i="3"/>
  <c r="AN450" i="3"/>
  <c r="AO443" i="3"/>
  <c r="AN444" i="3"/>
  <c r="AN443" i="3"/>
  <c r="AI505" i="3"/>
  <c r="AH505" i="3"/>
  <c r="AI504" i="3"/>
  <c r="AH504" i="3"/>
  <c r="AI503" i="3"/>
  <c r="AH503" i="3"/>
  <c r="AI502" i="3"/>
  <c r="AH502" i="3"/>
  <c r="AI501" i="3"/>
  <c r="AH501" i="3"/>
  <c r="AI500" i="3"/>
  <c r="AH500" i="3"/>
  <c r="AI499" i="3"/>
  <c r="AH499" i="3"/>
  <c r="AI498" i="3"/>
  <c r="AH498" i="3"/>
  <c r="AI497" i="3"/>
  <c r="AH497" i="3"/>
  <c r="AI496" i="3"/>
  <c r="AH496" i="3"/>
  <c r="AI495" i="3"/>
  <c r="AH495" i="3"/>
  <c r="AI494" i="3"/>
  <c r="AH494" i="3"/>
  <c r="AI493" i="3"/>
  <c r="AH493" i="3"/>
  <c r="AI492" i="3"/>
  <c r="AH492" i="3"/>
  <c r="AI491" i="3"/>
  <c r="AH491" i="3"/>
  <c r="AI490" i="3"/>
  <c r="AH490" i="3"/>
  <c r="AI489" i="3"/>
  <c r="AH489" i="3"/>
  <c r="AI488" i="3"/>
  <c r="AH488" i="3"/>
  <c r="AI487" i="3"/>
  <c r="AH487" i="3"/>
  <c r="AI486" i="3"/>
  <c r="AH486" i="3"/>
  <c r="AI485" i="3"/>
  <c r="AH485" i="3"/>
  <c r="AI484" i="3"/>
  <c r="AH484" i="3"/>
  <c r="AI483" i="3"/>
  <c r="AH483" i="3"/>
  <c r="AI482" i="3"/>
  <c r="AH482" i="3"/>
  <c r="AI481" i="3"/>
  <c r="AH481" i="3"/>
  <c r="AI480" i="3"/>
  <c r="AH480" i="3"/>
  <c r="AI479" i="3"/>
  <c r="AH479" i="3"/>
  <c r="AI478" i="3"/>
  <c r="AH478" i="3"/>
  <c r="AI477" i="3"/>
  <c r="AH477" i="3"/>
  <c r="AI476" i="3"/>
  <c r="AH476" i="3"/>
  <c r="AI475" i="3"/>
  <c r="AH475" i="3"/>
  <c r="AI474" i="3"/>
  <c r="AH474" i="3"/>
  <c r="AI473" i="3"/>
  <c r="AH473" i="3"/>
  <c r="AI472" i="3"/>
  <c r="AH472" i="3"/>
  <c r="AI471" i="3"/>
  <c r="AH471" i="3"/>
  <c r="AI470" i="3"/>
  <c r="AH470" i="3"/>
  <c r="AI469" i="3"/>
  <c r="AH469" i="3"/>
  <c r="AI468" i="3"/>
  <c r="AH468" i="3"/>
  <c r="AI467" i="3"/>
  <c r="AH467" i="3"/>
  <c r="AI466" i="3"/>
  <c r="AH466" i="3"/>
  <c r="AI465" i="3"/>
  <c r="AH465" i="3"/>
  <c r="AI464" i="3"/>
  <c r="AH464" i="3"/>
  <c r="AI463" i="3"/>
  <c r="AH463" i="3"/>
  <c r="AI462" i="3"/>
  <c r="AH462" i="3"/>
  <c r="AI461" i="3"/>
  <c r="AH461" i="3"/>
  <c r="AI460" i="3"/>
  <c r="AH460" i="3"/>
  <c r="AI459" i="3"/>
  <c r="AH459" i="3"/>
  <c r="AI458" i="3"/>
  <c r="AH458" i="3"/>
  <c r="AI457" i="3"/>
  <c r="AH457" i="3"/>
  <c r="AI456" i="3"/>
  <c r="AH456" i="3"/>
  <c r="AI455" i="3"/>
  <c r="AH455" i="3"/>
  <c r="AI454" i="3"/>
  <c r="AH454" i="3"/>
  <c r="AI453" i="3"/>
  <c r="AH453" i="3"/>
  <c r="AI452" i="3"/>
  <c r="AH452" i="3"/>
  <c r="AI451" i="3"/>
  <c r="AH451" i="3"/>
  <c r="AI450" i="3"/>
  <c r="AH450" i="3"/>
  <c r="AI449" i="3"/>
  <c r="AH449" i="3"/>
  <c r="AI448" i="3"/>
  <c r="AH448" i="3"/>
  <c r="AI447" i="3"/>
  <c r="AH447" i="3"/>
  <c r="AI446" i="3"/>
  <c r="AH446" i="3"/>
  <c r="AI445" i="3"/>
  <c r="AH445" i="3"/>
  <c r="AI444" i="3"/>
  <c r="AH444" i="3"/>
  <c r="AI443" i="3"/>
  <c r="AH443" i="3"/>
  <c r="AG443" i="3"/>
  <c r="AO436" i="3"/>
  <c r="AN437" i="3"/>
  <c r="AN436" i="3"/>
  <c r="AO429" i="3"/>
  <c r="AN430" i="3"/>
  <c r="AN429" i="3"/>
  <c r="AO422" i="3"/>
  <c r="AN423" i="3"/>
  <c r="AN422" i="3"/>
  <c r="AO415" i="3"/>
  <c r="AN416" i="3"/>
  <c r="AN415" i="3"/>
  <c r="AO408" i="3"/>
  <c r="AN409" i="3"/>
  <c r="AN408" i="3"/>
  <c r="AO401" i="3"/>
  <c r="AN402" i="3"/>
  <c r="AN401" i="3"/>
  <c r="AO394" i="3"/>
  <c r="AN395" i="3"/>
  <c r="AN394" i="3"/>
  <c r="AO387" i="3"/>
  <c r="AN388" i="3"/>
  <c r="AN387" i="3"/>
  <c r="AO380" i="3"/>
  <c r="AN381" i="3"/>
  <c r="AN380" i="3"/>
  <c r="AI442" i="3"/>
  <c r="AH442" i="3"/>
  <c r="AI441" i="3"/>
  <c r="AH441" i="3"/>
  <c r="AI440" i="3"/>
  <c r="AH440" i="3"/>
  <c r="AI439" i="3"/>
  <c r="AH439" i="3"/>
  <c r="AI438" i="3"/>
  <c r="AH438" i="3"/>
  <c r="AI437" i="3"/>
  <c r="AH437" i="3"/>
  <c r="AI436" i="3"/>
  <c r="AH436" i="3"/>
  <c r="AI435" i="3"/>
  <c r="AH435" i="3"/>
  <c r="AI434" i="3"/>
  <c r="AH434" i="3"/>
  <c r="AI433" i="3"/>
  <c r="AH433" i="3"/>
  <c r="AI432" i="3"/>
  <c r="AH432" i="3"/>
  <c r="AI431" i="3"/>
  <c r="AH431" i="3"/>
  <c r="AI430" i="3"/>
  <c r="AH430" i="3"/>
  <c r="AI429" i="3"/>
  <c r="AH429" i="3"/>
  <c r="AI428" i="3"/>
  <c r="AH428" i="3"/>
  <c r="AI427" i="3"/>
  <c r="AH427" i="3"/>
  <c r="AI426" i="3"/>
  <c r="AH426" i="3"/>
  <c r="AI425" i="3"/>
  <c r="AH425" i="3"/>
  <c r="AI424" i="3"/>
  <c r="AH424" i="3"/>
  <c r="AI423" i="3"/>
  <c r="AH423" i="3"/>
  <c r="AI422" i="3"/>
  <c r="AH422" i="3"/>
  <c r="AI421" i="3"/>
  <c r="AH421" i="3"/>
  <c r="AI420" i="3"/>
  <c r="AH420" i="3"/>
  <c r="AI419" i="3"/>
  <c r="AH419" i="3"/>
  <c r="AI418" i="3"/>
  <c r="AH418" i="3"/>
  <c r="AI417" i="3"/>
  <c r="AH417" i="3"/>
  <c r="AI416" i="3"/>
  <c r="AH416" i="3"/>
  <c r="AI415" i="3"/>
  <c r="AH415" i="3"/>
  <c r="AI414" i="3"/>
  <c r="AH414" i="3"/>
  <c r="AI413" i="3"/>
  <c r="AH413" i="3"/>
  <c r="AI412" i="3"/>
  <c r="AH412" i="3"/>
  <c r="AI411" i="3"/>
  <c r="AH411" i="3"/>
  <c r="AI410" i="3"/>
  <c r="AH410" i="3"/>
  <c r="AI409" i="3"/>
  <c r="AH409" i="3"/>
  <c r="AI408" i="3"/>
  <c r="AH408" i="3"/>
  <c r="AI407" i="3"/>
  <c r="AH407" i="3"/>
  <c r="AI406" i="3"/>
  <c r="AH406" i="3"/>
  <c r="AI405" i="3"/>
  <c r="AH405" i="3"/>
  <c r="AI404" i="3"/>
  <c r="AH404" i="3"/>
  <c r="AI403" i="3"/>
  <c r="AH403" i="3"/>
  <c r="AI402" i="3"/>
  <c r="AH402" i="3"/>
  <c r="AI401" i="3"/>
  <c r="AH401" i="3"/>
  <c r="AI400" i="3"/>
  <c r="AH400" i="3"/>
  <c r="AI399" i="3"/>
  <c r="AH399" i="3"/>
  <c r="AI398" i="3"/>
  <c r="AH398" i="3"/>
  <c r="AI397" i="3"/>
  <c r="AH397" i="3"/>
  <c r="AI396" i="3"/>
  <c r="AH396" i="3"/>
  <c r="AI395" i="3"/>
  <c r="AH395" i="3"/>
  <c r="AI394" i="3"/>
  <c r="AH394" i="3"/>
  <c r="AI393" i="3"/>
  <c r="AH393" i="3"/>
  <c r="AI392" i="3"/>
  <c r="AH392" i="3"/>
  <c r="AI391" i="3"/>
  <c r="AH391" i="3"/>
  <c r="AI390" i="3"/>
  <c r="AH390" i="3"/>
  <c r="AI389" i="3"/>
  <c r="AH389" i="3"/>
  <c r="AI388" i="3"/>
  <c r="AH388" i="3"/>
  <c r="AI387" i="3"/>
  <c r="AH387" i="3"/>
  <c r="AI386" i="3"/>
  <c r="AH386" i="3"/>
  <c r="AI385" i="3"/>
  <c r="AH385" i="3"/>
  <c r="AI384" i="3"/>
  <c r="AH384" i="3"/>
  <c r="AI383" i="3"/>
  <c r="AH383" i="3"/>
  <c r="AI382" i="3"/>
  <c r="AH382" i="3"/>
  <c r="AI381" i="3"/>
  <c r="AH381" i="3"/>
  <c r="AI380" i="3"/>
  <c r="AH380" i="3"/>
  <c r="AG380" i="3"/>
  <c r="AO373" i="3"/>
  <c r="AN374" i="3"/>
  <c r="AN373" i="3"/>
  <c r="AO366" i="3"/>
  <c r="AN367" i="3"/>
  <c r="AN366" i="3"/>
  <c r="AO359" i="3"/>
  <c r="AN360" i="3"/>
  <c r="AN359" i="3"/>
  <c r="AO352" i="3"/>
  <c r="AN353" i="3"/>
  <c r="AN352" i="3"/>
  <c r="AO345" i="3"/>
  <c r="AN346" i="3"/>
  <c r="AN345" i="3"/>
  <c r="AO338" i="3"/>
  <c r="AN339" i="3"/>
  <c r="AN338" i="3"/>
  <c r="AO331" i="3"/>
  <c r="AN332" i="3"/>
  <c r="AN331" i="3"/>
  <c r="AO324" i="3"/>
  <c r="AN325" i="3"/>
  <c r="AN324" i="3"/>
  <c r="AO317" i="3"/>
  <c r="AN318" i="3"/>
  <c r="AN317" i="3"/>
  <c r="AI379" i="3"/>
  <c r="AH379" i="3"/>
  <c r="AI378" i="3"/>
  <c r="AH378" i="3"/>
  <c r="AI377" i="3"/>
  <c r="AH377" i="3"/>
  <c r="AI376" i="3"/>
  <c r="AH376" i="3"/>
  <c r="AI375" i="3"/>
  <c r="AH375" i="3"/>
  <c r="AI374" i="3"/>
  <c r="AH374" i="3"/>
  <c r="AI373" i="3"/>
  <c r="AH373" i="3"/>
  <c r="AI372" i="3"/>
  <c r="AH372" i="3"/>
  <c r="AI371" i="3"/>
  <c r="AH371" i="3"/>
  <c r="AI370" i="3"/>
  <c r="AH370" i="3"/>
  <c r="AI369" i="3"/>
  <c r="AH369" i="3"/>
  <c r="AI368" i="3"/>
  <c r="AH368" i="3"/>
  <c r="AI367" i="3"/>
  <c r="AH367" i="3"/>
  <c r="AI366" i="3"/>
  <c r="AH366" i="3"/>
  <c r="AI365" i="3"/>
  <c r="AH365" i="3"/>
  <c r="AI364" i="3"/>
  <c r="AH364" i="3"/>
  <c r="AI363" i="3"/>
  <c r="AH363" i="3"/>
  <c r="AI362" i="3"/>
  <c r="AH362" i="3"/>
  <c r="AI361" i="3"/>
  <c r="AH361" i="3"/>
  <c r="AI360" i="3"/>
  <c r="AH360" i="3"/>
  <c r="AI359" i="3"/>
  <c r="AH359" i="3"/>
  <c r="AI358" i="3"/>
  <c r="AH358" i="3"/>
  <c r="AI357" i="3"/>
  <c r="AH357" i="3"/>
  <c r="AI356" i="3"/>
  <c r="AH356" i="3"/>
  <c r="AI355" i="3"/>
  <c r="AH355" i="3"/>
  <c r="AI354" i="3"/>
  <c r="AH354" i="3"/>
  <c r="AI353" i="3"/>
  <c r="AH353" i="3"/>
  <c r="AI352" i="3"/>
  <c r="AH352" i="3"/>
  <c r="AI351" i="3"/>
  <c r="AH351" i="3"/>
  <c r="AI350" i="3"/>
  <c r="AH350" i="3"/>
  <c r="AI349" i="3"/>
  <c r="AH349" i="3"/>
  <c r="AI348" i="3"/>
  <c r="AH348" i="3"/>
  <c r="AI347" i="3"/>
  <c r="AH347" i="3"/>
  <c r="AI346" i="3"/>
  <c r="AH346" i="3"/>
  <c r="AI345" i="3"/>
  <c r="AH345" i="3"/>
  <c r="AI344" i="3"/>
  <c r="AH344" i="3"/>
  <c r="AI343" i="3"/>
  <c r="AH343" i="3"/>
  <c r="AI342" i="3"/>
  <c r="AH342" i="3"/>
  <c r="AI341" i="3"/>
  <c r="AH341" i="3"/>
  <c r="AI340" i="3"/>
  <c r="AH340" i="3"/>
  <c r="AI339" i="3"/>
  <c r="AH339" i="3"/>
  <c r="AI338" i="3"/>
  <c r="AH338" i="3"/>
  <c r="AI337" i="3"/>
  <c r="AH337" i="3"/>
  <c r="AI336" i="3"/>
  <c r="AH336" i="3"/>
  <c r="AI335" i="3"/>
  <c r="AH335" i="3"/>
  <c r="AI334" i="3"/>
  <c r="AH334" i="3"/>
  <c r="AI333" i="3"/>
  <c r="AH333" i="3"/>
  <c r="AI332" i="3"/>
  <c r="AH332" i="3"/>
  <c r="AI331" i="3"/>
  <c r="AH331" i="3"/>
  <c r="AI330" i="3"/>
  <c r="AH330" i="3"/>
  <c r="AI329" i="3"/>
  <c r="AH329" i="3"/>
  <c r="AI328" i="3"/>
  <c r="AH328" i="3"/>
  <c r="AI327" i="3"/>
  <c r="AH327" i="3"/>
  <c r="AI326" i="3"/>
  <c r="AH326" i="3"/>
  <c r="AI325" i="3"/>
  <c r="AH325" i="3"/>
  <c r="AI324" i="3"/>
  <c r="AH324" i="3"/>
  <c r="AI323" i="3"/>
  <c r="AH323" i="3"/>
  <c r="AI322" i="3"/>
  <c r="AH322" i="3"/>
  <c r="AI321" i="3"/>
  <c r="AH321" i="3"/>
  <c r="AI320" i="3"/>
  <c r="AH320" i="3"/>
  <c r="AI319" i="3"/>
  <c r="AH319" i="3"/>
  <c r="AI318" i="3"/>
  <c r="AH318" i="3"/>
  <c r="AI317" i="3"/>
  <c r="AH317" i="3"/>
  <c r="AG317" i="3"/>
  <c r="AO310" i="3"/>
  <c r="AN311" i="3"/>
  <c r="AN310" i="3"/>
  <c r="AO303" i="3"/>
  <c r="AN304" i="3"/>
  <c r="AN303" i="3"/>
  <c r="AO296" i="3"/>
  <c r="AN297" i="3"/>
  <c r="AN296" i="3"/>
  <c r="AO289" i="3"/>
  <c r="AN290" i="3"/>
  <c r="AN289" i="3"/>
  <c r="AO282" i="3"/>
  <c r="AN283" i="3"/>
  <c r="AN282" i="3"/>
  <c r="AO275" i="3"/>
  <c r="AN276" i="3"/>
  <c r="AN275" i="3"/>
  <c r="AO268" i="3"/>
  <c r="AN269" i="3"/>
  <c r="AN268" i="3"/>
  <c r="AO261" i="3"/>
  <c r="AN262" i="3"/>
  <c r="AN261" i="3"/>
  <c r="AO254" i="3"/>
  <c r="AN255" i="3"/>
  <c r="AN254" i="3"/>
  <c r="AI316" i="3"/>
  <c r="AH316" i="3"/>
  <c r="AI315" i="3"/>
  <c r="AH315" i="3"/>
  <c r="AI314" i="3"/>
  <c r="AH314" i="3"/>
  <c r="AI313" i="3"/>
  <c r="AH313" i="3"/>
  <c r="AI312" i="3"/>
  <c r="AH312" i="3"/>
  <c r="AI311" i="3"/>
  <c r="AH311" i="3"/>
  <c r="AI310" i="3"/>
  <c r="AH310" i="3"/>
  <c r="AI309" i="3"/>
  <c r="AH309" i="3"/>
  <c r="AI308" i="3"/>
  <c r="AH308" i="3"/>
  <c r="AI307" i="3"/>
  <c r="AH307" i="3"/>
  <c r="AI306" i="3"/>
  <c r="AH306" i="3"/>
  <c r="AI305" i="3"/>
  <c r="AH305" i="3"/>
  <c r="AI304" i="3"/>
  <c r="AH304" i="3"/>
  <c r="AI303" i="3"/>
  <c r="AH303" i="3"/>
  <c r="AI302" i="3"/>
  <c r="AH302" i="3"/>
  <c r="AI301" i="3"/>
  <c r="AH301" i="3"/>
  <c r="AI300" i="3"/>
  <c r="AH300" i="3"/>
  <c r="AI299" i="3"/>
  <c r="AH299" i="3"/>
  <c r="AI298" i="3"/>
  <c r="AH298" i="3"/>
  <c r="AI297" i="3"/>
  <c r="AH297" i="3"/>
  <c r="AI296" i="3"/>
  <c r="AH296" i="3"/>
  <c r="AI295" i="3"/>
  <c r="AH295" i="3"/>
  <c r="AI294" i="3"/>
  <c r="AH294" i="3"/>
  <c r="AI293" i="3"/>
  <c r="AH293" i="3"/>
  <c r="AI292" i="3"/>
  <c r="AH292" i="3"/>
  <c r="AI291" i="3"/>
  <c r="AH291" i="3"/>
  <c r="AI290" i="3"/>
  <c r="AH290" i="3"/>
  <c r="AI289" i="3"/>
  <c r="AH289" i="3"/>
  <c r="AI288" i="3"/>
  <c r="AH288" i="3"/>
  <c r="AI287" i="3"/>
  <c r="AH287" i="3"/>
  <c r="AI286" i="3"/>
  <c r="AH286" i="3"/>
  <c r="AI285" i="3"/>
  <c r="AH285" i="3"/>
  <c r="AI284" i="3"/>
  <c r="AH284" i="3"/>
  <c r="AI283" i="3"/>
  <c r="AH283" i="3"/>
  <c r="AI282" i="3"/>
  <c r="AH282" i="3"/>
  <c r="AI281" i="3"/>
  <c r="AH281" i="3"/>
  <c r="AI280" i="3"/>
  <c r="AH280" i="3"/>
  <c r="AI279" i="3"/>
  <c r="AH279" i="3"/>
  <c r="AI278" i="3"/>
  <c r="AH278" i="3"/>
  <c r="AI277" i="3"/>
  <c r="AH277" i="3"/>
  <c r="AI276" i="3"/>
  <c r="AH276" i="3"/>
  <c r="AI275" i="3"/>
  <c r="AH275" i="3"/>
  <c r="AI274" i="3"/>
  <c r="AH274" i="3"/>
  <c r="AI273" i="3"/>
  <c r="AH273" i="3"/>
  <c r="AI272" i="3"/>
  <c r="AH272" i="3"/>
  <c r="AI271" i="3"/>
  <c r="AH271" i="3"/>
  <c r="AI270" i="3"/>
  <c r="AH270" i="3"/>
  <c r="AI269" i="3"/>
  <c r="AH269" i="3"/>
  <c r="AI268" i="3"/>
  <c r="AH268" i="3"/>
  <c r="AI267" i="3"/>
  <c r="AH267" i="3"/>
  <c r="AI266" i="3"/>
  <c r="AH266" i="3"/>
  <c r="AI265" i="3"/>
  <c r="AH265" i="3"/>
  <c r="AI264" i="3"/>
  <c r="AH264" i="3"/>
  <c r="AI263" i="3"/>
  <c r="AH263" i="3"/>
  <c r="AI262" i="3"/>
  <c r="AH262" i="3"/>
  <c r="AI261" i="3"/>
  <c r="AH261" i="3"/>
  <c r="AI260" i="3"/>
  <c r="AH260" i="3"/>
  <c r="AI259" i="3"/>
  <c r="AH259" i="3"/>
  <c r="AI258" i="3"/>
  <c r="AH258" i="3"/>
  <c r="AI257" i="3"/>
  <c r="AH257" i="3"/>
  <c r="AI256" i="3"/>
  <c r="AH256" i="3"/>
  <c r="AI255" i="3"/>
  <c r="AH255" i="3"/>
  <c r="AI254" i="3"/>
  <c r="AH254" i="3"/>
  <c r="AG254" i="3"/>
  <c r="AO247" i="3"/>
  <c r="AN248" i="3"/>
  <c r="AN247" i="3"/>
  <c r="AO240" i="3"/>
  <c r="AN241" i="3"/>
  <c r="AN240" i="3"/>
  <c r="AO233" i="3"/>
  <c r="AN234" i="3"/>
  <c r="AN233" i="3"/>
  <c r="AO226" i="3"/>
  <c r="AN227" i="3"/>
  <c r="AN226" i="3"/>
  <c r="AO219" i="3"/>
  <c r="AN220" i="3"/>
  <c r="AN219" i="3"/>
  <c r="AO212" i="3"/>
  <c r="AN213" i="3"/>
  <c r="AN212" i="3"/>
  <c r="AO205" i="3"/>
  <c r="AN206" i="3"/>
  <c r="AN205" i="3"/>
  <c r="AO198" i="3"/>
  <c r="AN199" i="3"/>
  <c r="AN198" i="3"/>
  <c r="AO191" i="3"/>
  <c r="AN192" i="3"/>
  <c r="AN191" i="3"/>
  <c r="AI253" i="3"/>
  <c r="AH253" i="3"/>
  <c r="AI252" i="3"/>
  <c r="AH252" i="3"/>
  <c r="AI251" i="3"/>
  <c r="AH251" i="3"/>
  <c r="AI250" i="3"/>
  <c r="AH250" i="3"/>
  <c r="AI249" i="3"/>
  <c r="AH249" i="3"/>
  <c r="AI248" i="3"/>
  <c r="AH248" i="3"/>
  <c r="AI247" i="3"/>
  <c r="AH247" i="3"/>
  <c r="AI246" i="3"/>
  <c r="AH246" i="3"/>
  <c r="AI245" i="3"/>
  <c r="AH245" i="3"/>
  <c r="AI244" i="3"/>
  <c r="AH244" i="3"/>
  <c r="AI243" i="3"/>
  <c r="AH243" i="3"/>
  <c r="AI242" i="3"/>
  <c r="AH242" i="3"/>
  <c r="AI241" i="3"/>
  <c r="AH241" i="3"/>
  <c r="AI240" i="3"/>
  <c r="AH240" i="3"/>
  <c r="AI239" i="3"/>
  <c r="AH239" i="3"/>
  <c r="AI238" i="3"/>
  <c r="AH238" i="3"/>
  <c r="AI237" i="3"/>
  <c r="AH237" i="3"/>
  <c r="AI236" i="3"/>
  <c r="AH236" i="3"/>
  <c r="AI235" i="3"/>
  <c r="AH235" i="3"/>
  <c r="AI234" i="3"/>
  <c r="AH234" i="3"/>
  <c r="AI233" i="3"/>
  <c r="AH233" i="3"/>
  <c r="AI232" i="3"/>
  <c r="AH232" i="3"/>
  <c r="AI231" i="3"/>
  <c r="AH231" i="3"/>
  <c r="AI230" i="3"/>
  <c r="AH230" i="3"/>
  <c r="AI229" i="3"/>
  <c r="AH229" i="3"/>
  <c r="AI228" i="3"/>
  <c r="AH228" i="3"/>
  <c r="AI227" i="3"/>
  <c r="AH227" i="3"/>
  <c r="AI226" i="3"/>
  <c r="AH226" i="3"/>
  <c r="AI225" i="3"/>
  <c r="AH225" i="3"/>
  <c r="AI224" i="3"/>
  <c r="AH224" i="3"/>
  <c r="AI223" i="3"/>
  <c r="AH223" i="3"/>
  <c r="AI222" i="3"/>
  <c r="AH222" i="3"/>
  <c r="AI221" i="3"/>
  <c r="AH221" i="3"/>
  <c r="AI220" i="3"/>
  <c r="AH220" i="3"/>
  <c r="AI219" i="3"/>
  <c r="AH219" i="3"/>
  <c r="AI218" i="3"/>
  <c r="AH218" i="3"/>
  <c r="AI217" i="3"/>
  <c r="AH217" i="3"/>
  <c r="AI216" i="3"/>
  <c r="AH216" i="3"/>
  <c r="AI215" i="3"/>
  <c r="AH215" i="3"/>
  <c r="AI214" i="3"/>
  <c r="AH214" i="3"/>
  <c r="AI213" i="3"/>
  <c r="AH213" i="3"/>
  <c r="AI212" i="3"/>
  <c r="AH212" i="3"/>
  <c r="AI211" i="3"/>
  <c r="AH211" i="3"/>
  <c r="AI210" i="3"/>
  <c r="AH210" i="3"/>
  <c r="AI209" i="3"/>
  <c r="AH209" i="3"/>
  <c r="AI208" i="3"/>
  <c r="AH208" i="3"/>
  <c r="AI207" i="3"/>
  <c r="AH207" i="3"/>
  <c r="AI206" i="3"/>
  <c r="AH206" i="3"/>
  <c r="AI205" i="3"/>
  <c r="AH205" i="3"/>
  <c r="AI204" i="3"/>
  <c r="AH204" i="3"/>
  <c r="AI203" i="3"/>
  <c r="AH203" i="3"/>
  <c r="AI202" i="3"/>
  <c r="AH202" i="3"/>
  <c r="AI201" i="3"/>
  <c r="AH201" i="3"/>
  <c r="AI200" i="3"/>
  <c r="AH200" i="3"/>
  <c r="AI199" i="3"/>
  <c r="AH199" i="3"/>
  <c r="AI198" i="3"/>
  <c r="AH198" i="3"/>
  <c r="AI197" i="3"/>
  <c r="AH197" i="3"/>
  <c r="AI196" i="3"/>
  <c r="AH196" i="3"/>
  <c r="AI195" i="3"/>
  <c r="AH195" i="3"/>
  <c r="AI194" i="3"/>
  <c r="AH194" i="3"/>
  <c r="AI193" i="3"/>
  <c r="AH193" i="3"/>
  <c r="AI192" i="3"/>
  <c r="AH192" i="3"/>
  <c r="AI191" i="3"/>
  <c r="AH191" i="3"/>
  <c r="AG191" i="3"/>
  <c r="AO184" i="3"/>
  <c r="AN185" i="3"/>
  <c r="AN184" i="3"/>
  <c r="AO177" i="3"/>
  <c r="AN178" i="3"/>
  <c r="AN177" i="3"/>
  <c r="AO170" i="3"/>
  <c r="AN171" i="3"/>
  <c r="AN170" i="3"/>
  <c r="AO163" i="3"/>
  <c r="AN164" i="3"/>
  <c r="AN163" i="3"/>
  <c r="AO156" i="3"/>
  <c r="AN157" i="3"/>
  <c r="AN156" i="3"/>
  <c r="AO149" i="3"/>
  <c r="AN150" i="3"/>
  <c r="AN149" i="3"/>
  <c r="AO142" i="3"/>
  <c r="AN143" i="3"/>
  <c r="AN142" i="3"/>
  <c r="AO135" i="3"/>
  <c r="AN136" i="3"/>
  <c r="AN135" i="3"/>
  <c r="AO128" i="3"/>
  <c r="AN129" i="3"/>
  <c r="AN128" i="3"/>
  <c r="AI190" i="3"/>
  <c r="AH190" i="3"/>
  <c r="AI189" i="3"/>
  <c r="AH189" i="3"/>
  <c r="AI188" i="3"/>
  <c r="AH188" i="3"/>
  <c r="AI187" i="3"/>
  <c r="AH187" i="3"/>
  <c r="AI186" i="3"/>
  <c r="AH186" i="3"/>
  <c r="AI185" i="3"/>
  <c r="AH185" i="3"/>
  <c r="AI184" i="3"/>
  <c r="AH184" i="3"/>
  <c r="AI183" i="3"/>
  <c r="AH183" i="3"/>
  <c r="AI182" i="3"/>
  <c r="AH182" i="3"/>
  <c r="AI181" i="3"/>
  <c r="AH181" i="3"/>
  <c r="AI180" i="3"/>
  <c r="AH180" i="3"/>
  <c r="AI179" i="3"/>
  <c r="AH179" i="3"/>
  <c r="AI178" i="3"/>
  <c r="AH178" i="3"/>
  <c r="AI177" i="3"/>
  <c r="AH177" i="3"/>
  <c r="AI176" i="3"/>
  <c r="AH176" i="3"/>
  <c r="AI175" i="3"/>
  <c r="AH175" i="3"/>
  <c r="AI174" i="3"/>
  <c r="AH174" i="3"/>
  <c r="AI173" i="3"/>
  <c r="AH173" i="3"/>
  <c r="AI172" i="3"/>
  <c r="AH172" i="3"/>
  <c r="AI171" i="3"/>
  <c r="AH171" i="3"/>
  <c r="AI170" i="3"/>
  <c r="AH170" i="3"/>
  <c r="AI169" i="3"/>
  <c r="AH169" i="3"/>
  <c r="AI168" i="3"/>
  <c r="AH168" i="3"/>
  <c r="AI167" i="3"/>
  <c r="AH167" i="3"/>
  <c r="AI166" i="3"/>
  <c r="AH166" i="3"/>
  <c r="AI165" i="3"/>
  <c r="AH165" i="3"/>
  <c r="AI164" i="3"/>
  <c r="AH164" i="3"/>
  <c r="AI163" i="3"/>
  <c r="AH163" i="3"/>
  <c r="AI162" i="3"/>
  <c r="AH162" i="3"/>
  <c r="AI161" i="3"/>
  <c r="AH161" i="3"/>
  <c r="AI160" i="3"/>
  <c r="AH160" i="3"/>
  <c r="AI159" i="3"/>
  <c r="AH159" i="3"/>
  <c r="AI158" i="3"/>
  <c r="AH158" i="3"/>
  <c r="AI157" i="3"/>
  <c r="AH157" i="3"/>
  <c r="AI156" i="3"/>
  <c r="AH156" i="3"/>
  <c r="AI155" i="3"/>
  <c r="AH155" i="3"/>
  <c r="AI154" i="3"/>
  <c r="AH154" i="3"/>
  <c r="AI153" i="3"/>
  <c r="AH153" i="3"/>
  <c r="AI152" i="3"/>
  <c r="AH152" i="3"/>
  <c r="AI151" i="3"/>
  <c r="AH151" i="3"/>
  <c r="AI150" i="3"/>
  <c r="AH150" i="3"/>
  <c r="AI149" i="3"/>
  <c r="AH149" i="3"/>
  <c r="AI148" i="3"/>
  <c r="AH148" i="3"/>
  <c r="AI147" i="3"/>
  <c r="AH147" i="3"/>
  <c r="AI146" i="3"/>
  <c r="AH146" i="3"/>
  <c r="AI145" i="3"/>
  <c r="AH145" i="3"/>
  <c r="AI144" i="3"/>
  <c r="AH144" i="3"/>
  <c r="AI143" i="3"/>
  <c r="AH143" i="3"/>
  <c r="AI142" i="3"/>
  <c r="AH142" i="3"/>
  <c r="AI141" i="3"/>
  <c r="AH141" i="3"/>
  <c r="AI140" i="3"/>
  <c r="AH140" i="3"/>
  <c r="AI139" i="3"/>
  <c r="AH139" i="3"/>
  <c r="AI138" i="3"/>
  <c r="AH138" i="3"/>
  <c r="AI137" i="3"/>
  <c r="AH137" i="3"/>
  <c r="AI136" i="3"/>
  <c r="AH136" i="3"/>
  <c r="AI135" i="3"/>
  <c r="AH135" i="3"/>
  <c r="AI134" i="3"/>
  <c r="AH134" i="3"/>
  <c r="AI133" i="3"/>
  <c r="AH133" i="3"/>
  <c r="AI132" i="3"/>
  <c r="AH132" i="3"/>
  <c r="AI131" i="3"/>
  <c r="AH131" i="3"/>
  <c r="AI130" i="3"/>
  <c r="AH130" i="3"/>
  <c r="AI129" i="3"/>
  <c r="AH129" i="3"/>
  <c r="AI128" i="3"/>
  <c r="AH128" i="3"/>
  <c r="AG128" i="3"/>
  <c r="AO121" i="3"/>
  <c r="AN122" i="3"/>
  <c r="AN121" i="3"/>
  <c r="AO114" i="3"/>
  <c r="AN115" i="3"/>
  <c r="AN114" i="3"/>
  <c r="AO107" i="3"/>
  <c r="AN108" i="3"/>
  <c r="AN107" i="3"/>
  <c r="AO100" i="3"/>
  <c r="AN101" i="3"/>
  <c r="AN100" i="3"/>
  <c r="AO93" i="3"/>
  <c r="AN94" i="3"/>
  <c r="AN93" i="3"/>
  <c r="AO86" i="3"/>
  <c r="AN87" i="3"/>
  <c r="AN86" i="3"/>
  <c r="AO79" i="3"/>
  <c r="AN80" i="3"/>
  <c r="AN79" i="3"/>
  <c r="AO72" i="3"/>
  <c r="AN73" i="3"/>
  <c r="AN72" i="3"/>
  <c r="AO65" i="3"/>
  <c r="AN66" i="3"/>
  <c r="AN65" i="3"/>
  <c r="AI127" i="3"/>
  <c r="AH127" i="3"/>
  <c r="AI126" i="3"/>
  <c r="AH126" i="3"/>
  <c r="AI125" i="3"/>
  <c r="AH125" i="3"/>
  <c r="AI124" i="3"/>
  <c r="AH124" i="3"/>
  <c r="AI123" i="3"/>
  <c r="AH123" i="3"/>
  <c r="AI122" i="3"/>
  <c r="AH122" i="3"/>
  <c r="AI121" i="3"/>
  <c r="AH121" i="3"/>
  <c r="AI120" i="3"/>
  <c r="AH120" i="3"/>
  <c r="AI119" i="3"/>
  <c r="AH119" i="3"/>
  <c r="AI118" i="3"/>
  <c r="AH118" i="3"/>
  <c r="AI117" i="3"/>
  <c r="AH117" i="3"/>
  <c r="AI116" i="3"/>
  <c r="AH116" i="3"/>
  <c r="AI115" i="3"/>
  <c r="AH115" i="3"/>
  <c r="AI114" i="3"/>
  <c r="AH114" i="3"/>
  <c r="AI113" i="3"/>
  <c r="AH113" i="3"/>
  <c r="AI112" i="3"/>
  <c r="AH112" i="3"/>
  <c r="AI111" i="3"/>
  <c r="AH111" i="3"/>
  <c r="AI110" i="3"/>
  <c r="AH110" i="3"/>
  <c r="AI109" i="3"/>
  <c r="AH109" i="3"/>
  <c r="AI108" i="3"/>
  <c r="AH108" i="3"/>
  <c r="AI107" i="3"/>
  <c r="AH107" i="3"/>
  <c r="AI106" i="3"/>
  <c r="AH106" i="3"/>
  <c r="AI105" i="3"/>
  <c r="AH105" i="3"/>
  <c r="AI104" i="3"/>
  <c r="AH104" i="3"/>
  <c r="AI103" i="3"/>
  <c r="AH103" i="3"/>
  <c r="AI102" i="3"/>
  <c r="AH102" i="3"/>
  <c r="AI101" i="3"/>
  <c r="AH101" i="3"/>
  <c r="AI100" i="3"/>
  <c r="AH100" i="3"/>
  <c r="AI99" i="3"/>
  <c r="AH99" i="3"/>
  <c r="AI98" i="3"/>
  <c r="AH98" i="3"/>
  <c r="AI97" i="3"/>
  <c r="AH97" i="3"/>
  <c r="AI96" i="3"/>
  <c r="AH96" i="3"/>
  <c r="AI95" i="3"/>
  <c r="AH95" i="3"/>
  <c r="AI94" i="3"/>
  <c r="AH94" i="3"/>
  <c r="AI93" i="3"/>
  <c r="AH93" i="3"/>
  <c r="AI92" i="3"/>
  <c r="AH92" i="3"/>
  <c r="AI91" i="3"/>
  <c r="AH91" i="3"/>
  <c r="AI90" i="3"/>
  <c r="AH90" i="3"/>
  <c r="AI89" i="3"/>
  <c r="AH89" i="3"/>
  <c r="AI88" i="3"/>
  <c r="AH88" i="3"/>
  <c r="AI87" i="3"/>
  <c r="AH87" i="3"/>
  <c r="AI86" i="3"/>
  <c r="AH86" i="3"/>
  <c r="AI85" i="3"/>
  <c r="AH85" i="3"/>
  <c r="AI84" i="3"/>
  <c r="AH84" i="3"/>
  <c r="AI83" i="3"/>
  <c r="AH83" i="3"/>
  <c r="AI82" i="3"/>
  <c r="AH82" i="3"/>
  <c r="AI81" i="3"/>
  <c r="AH81" i="3"/>
  <c r="AI80" i="3"/>
  <c r="AH80" i="3"/>
  <c r="AI79" i="3"/>
  <c r="AH79" i="3"/>
  <c r="AI78" i="3"/>
  <c r="AH78" i="3"/>
  <c r="AI77" i="3"/>
  <c r="AH77" i="3"/>
  <c r="AI76" i="3"/>
  <c r="AH76" i="3"/>
  <c r="AI75" i="3"/>
  <c r="AH75" i="3"/>
  <c r="AI74" i="3"/>
  <c r="AH74" i="3"/>
  <c r="AI73" i="3"/>
  <c r="AH73" i="3"/>
  <c r="AI72" i="3"/>
  <c r="AH72" i="3"/>
  <c r="AI71" i="3"/>
  <c r="AH71" i="3"/>
  <c r="AI70" i="3"/>
  <c r="AH70" i="3"/>
  <c r="AI69" i="3"/>
  <c r="AH69" i="3"/>
  <c r="AI68" i="3"/>
  <c r="AH68" i="3"/>
  <c r="AI67" i="3"/>
  <c r="AH67" i="3"/>
  <c r="AI66" i="3"/>
  <c r="AH66" i="3"/>
  <c r="AI65" i="3"/>
  <c r="AH65" i="3"/>
  <c r="AG65" i="3"/>
  <c r="AO58" i="3"/>
  <c r="AN59" i="3"/>
  <c r="AN58" i="3"/>
  <c r="AO51" i="3"/>
  <c r="AN52" i="3"/>
  <c r="AN51" i="3"/>
  <c r="AO44" i="3"/>
  <c r="AN45" i="3"/>
  <c r="AN44" i="3"/>
  <c r="AO37" i="3"/>
  <c r="AN38" i="3"/>
  <c r="AN37" i="3"/>
  <c r="AO30" i="3"/>
  <c r="AN31" i="3"/>
  <c r="AN30" i="3"/>
  <c r="AO23" i="3"/>
  <c r="AN24" i="3"/>
  <c r="AN23" i="3"/>
  <c r="AO16" i="3"/>
  <c r="AN17" i="3"/>
  <c r="AN16" i="3"/>
  <c r="AO9" i="3"/>
  <c r="AN10" i="3"/>
  <c r="AN9" i="3"/>
  <c r="AO2" i="3"/>
  <c r="AN3" i="3"/>
  <c r="AN2" i="3"/>
  <c r="AI64" i="3"/>
  <c r="AH64" i="3"/>
  <c r="AI63" i="3"/>
  <c r="AH63" i="3"/>
  <c r="AI62" i="3"/>
  <c r="AH62" i="3"/>
  <c r="AI61" i="3"/>
  <c r="AH61" i="3"/>
  <c r="AI60" i="3"/>
  <c r="AH60" i="3"/>
  <c r="AI59" i="3"/>
  <c r="AH59" i="3"/>
  <c r="AI58" i="3"/>
  <c r="AH58" i="3"/>
  <c r="AI57" i="3"/>
  <c r="AH57" i="3"/>
  <c r="AI56" i="3"/>
  <c r="AH56" i="3"/>
  <c r="AI55" i="3"/>
  <c r="AH55" i="3"/>
  <c r="AI54" i="3"/>
  <c r="AH54" i="3"/>
  <c r="AI53" i="3"/>
  <c r="AH53" i="3"/>
  <c r="AI52" i="3"/>
  <c r="AH52" i="3"/>
  <c r="AI51" i="3"/>
  <c r="AH51" i="3"/>
  <c r="AI50" i="3"/>
  <c r="AH50" i="3"/>
  <c r="AI49" i="3"/>
  <c r="AH49" i="3"/>
  <c r="AI48" i="3"/>
  <c r="AH48" i="3"/>
  <c r="AI47" i="3"/>
  <c r="AH47" i="3"/>
  <c r="AI46" i="3"/>
  <c r="AH46" i="3"/>
  <c r="AI45" i="3"/>
  <c r="AH45" i="3"/>
  <c r="AI44" i="3"/>
  <c r="AH44" i="3"/>
  <c r="AI43" i="3"/>
  <c r="AH43" i="3"/>
  <c r="AI42" i="3"/>
  <c r="AH42" i="3"/>
  <c r="AI41" i="3"/>
  <c r="AH41" i="3"/>
  <c r="AI40" i="3"/>
  <c r="AH40" i="3"/>
  <c r="AI39" i="3"/>
  <c r="AH39" i="3"/>
  <c r="AI38" i="3"/>
  <c r="AH38" i="3"/>
  <c r="AI37" i="3"/>
  <c r="AH37" i="3"/>
  <c r="AI36" i="3"/>
  <c r="AH36" i="3"/>
  <c r="AI35" i="3"/>
  <c r="AH35" i="3"/>
  <c r="AI34" i="3"/>
  <c r="AH34" i="3"/>
  <c r="AI33" i="3"/>
  <c r="AH33" i="3"/>
  <c r="AI32" i="3"/>
  <c r="AH32" i="3"/>
  <c r="AI31" i="3"/>
  <c r="AH31" i="3"/>
  <c r="AI30" i="3"/>
  <c r="AH30" i="3"/>
  <c r="AI29" i="3"/>
  <c r="AH29" i="3"/>
  <c r="AI28" i="3"/>
  <c r="AH28" i="3"/>
  <c r="AI27" i="3"/>
  <c r="AH27" i="3"/>
  <c r="AI26" i="3"/>
  <c r="AH26" i="3"/>
  <c r="AI25" i="3"/>
  <c r="AH25" i="3"/>
  <c r="AI24" i="3"/>
  <c r="AH24" i="3"/>
  <c r="AI23" i="3"/>
  <c r="AH23" i="3"/>
  <c r="AI22" i="3"/>
  <c r="AH22" i="3"/>
  <c r="AI21" i="3"/>
  <c r="AH21" i="3"/>
  <c r="AI20" i="3"/>
  <c r="AH20" i="3"/>
  <c r="AI19" i="3"/>
  <c r="AH19" i="3"/>
  <c r="AI18" i="3"/>
  <c r="AH18" i="3"/>
  <c r="AI17" i="3"/>
  <c r="AH17" i="3"/>
  <c r="AI16" i="3"/>
  <c r="AH16" i="3"/>
  <c r="AI15" i="3"/>
  <c r="AH15" i="3"/>
  <c r="AI14" i="3"/>
  <c r="AH14" i="3"/>
  <c r="AI13" i="3"/>
  <c r="AH13" i="3"/>
  <c r="AI12" i="3"/>
  <c r="AH12" i="3"/>
  <c r="AI11" i="3"/>
  <c r="AH11" i="3"/>
  <c r="AI10" i="3"/>
  <c r="AH10" i="3"/>
  <c r="AI9" i="3"/>
  <c r="AH9" i="3"/>
  <c r="AI8" i="3"/>
  <c r="AH8" i="3"/>
  <c r="AI7" i="3"/>
  <c r="AH7" i="3"/>
  <c r="AI6" i="3"/>
  <c r="AH6" i="3"/>
  <c r="AI5" i="3"/>
  <c r="AH5" i="3"/>
  <c r="AI4" i="3"/>
  <c r="AH4" i="3"/>
  <c r="AI3" i="3"/>
  <c r="AH3" i="3"/>
  <c r="AI2" i="3"/>
  <c r="AH2" i="3"/>
  <c r="AG2" i="3"/>
  <c r="AF2459" i="3"/>
  <c r="AE2459" i="3"/>
  <c r="AE2480" i="3"/>
  <c r="AE2479" i="3"/>
  <c r="AE2478" i="3"/>
  <c r="AE2477" i="3"/>
  <c r="AE2476" i="3"/>
  <c r="AE2475" i="3"/>
  <c r="AE2474" i="3"/>
  <c r="AE2473" i="3"/>
  <c r="AE2472" i="3"/>
  <c r="AE2471" i="3"/>
  <c r="AE2470" i="3"/>
  <c r="AE2469" i="3"/>
  <c r="AE2468" i="3"/>
  <c r="AE2467" i="3"/>
  <c r="AE2466" i="3"/>
  <c r="AE2465" i="3"/>
  <c r="AE2464" i="3"/>
  <c r="AE2463" i="3"/>
  <c r="AE2462" i="3"/>
  <c r="AE2461" i="3"/>
  <c r="AE2460" i="3"/>
  <c r="AD2459" i="3"/>
  <c r="AD2461" i="3"/>
  <c r="AD2460" i="3"/>
  <c r="AC2515" i="3"/>
  <c r="AB2516" i="3"/>
  <c r="AB2515" i="3"/>
  <c r="AC2508" i="3"/>
  <c r="AB2509" i="3"/>
  <c r="AB2508" i="3"/>
  <c r="AC2501" i="3"/>
  <c r="AB2502" i="3"/>
  <c r="AB2501" i="3"/>
  <c r="AC2494" i="3"/>
  <c r="AB2495" i="3"/>
  <c r="AB2494" i="3"/>
  <c r="AC2487" i="3"/>
  <c r="AB2488" i="3"/>
  <c r="AB2487" i="3"/>
  <c r="AC2480" i="3"/>
  <c r="AB2481" i="3"/>
  <c r="AB2480" i="3"/>
  <c r="AC2473" i="3"/>
  <c r="AB2474" i="3"/>
  <c r="AB2473" i="3"/>
  <c r="AC2466" i="3"/>
  <c r="AB2467" i="3"/>
  <c r="AB2466" i="3"/>
  <c r="AC2459" i="3"/>
  <c r="AB2460" i="3"/>
  <c r="AB2459" i="3"/>
  <c r="AA2515" i="3"/>
  <c r="Z2521" i="3"/>
  <c r="Y2521" i="3"/>
  <c r="Z2520" i="3"/>
  <c r="Y2520" i="3"/>
  <c r="Z2519" i="3"/>
  <c r="Y2519" i="3"/>
  <c r="Z2518" i="3"/>
  <c r="Y2518" i="3"/>
  <c r="Z2517" i="3"/>
  <c r="Y2517" i="3"/>
  <c r="Z2516" i="3"/>
  <c r="Y2516" i="3"/>
  <c r="Z2515" i="3"/>
  <c r="Y2515" i="3"/>
  <c r="AA2508" i="3"/>
  <c r="Z2514" i="3"/>
  <c r="Y2514" i="3"/>
  <c r="Z2513" i="3"/>
  <c r="Y2513" i="3"/>
  <c r="Z2512" i="3"/>
  <c r="Y2512" i="3"/>
  <c r="Z2511" i="3"/>
  <c r="Y2511" i="3"/>
  <c r="Z2510" i="3"/>
  <c r="Y2510" i="3"/>
  <c r="Z2509" i="3"/>
  <c r="Y2509" i="3"/>
  <c r="Z2508" i="3"/>
  <c r="Y2508" i="3"/>
  <c r="AA2501" i="3"/>
  <c r="Z2507" i="3"/>
  <c r="Y2507" i="3"/>
  <c r="Z2506" i="3"/>
  <c r="Y2506" i="3"/>
  <c r="Z2505" i="3"/>
  <c r="Y2505" i="3"/>
  <c r="Z2504" i="3"/>
  <c r="Y2504" i="3"/>
  <c r="Z2503" i="3"/>
  <c r="Y2503" i="3"/>
  <c r="Z2502" i="3"/>
  <c r="Y2502" i="3"/>
  <c r="Z2501" i="3"/>
  <c r="Y2501" i="3"/>
  <c r="AA2494" i="3"/>
  <c r="Z2500" i="3"/>
  <c r="Y2500" i="3"/>
  <c r="Z2499" i="3"/>
  <c r="Y2499" i="3"/>
  <c r="Z2498" i="3"/>
  <c r="Y2498" i="3"/>
  <c r="Z2497" i="3"/>
  <c r="Y2497" i="3"/>
  <c r="Z2496" i="3"/>
  <c r="Y2496" i="3"/>
  <c r="Z2495" i="3"/>
  <c r="Y2495" i="3"/>
  <c r="Z2494" i="3"/>
  <c r="Y2494" i="3"/>
  <c r="AA2487" i="3"/>
  <c r="Z2493" i="3"/>
  <c r="Y2493" i="3"/>
  <c r="Z2492" i="3"/>
  <c r="Y2492" i="3"/>
  <c r="Z2491" i="3"/>
  <c r="Y2491" i="3"/>
  <c r="Z2490" i="3"/>
  <c r="Y2490" i="3"/>
  <c r="Z2489" i="3"/>
  <c r="Y2489" i="3"/>
  <c r="Z2488" i="3"/>
  <c r="Y2488" i="3"/>
  <c r="Z2487" i="3"/>
  <c r="Y2487" i="3"/>
  <c r="AA2480" i="3"/>
  <c r="Z2486" i="3"/>
  <c r="Y2486" i="3"/>
  <c r="Z2485" i="3"/>
  <c r="Y2485" i="3"/>
  <c r="Z2484" i="3"/>
  <c r="Y2484" i="3"/>
  <c r="Z2483" i="3"/>
  <c r="Y2483" i="3"/>
  <c r="Z2482" i="3"/>
  <c r="Y2482" i="3"/>
  <c r="Z2481" i="3"/>
  <c r="Y2481" i="3"/>
  <c r="Z2480" i="3"/>
  <c r="Y2480" i="3"/>
  <c r="AA2473" i="3"/>
  <c r="Z2479" i="3"/>
  <c r="Y2479" i="3"/>
  <c r="Z2478" i="3"/>
  <c r="Y2478" i="3"/>
  <c r="Z2477" i="3"/>
  <c r="Y2477" i="3"/>
  <c r="Z2476" i="3"/>
  <c r="Y2476" i="3"/>
  <c r="Z2475" i="3"/>
  <c r="Y2475" i="3"/>
  <c r="Z2474" i="3"/>
  <c r="Y2474" i="3"/>
  <c r="Z2473" i="3"/>
  <c r="Y2473" i="3"/>
  <c r="AA2466" i="3"/>
  <c r="Z2472" i="3"/>
  <c r="Y2472" i="3"/>
  <c r="Z2471" i="3"/>
  <c r="Y2471" i="3"/>
  <c r="Z2470" i="3"/>
  <c r="Y2470" i="3"/>
  <c r="Z2469" i="3"/>
  <c r="Y2469" i="3"/>
  <c r="Z2468" i="3"/>
  <c r="Y2468" i="3"/>
  <c r="Z2467" i="3"/>
  <c r="Y2467" i="3"/>
  <c r="Z2466" i="3"/>
  <c r="Y2466" i="3"/>
  <c r="AA2459" i="3"/>
  <c r="Z2465" i="3"/>
  <c r="Y2465" i="3"/>
  <c r="Z2464" i="3"/>
  <c r="Y2464" i="3"/>
  <c r="Z2463" i="3"/>
  <c r="Y2463" i="3"/>
  <c r="Z2462" i="3"/>
  <c r="Y2462" i="3"/>
  <c r="Z2461" i="3"/>
  <c r="Y2461" i="3"/>
  <c r="Z2460" i="3"/>
  <c r="Y2460" i="3"/>
  <c r="Z2459" i="3"/>
  <c r="Y2459" i="3"/>
  <c r="X2515" i="3"/>
  <c r="X2508" i="3"/>
  <c r="X2501" i="3"/>
  <c r="X2494" i="3"/>
  <c r="X2487" i="3"/>
  <c r="X2480" i="3"/>
  <c r="X2473" i="3"/>
  <c r="X2466" i="3"/>
  <c r="X2459" i="3"/>
  <c r="AF2396" i="3"/>
  <c r="AE2396" i="3"/>
  <c r="AE2417" i="3"/>
  <c r="AE2416" i="3"/>
  <c r="AE2415" i="3"/>
  <c r="AE2414" i="3"/>
  <c r="AE2413" i="3"/>
  <c r="AE2412" i="3"/>
  <c r="AE2411" i="3"/>
  <c r="AE2410" i="3"/>
  <c r="AE2409" i="3"/>
  <c r="AE2408" i="3"/>
  <c r="AE2407" i="3"/>
  <c r="AE2406" i="3"/>
  <c r="AE2405" i="3"/>
  <c r="AE2404" i="3"/>
  <c r="AE2403" i="3"/>
  <c r="AE2402" i="3"/>
  <c r="AE2401" i="3"/>
  <c r="AE2400" i="3"/>
  <c r="AE2399" i="3"/>
  <c r="AE2398" i="3"/>
  <c r="AE2397" i="3"/>
  <c r="AD2396" i="3"/>
  <c r="AD2398" i="3"/>
  <c r="AD2397" i="3"/>
  <c r="AC2452" i="3"/>
  <c r="AB2453" i="3"/>
  <c r="AB2452" i="3"/>
  <c r="AC2445" i="3"/>
  <c r="AB2446" i="3"/>
  <c r="AB2445" i="3"/>
  <c r="AC2438" i="3"/>
  <c r="AB2439" i="3"/>
  <c r="AB2438" i="3"/>
  <c r="AC2431" i="3"/>
  <c r="AB2432" i="3"/>
  <c r="AB2431" i="3"/>
  <c r="AC2424" i="3"/>
  <c r="AB2425" i="3"/>
  <c r="AB2424" i="3"/>
  <c r="AC2417" i="3"/>
  <c r="AB2418" i="3"/>
  <c r="AB2417" i="3"/>
  <c r="AC2410" i="3"/>
  <c r="AB2411" i="3"/>
  <c r="AB2410" i="3"/>
  <c r="AC2403" i="3"/>
  <c r="AB2404" i="3"/>
  <c r="AB2403" i="3"/>
  <c r="AC2396" i="3"/>
  <c r="AB2397" i="3"/>
  <c r="AB2396" i="3"/>
  <c r="AA2452" i="3"/>
  <c r="Z2458" i="3"/>
  <c r="Y2458" i="3"/>
  <c r="Z2457" i="3"/>
  <c r="Y2457" i="3"/>
  <c r="Z2456" i="3"/>
  <c r="Y2456" i="3"/>
  <c r="Z2455" i="3"/>
  <c r="Y2455" i="3"/>
  <c r="Z2454" i="3"/>
  <c r="Y2454" i="3"/>
  <c r="Z2453" i="3"/>
  <c r="Y2453" i="3"/>
  <c r="Z2452" i="3"/>
  <c r="Y2452" i="3"/>
  <c r="AA2445" i="3"/>
  <c r="Z2451" i="3"/>
  <c r="Y2451" i="3"/>
  <c r="Z2450" i="3"/>
  <c r="Y2450" i="3"/>
  <c r="Z2449" i="3"/>
  <c r="Y2449" i="3"/>
  <c r="Z2448" i="3"/>
  <c r="Y2448" i="3"/>
  <c r="Z2447" i="3"/>
  <c r="Y2447" i="3"/>
  <c r="Z2446" i="3"/>
  <c r="Y2446" i="3"/>
  <c r="Z2445" i="3"/>
  <c r="Y2445" i="3"/>
  <c r="AA2438" i="3"/>
  <c r="Z2444" i="3"/>
  <c r="Y2444" i="3"/>
  <c r="Z2443" i="3"/>
  <c r="Y2443" i="3"/>
  <c r="Z2442" i="3"/>
  <c r="Y2442" i="3"/>
  <c r="Z2441" i="3"/>
  <c r="Y2441" i="3"/>
  <c r="Z2440" i="3"/>
  <c r="Y2440" i="3"/>
  <c r="Z2439" i="3"/>
  <c r="Y2439" i="3"/>
  <c r="Z2438" i="3"/>
  <c r="Y2438" i="3"/>
  <c r="AA2431" i="3"/>
  <c r="Z2437" i="3"/>
  <c r="Y2437" i="3"/>
  <c r="Z2436" i="3"/>
  <c r="Y2436" i="3"/>
  <c r="Z2435" i="3"/>
  <c r="Y2435" i="3"/>
  <c r="Z2434" i="3"/>
  <c r="Y2434" i="3"/>
  <c r="Z2433" i="3"/>
  <c r="Y2433" i="3"/>
  <c r="Z2432" i="3"/>
  <c r="Y2432" i="3"/>
  <c r="Z2431" i="3"/>
  <c r="Y2431" i="3"/>
  <c r="AA2424" i="3"/>
  <c r="Z2430" i="3"/>
  <c r="Y2430" i="3"/>
  <c r="Z2429" i="3"/>
  <c r="Y2429" i="3"/>
  <c r="Z2428" i="3"/>
  <c r="Y2428" i="3"/>
  <c r="Z2427" i="3"/>
  <c r="Y2427" i="3"/>
  <c r="Z2426" i="3"/>
  <c r="Y2426" i="3"/>
  <c r="Z2425" i="3"/>
  <c r="Y2425" i="3"/>
  <c r="Z2424" i="3"/>
  <c r="Y2424" i="3"/>
  <c r="AA2417" i="3"/>
  <c r="Z2423" i="3"/>
  <c r="Y2423" i="3"/>
  <c r="Z2422" i="3"/>
  <c r="Y2422" i="3"/>
  <c r="Z2421" i="3"/>
  <c r="Y2421" i="3"/>
  <c r="Z2420" i="3"/>
  <c r="Y2420" i="3"/>
  <c r="Z2419" i="3"/>
  <c r="Y2419" i="3"/>
  <c r="Z2418" i="3"/>
  <c r="Y2418" i="3"/>
  <c r="Z2417" i="3"/>
  <c r="Y2417" i="3"/>
  <c r="AA2410" i="3"/>
  <c r="Z2416" i="3"/>
  <c r="Y2416" i="3"/>
  <c r="Z2415" i="3"/>
  <c r="Y2415" i="3"/>
  <c r="Z2414" i="3"/>
  <c r="Y2414" i="3"/>
  <c r="Z2413" i="3"/>
  <c r="Y2413" i="3"/>
  <c r="Z2412" i="3"/>
  <c r="Y2412" i="3"/>
  <c r="Z2411" i="3"/>
  <c r="Y2411" i="3"/>
  <c r="Z2410" i="3"/>
  <c r="Y2410" i="3"/>
  <c r="AA2403" i="3"/>
  <c r="Z2409" i="3"/>
  <c r="Y2409" i="3"/>
  <c r="Z2408" i="3"/>
  <c r="Y2408" i="3"/>
  <c r="Z2407" i="3"/>
  <c r="Y2407" i="3"/>
  <c r="Z2406" i="3"/>
  <c r="Y2406" i="3"/>
  <c r="Z2405" i="3"/>
  <c r="Y2405" i="3"/>
  <c r="Z2404" i="3"/>
  <c r="Y2404" i="3"/>
  <c r="Z2403" i="3"/>
  <c r="Y2403" i="3"/>
  <c r="AA2396" i="3"/>
  <c r="Z2402" i="3"/>
  <c r="Y2402" i="3"/>
  <c r="Z2401" i="3"/>
  <c r="Y2401" i="3"/>
  <c r="Z2400" i="3"/>
  <c r="Y2400" i="3"/>
  <c r="Z2399" i="3"/>
  <c r="Y2399" i="3"/>
  <c r="Z2398" i="3"/>
  <c r="Y2398" i="3"/>
  <c r="Z2397" i="3"/>
  <c r="Y2397" i="3"/>
  <c r="Z2396" i="3"/>
  <c r="Y2396" i="3"/>
  <c r="X2452" i="3"/>
  <c r="X2445" i="3"/>
  <c r="X2438" i="3"/>
  <c r="X2431" i="3"/>
  <c r="X2424" i="3"/>
  <c r="X2417" i="3"/>
  <c r="X2410" i="3"/>
  <c r="X2403" i="3"/>
  <c r="X2396" i="3"/>
  <c r="AF2333" i="3"/>
  <c r="AE2333" i="3"/>
  <c r="AE2354" i="3"/>
  <c r="AE2353" i="3"/>
  <c r="AE2352" i="3"/>
  <c r="AE2351" i="3"/>
  <c r="AE2350" i="3"/>
  <c r="AE2349" i="3"/>
  <c r="AE2348" i="3"/>
  <c r="AE2347" i="3"/>
  <c r="AE2346" i="3"/>
  <c r="AE2345" i="3"/>
  <c r="AE2344" i="3"/>
  <c r="AE2343" i="3"/>
  <c r="AE2342" i="3"/>
  <c r="AE2341" i="3"/>
  <c r="AE2340" i="3"/>
  <c r="AE2339" i="3"/>
  <c r="AE2338" i="3"/>
  <c r="AE2337" i="3"/>
  <c r="AE2336" i="3"/>
  <c r="AE2335" i="3"/>
  <c r="AE2334" i="3"/>
  <c r="AD2333" i="3"/>
  <c r="AD2335" i="3"/>
  <c r="AD2334" i="3"/>
  <c r="AC2389" i="3"/>
  <c r="AB2390" i="3"/>
  <c r="AB2389" i="3"/>
  <c r="AC2382" i="3"/>
  <c r="AB2383" i="3"/>
  <c r="AB2382" i="3"/>
  <c r="AC2375" i="3"/>
  <c r="AB2376" i="3"/>
  <c r="AB2375" i="3"/>
  <c r="AC2368" i="3"/>
  <c r="AB2369" i="3"/>
  <c r="AB2368" i="3"/>
  <c r="AC2361" i="3"/>
  <c r="AB2362" i="3"/>
  <c r="AB2361" i="3"/>
  <c r="AC2354" i="3"/>
  <c r="AB2355" i="3"/>
  <c r="AB2354" i="3"/>
  <c r="AC2347" i="3"/>
  <c r="AB2348" i="3"/>
  <c r="AB2347" i="3"/>
  <c r="AC2340" i="3"/>
  <c r="AB2341" i="3"/>
  <c r="AB2340" i="3"/>
  <c r="AC2333" i="3"/>
  <c r="AB2334" i="3"/>
  <c r="AB2333" i="3"/>
  <c r="AA2389" i="3"/>
  <c r="Z2395" i="3"/>
  <c r="Y2395" i="3"/>
  <c r="Z2394" i="3"/>
  <c r="Y2394" i="3"/>
  <c r="Z2393" i="3"/>
  <c r="Y2393" i="3"/>
  <c r="Z2392" i="3"/>
  <c r="Y2392" i="3"/>
  <c r="Z2391" i="3"/>
  <c r="Y2391" i="3"/>
  <c r="Z2390" i="3"/>
  <c r="Y2390" i="3"/>
  <c r="Z2389" i="3"/>
  <c r="Y2389" i="3"/>
  <c r="AA2382" i="3"/>
  <c r="Z2388" i="3"/>
  <c r="Y2388" i="3"/>
  <c r="Z2387" i="3"/>
  <c r="Y2387" i="3"/>
  <c r="Z2386" i="3"/>
  <c r="Y2386" i="3"/>
  <c r="Z2385" i="3"/>
  <c r="Y2385" i="3"/>
  <c r="Z2384" i="3"/>
  <c r="Y2384" i="3"/>
  <c r="Z2383" i="3"/>
  <c r="Y2383" i="3"/>
  <c r="Z2382" i="3"/>
  <c r="Y2382" i="3"/>
  <c r="AA2375" i="3"/>
  <c r="Z2381" i="3"/>
  <c r="Y2381" i="3"/>
  <c r="Z2380" i="3"/>
  <c r="Y2380" i="3"/>
  <c r="Z2379" i="3"/>
  <c r="Y2379" i="3"/>
  <c r="Z2378" i="3"/>
  <c r="Y2378" i="3"/>
  <c r="Z2377" i="3"/>
  <c r="Y2377" i="3"/>
  <c r="Z2376" i="3"/>
  <c r="Y2376" i="3"/>
  <c r="Z2375" i="3"/>
  <c r="Y2375" i="3"/>
  <c r="AA2368" i="3"/>
  <c r="Z2374" i="3"/>
  <c r="Y2374" i="3"/>
  <c r="Z2373" i="3"/>
  <c r="Y2373" i="3"/>
  <c r="Z2372" i="3"/>
  <c r="Y2372" i="3"/>
  <c r="Z2371" i="3"/>
  <c r="Y2371" i="3"/>
  <c r="Z2370" i="3"/>
  <c r="Y2370" i="3"/>
  <c r="Z2369" i="3"/>
  <c r="Y2369" i="3"/>
  <c r="Z2368" i="3"/>
  <c r="Y2368" i="3"/>
  <c r="AA2361" i="3"/>
  <c r="Z2367" i="3"/>
  <c r="Y2367" i="3"/>
  <c r="Z2366" i="3"/>
  <c r="Y2366" i="3"/>
  <c r="Z2365" i="3"/>
  <c r="Y2365" i="3"/>
  <c r="Z2364" i="3"/>
  <c r="Y2364" i="3"/>
  <c r="Z2363" i="3"/>
  <c r="Y2363" i="3"/>
  <c r="Z2362" i="3"/>
  <c r="Y2362" i="3"/>
  <c r="Z2361" i="3"/>
  <c r="Y2361" i="3"/>
  <c r="AA2354" i="3"/>
  <c r="Z2360" i="3"/>
  <c r="Y2360" i="3"/>
  <c r="Z2359" i="3"/>
  <c r="Y2359" i="3"/>
  <c r="Z2358" i="3"/>
  <c r="Y2358" i="3"/>
  <c r="Z2357" i="3"/>
  <c r="Y2357" i="3"/>
  <c r="Z2356" i="3"/>
  <c r="Y2356" i="3"/>
  <c r="Z2355" i="3"/>
  <c r="Y2355" i="3"/>
  <c r="Z2354" i="3"/>
  <c r="Y2354" i="3"/>
  <c r="AA2347" i="3"/>
  <c r="Z2353" i="3"/>
  <c r="Y2353" i="3"/>
  <c r="Z2352" i="3"/>
  <c r="Y2352" i="3"/>
  <c r="Z2351" i="3"/>
  <c r="Y2351" i="3"/>
  <c r="Z2350" i="3"/>
  <c r="Y2350" i="3"/>
  <c r="Z2349" i="3"/>
  <c r="Y2349" i="3"/>
  <c r="Z2348" i="3"/>
  <c r="Y2348" i="3"/>
  <c r="Z2347" i="3"/>
  <c r="Y2347" i="3"/>
  <c r="AA2340" i="3"/>
  <c r="Z2346" i="3"/>
  <c r="Y2346" i="3"/>
  <c r="Z2345" i="3"/>
  <c r="Y2345" i="3"/>
  <c r="Z2344" i="3"/>
  <c r="Y2344" i="3"/>
  <c r="Z2343" i="3"/>
  <c r="Y2343" i="3"/>
  <c r="Z2342" i="3"/>
  <c r="Y2342" i="3"/>
  <c r="Z2341" i="3"/>
  <c r="Y2341" i="3"/>
  <c r="Z2340" i="3"/>
  <c r="Y2340" i="3"/>
  <c r="AA2333" i="3"/>
  <c r="Z2339" i="3"/>
  <c r="Y2339" i="3"/>
  <c r="Z2338" i="3"/>
  <c r="Y2338" i="3"/>
  <c r="Z2337" i="3"/>
  <c r="Y2337" i="3"/>
  <c r="Z2336" i="3"/>
  <c r="Y2336" i="3"/>
  <c r="Z2335" i="3"/>
  <c r="Y2335" i="3"/>
  <c r="Z2334" i="3"/>
  <c r="Y2334" i="3"/>
  <c r="Z2333" i="3"/>
  <c r="Y2333" i="3"/>
  <c r="X2389" i="3"/>
  <c r="X2382" i="3"/>
  <c r="X2375" i="3"/>
  <c r="X2368" i="3"/>
  <c r="X2361" i="3"/>
  <c r="X2354" i="3"/>
  <c r="X2347" i="3"/>
  <c r="X2340" i="3"/>
  <c r="X2333" i="3"/>
  <c r="AF2270" i="3"/>
  <c r="AE2270" i="3"/>
  <c r="AE2291" i="3"/>
  <c r="AE2290" i="3"/>
  <c r="AE2289" i="3"/>
  <c r="AE2288" i="3"/>
  <c r="AE2287" i="3"/>
  <c r="AE2286" i="3"/>
  <c r="AE2285" i="3"/>
  <c r="AE2284" i="3"/>
  <c r="AE2283" i="3"/>
  <c r="AE2282" i="3"/>
  <c r="AE2281" i="3"/>
  <c r="AE2280" i="3"/>
  <c r="AE2279" i="3"/>
  <c r="AE2278" i="3"/>
  <c r="AE2277" i="3"/>
  <c r="AE2276" i="3"/>
  <c r="AE2275" i="3"/>
  <c r="AE2274" i="3"/>
  <c r="AE2273" i="3"/>
  <c r="AE2272" i="3"/>
  <c r="AE2271" i="3"/>
  <c r="AD2270" i="3"/>
  <c r="AD2272" i="3"/>
  <c r="AD2271" i="3"/>
  <c r="AC2326" i="3"/>
  <c r="AB2327" i="3"/>
  <c r="AB2326" i="3"/>
  <c r="AC2319" i="3"/>
  <c r="AB2320" i="3"/>
  <c r="AB2319" i="3"/>
  <c r="AC2312" i="3"/>
  <c r="AB2313" i="3"/>
  <c r="AB2312" i="3"/>
  <c r="AC2305" i="3"/>
  <c r="AB2306" i="3"/>
  <c r="AB2305" i="3"/>
  <c r="AC2298" i="3"/>
  <c r="AB2299" i="3"/>
  <c r="AB2298" i="3"/>
  <c r="AC2291" i="3"/>
  <c r="AB2292" i="3"/>
  <c r="AB2291" i="3"/>
  <c r="AC2284" i="3"/>
  <c r="AB2285" i="3"/>
  <c r="AB2284" i="3"/>
  <c r="AC2277" i="3"/>
  <c r="AB2278" i="3"/>
  <c r="AB2277" i="3"/>
  <c r="AC2270" i="3"/>
  <c r="AB2271" i="3"/>
  <c r="AB2270" i="3"/>
  <c r="AA2326" i="3"/>
  <c r="Z2332" i="3"/>
  <c r="Y2332" i="3"/>
  <c r="Z2331" i="3"/>
  <c r="Y2331" i="3"/>
  <c r="Z2330" i="3"/>
  <c r="Y2330" i="3"/>
  <c r="Z2329" i="3"/>
  <c r="Y2329" i="3"/>
  <c r="Z2328" i="3"/>
  <c r="Y2328" i="3"/>
  <c r="Z2327" i="3"/>
  <c r="Y2327" i="3"/>
  <c r="Z2326" i="3"/>
  <c r="Y2326" i="3"/>
  <c r="AA2319" i="3"/>
  <c r="Z2325" i="3"/>
  <c r="Y2325" i="3"/>
  <c r="Z2324" i="3"/>
  <c r="Y2324" i="3"/>
  <c r="Z2323" i="3"/>
  <c r="Y2323" i="3"/>
  <c r="Z2322" i="3"/>
  <c r="Y2322" i="3"/>
  <c r="Z2321" i="3"/>
  <c r="Y2321" i="3"/>
  <c r="Z2320" i="3"/>
  <c r="Y2320" i="3"/>
  <c r="Z2319" i="3"/>
  <c r="Y2319" i="3"/>
  <c r="AA2312" i="3"/>
  <c r="Z2318" i="3"/>
  <c r="Y2318" i="3"/>
  <c r="Z2317" i="3"/>
  <c r="Y2317" i="3"/>
  <c r="Z2316" i="3"/>
  <c r="Y2316" i="3"/>
  <c r="Z2315" i="3"/>
  <c r="Y2315" i="3"/>
  <c r="Z2314" i="3"/>
  <c r="Y2314" i="3"/>
  <c r="Z2313" i="3"/>
  <c r="Y2313" i="3"/>
  <c r="Z2312" i="3"/>
  <c r="Y2312" i="3"/>
  <c r="AA2305" i="3"/>
  <c r="Z2311" i="3"/>
  <c r="Y2311" i="3"/>
  <c r="Z2310" i="3"/>
  <c r="Y2310" i="3"/>
  <c r="Z2309" i="3"/>
  <c r="Y2309" i="3"/>
  <c r="Z2308" i="3"/>
  <c r="Y2308" i="3"/>
  <c r="Z2307" i="3"/>
  <c r="Y2307" i="3"/>
  <c r="Z2306" i="3"/>
  <c r="Y2306" i="3"/>
  <c r="Z2305" i="3"/>
  <c r="Y2305" i="3"/>
  <c r="AA2298" i="3"/>
  <c r="Z2304" i="3"/>
  <c r="Y2304" i="3"/>
  <c r="Z2303" i="3"/>
  <c r="Y2303" i="3"/>
  <c r="Z2302" i="3"/>
  <c r="Y2302" i="3"/>
  <c r="Z2301" i="3"/>
  <c r="Y2301" i="3"/>
  <c r="Z2300" i="3"/>
  <c r="Y2300" i="3"/>
  <c r="Z2299" i="3"/>
  <c r="Y2299" i="3"/>
  <c r="Z2298" i="3"/>
  <c r="Y2298" i="3"/>
  <c r="AA2291" i="3"/>
  <c r="Z2297" i="3"/>
  <c r="Y2297" i="3"/>
  <c r="Z2296" i="3"/>
  <c r="Y2296" i="3"/>
  <c r="Z2295" i="3"/>
  <c r="Y2295" i="3"/>
  <c r="Z2294" i="3"/>
  <c r="Y2294" i="3"/>
  <c r="Z2293" i="3"/>
  <c r="Y2293" i="3"/>
  <c r="Z2292" i="3"/>
  <c r="Y2292" i="3"/>
  <c r="Z2291" i="3"/>
  <c r="Y2291" i="3"/>
  <c r="AA2284" i="3"/>
  <c r="Z2290" i="3"/>
  <c r="Y2290" i="3"/>
  <c r="Z2289" i="3"/>
  <c r="Y2289" i="3"/>
  <c r="Z2288" i="3"/>
  <c r="Y2288" i="3"/>
  <c r="Z2287" i="3"/>
  <c r="Y2287" i="3"/>
  <c r="Z2286" i="3"/>
  <c r="Y2286" i="3"/>
  <c r="Z2285" i="3"/>
  <c r="Y2285" i="3"/>
  <c r="Z2284" i="3"/>
  <c r="Y2284" i="3"/>
  <c r="AA2277" i="3"/>
  <c r="Z2283" i="3"/>
  <c r="Y2283" i="3"/>
  <c r="Z2282" i="3"/>
  <c r="Y2282" i="3"/>
  <c r="Z2281" i="3"/>
  <c r="Y2281" i="3"/>
  <c r="Z2280" i="3"/>
  <c r="Y2280" i="3"/>
  <c r="Z2279" i="3"/>
  <c r="Y2279" i="3"/>
  <c r="Z2278" i="3"/>
  <c r="Y2278" i="3"/>
  <c r="Z2277" i="3"/>
  <c r="Y2277" i="3"/>
  <c r="AA2270" i="3"/>
  <c r="Z2276" i="3"/>
  <c r="Y2276" i="3"/>
  <c r="Z2275" i="3"/>
  <c r="Y2275" i="3"/>
  <c r="Z2274" i="3"/>
  <c r="Y2274" i="3"/>
  <c r="Z2273" i="3"/>
  <c r="Y2273" i="3"/>
  <c r="Z2272" i="3"/>
  <c r="Y2272" i="3"/>
  <c r="Z2271" i="3"/>
  <c r="Y2271" i="3"/>
  <c r="Z2270" i="3"/>
  <c r="Y2270" i="3"/>
  <c r="X2326" i="3"/>
  <c r="X2319" i="3"/>
  <c r="X2312" i="3"/>
  <c r="X2305" i="3"/>
  <c r="X2298" i="3"/>
  <c r="X2291" i="3"/>
  <c r="X2284" i="3"/>
  <c r="X2277" i="3"/>
  <c r="X2270" i="3"/>
  <c r="AF2207" i="3"/>
  <c r="AE2207" i="3"/>
  <c r="AE2228" i="3"/>
  <c r="AE2227" i="3"/>
  <c r="AE2226" i="3"/>
  <c r="AE2225" i="3"/>
  <c r="AE2224" i="3"/>
  <c r="AE2223" i="3"/>
  <c r="AE2222" i="3"/>
  <c r="AE2221" i="3"/>
  <c r="AE2220" i="3"/>
  <c r="AE2219" i="3"/>
  <c r="AE2218" i="3"/>
  <c r="AE2217" i="3"/>
  <c r="AE2216" i="3"/>
  <c r="AE2215" i="3"/>
  <c r="AE2214" i="3"/>
  <c r="AE2213" i="3"/>
  <c r="AE2212" i="3"/>
  <c r="AE2211" i="3"/>
  <c r="AE2210" i="3"/>
  <c r="AE2209" i="3"/>
  <c r="AE2208" i="3"/>
  <c r="AD2207" i="3"/>
  <c r="AD2209" i="3"/>
  <c r="AD2208" i="3"/>
  <c r="AC2263" i="3"/>
  <c r="AB2264" i="3"/>
  <c r="AB2263" i="3"/>
  <c r="AC2256" i="3"/>
  <c r="AB2257" i="3"/>
  <c r="AB2256" i="3"/>
  <c r="AC2249" i="3"/>
  <c r="AB2250" i="3"/>
  <c r="AB2249" i="3"/>
  <c r="AC2242" i="3"/>
  <c r="AB2243" i="3"/>
  <c r="AB2242" i="3"/>
  <c r="AC2235" i="3"/>
  <c r="AB2236" i="3"/>
  <c r="AB2235" i="3"/>
  <c r="AC2228" i="3"/>
  <c r="AB2229" i="3"/>
  <c r="AB2228" i="3"/>
  <c r="AC2221" i="3"/>
  <c r="AB2222" i="3"/>
  <c r="AB2221" i="3"/>
  <c r="AC2214" i="3"/>
  <c r="AB2215" i="3"/>
  <c r="AB2214" i="3"/>
  <c r="AC2207" i="3"/>
  <c r="AB2208" i="3"/>
  <c r="AB2207" i="3"/>
  <c r="AA2263" i="3"/>
  <c r="Z2269" i="3"/>
  <c r="Y2269" i="3"/>
  <c r="Z2268" i="3"/>
  <c r="Y2268" i="3"/>
  <c r="Z2267" i="3"/>
  <c r="Y2267" i="3"/>
  <c r="Z2266" i="3"/>
  <c r="Y2266" i="3"/>
  <c r="Z2265" i="3"/>
  <c r="Y2265" i="3"/>
  <c r="Z2264" i="3"/>
  <c r="Y2264" i="3"/>
  <c r="Z2263" i="3"/>
  <c r="Y2263" i="3"/>
  <c r="AA2256" i="3"/>
  <c r="Z2262" i="3"/>
  <c r="Y2262" i="3"/>
  <c r="Z2261" i="3"/>
  <c r="Y2261" i="3"/>
  <c r="Z2260" i="3"/>
  <c r="Y2260" i="3"/>
  <c r="Z2259" i="3"/>
  <c r="Y2259" i="3"/>
  <c r="Z2258" i="3"/>
  <c r="Y2258" i="3"/>
  <c r="Z2257" i="3"/>
  <c r="Y2257" i="3"/>
  <c r="Z2256" i="3"/>
  <c r="Y2256" i="3"/>
  <c r="AA2249" i="3"/>
  <c r="Z2255" i="3"/>
  <c r="Y2255" i="3"/>
  <c r="Z2254" i="3"/>
  <c r="Y2254" i="3"/>
  <c r="Z2253" i="3"/>
  <c r="Y2253" i="3"/>
  <c r="Z2252" i="3"/>
  <c r="Y2252" i="3"/>
  <c r="Z2251" i="3"/>
  <c r="Y2251" i="3"/>
  <c r="Z2250" i="3"/>
  <c r="Y2250" i="3"/>
  <c r="Z2249" i="3"/>
  <c r="Y2249" i="3"/>
  <c r="AA2242" i="3"/>
  <c r="Z2248" i="3"/>
  <c r="Y2248" i="3"/>
  <c r="Z2247" i="3"/>
  <c r="Y2247" i="3"/>
  <c r="Z2246" i="3"/>
  <c r="Y2246" i="3"/>
  <c r="Z2245" i="3"/>
  <c r="Y2245" i="3"/>
  <c r="Z2244" i="3"/>
  <c r="Y2244" i="3"/>
  <c r="Z2243" i="3"/>
  <c r="Y2243" i="3"/>
  <c r="Z2242" i="3"/>
  <c r="Y2242" i="3"/>
  <c r="AA2235" i="3"/>
  <c r="Z2241" i="3"/>
  <c r="Y2241" i="3"/>
  <c r="Z2240" i="3"/>
  <c r="Y2240" i="3"/>
  <c r="Z2239" i="3"/>
  <c r="Y2239" i="3"/>
  <c r="Z2238" i="3"/>
  <c r="Y2238" i="3"/>
  <c r="Z2237" i="3"/>
  <c r="Y2237" i="3"/>
  <c r="Z2236" i="3"/>
  <c r="Y2236" i="3"/>
  <c r="Z2235" i="3"/>
  <c r="Y2235" i="3"/>
  <c r="AA2228" i="3"/>
  <c r="Z2234" i="3"/>
  <c r="Y2234" i="3"/>
  <c r="Z2233" i="3"/>
  <c r="Y2233" i="3"/>
  <c r="Z2232" i="3"/>
  <c r="Y2232" i="3"/>
  <c r="Z2231" i="3"/>
  <c r="Y2231" i="3"/>
  <c r="Z2230" i="3"/>
  <c r="Y2230" i="3"/>
  <c r="Z2229" i="3"/>
  <c r="Y2229" i="3"/>
  <c r="Z2228" i="3"/>
  <c r="Y2228" i="3"/>
  <c r="AA2221" i="3"/>
  <c r="Z2227" i="3"/>
  <c r="Y2227" i="3"/>
  <c r="Z2226" i="3"/>
  <c r="Y2226" i="3"/>
  <c r="Z2225" i="3"/>
  <c r="Y2225" i="3"/>
  <c r="Z2224" i="3"/>
  <c r="Y2224" i="3"/>
  <c r="Z2223" i="3"/>
  <c r="Y2223" i="3"/>
  <c r="Z2222" i="3"/>
  <c r="Y2222" i="3"/>
  <c r="Z2221" i="3"/>
  <c r="Y2221" i="3"/>
  <c r="AA2214" i="3"/>
  <c r="Z2220" i="3"/>
  <c r="Y2220" i="3"/>
  <c r="Z2219" i="3"/>
  <c r="Y2219" i="3"/>
  <c r="Z2218" i="3"/>
  <c r="Y2218" i="3"/>
  <c r="Z2217" i="3"/>
  <c r="Y2217" i="3"/>
  <c r="Z2216" i="3"/>
  <c r="Y2216" i="3"/>
  <c r="Z2215" i="3"/>
  <c r="Y2215" i="3"/>
  <c r="Z2214" i="3"/>
  <c r="Y2214" i="3"/>
  <c r="AA2207" i="3"/>
  <c r="Z2213" i="3"/>
  <c r="Y2213" i="3"/>
  <c r="Z2212" i="3"/>
  <c r="Y2212" i="3"/>
  <c r="Z2211" i="3"/>
  <c r="Y2211" i="3"/>
  <c r="Z2210" i="3"/>
  <c r="Y2210" i="3"/>
  <c r="Z2209" i="3"/>
  <c r="Y2209" i="3"/>
  <c r="Z2208" i="3"/>
  <c r="Y2208" i="3"/>
  <c r="Z2207" i="3"/>
  <c r="Y2207" i="3"/>
  <c r="X2263" i="3"/>
  <c r="X2256" i="3"/>
  <c r="X2249" i="3"/>
  <c r="X2242" i="3"/>
  <c r="X2235" i="3"/>
  <c r="X2228" i="3"/>
  <c r="X2221" i="3"/>
  <c r="X2214" i="3"/>
  <c r="X2207" i="3"/>
  <c r="AF2144" i="3"/>
  <c r="AE2144" i="3"/>
  <c r="AE2165" i="3"/>
  <c r="AE2164" i="3"/>
  <c r="AE2163" i="3"/>
  <c r="AE2162" i="3"/>
  <c r="AE2161" i="3"/>
  <c r="AE2160" i="3"/>
  <c r="AE2159" i="3"/>
  <c r="AE2158" i="3"/>
  <c r="AE2157" i="3"/>
  <c r="AE2156" i="3"/>
  <c r="AE2155" i="3"/>
  <c r="AE2154" i="3"/>
  <c r="AE2153" i="3"/>
  <c r="AE2152" i="3"/>
  <c r="AE2151" i="3"/>
  <c r="AE2150" i="3"/>
  <c r="AE2149" i="3"/>
  <c r="AE2148" i="3"/>
  <c r="AE2147" i="3"/>
  <c r="AE2146" i="3"/>
  <c r="AE2145" i="3"/>
  <c r="AD2144" i="3"/>
  <c r="AD2146" i="3"/>
  <c r="AD2145" i="3"/>
  <c r="AC2200" i="3"/>
  <c r="AB2201" i="3"/>
  <c r="AB2200" i="3"/>
  <c r="AC2193" i="3"/>
  <c r="AB2194" i="3"/>
  <c r="AB2193" i="3"/>
  <c r="AC2186" i="3"/>
  <c r="AB2187" i="3"/>
  <c r="AB2186" i="3"/>
  <c r="AC2179" i="3"/>
  <c r="AB2180" i="3"/>
  <c r="AB2179" i="3"/>
  <c r="AC2172" i="3"/>
  <c r="AB2173" i="3"/>
  <c r="AB2172" i="3"/>
  <c r="AC2165" i="3"/>
  <c r="AB2166" i="3"/>
  <c r="AB2165" i="3"/>
  <c r="AC2158" i="3"/>
  <c r="AB2159" i="3"/>
  <c r="AB2158" i="3"/>
  <c r="AC2151" i="3"/>
  <c r="AB2152" i="3"/>
  <c r="AB2151" i="3"/>
  <c r="AC2144" i="3"/>
  <c r="AB2145" i="3"/>
  <c r="AB2144" i="3"/>
  <c r="AA2200" i="3"/>
  <c r="Z2206" i="3"/>
  <c r="Y2206" i="3"/>
  <c r="Z2205" i="3"/>
  <c r="Y2205" i="3"/>
  <c r="Z2204" i="3"/>
  <c r="Y2204" i="3"/>
  <c r="Z2203" i="3"/>
  <c r="Y2203" i="3"/>
  <c r="Z2202" i="3"/>
  <c r="Y2202" i="3"/>
  <c r="Z2201" i="3"/>
  <c r="Y2201" i="3"/>
  <c r="Z2200" i="3"/>
  <c r="Y2200" i="3"/>
  <c r="AA2193" i="3"/>
  <c r="Z2199" i="3"/>
  <c r="Y2199" i="3"/>
  <c r="Z2198" i="3"/>
  <c r="Y2198" i="3"/>
  <c r="Z2197" i="3"/>
  <c r="Y2197" i="3"/>
  <c r="Z2196" i="3"/>
  <c r="Y2196" i="3"/>
  <c r="Z2195" i="3"/>
  <c r="Y2195" i="3"/>
  <c r="Z2194" i="3"/>
  <c r="Y2194" i="3"/>
  <c r="Z2193" i="3"/>
  <c r="Y2193" i="3"/>
  <c r="AA2186" i="3"/>
  <c r="Z2192" i="3"/>
  <c r="Y2192" i="3"/>
  <c r="Z2191" i="3"/>
  <c r="Y2191" i="3"/>
  <c r="Z2190" i="3"/>
  <c r="Y2190" i="3"/>
  <c r="Z2189" i="3"/>
  <c r="Y2189" i="3"/>
  <c r="Z2188" i="3"/>
  <c r="Y2188" i="3"/>
  <c r="Z2187" i="3"/>
  <c r="Y2187" i="3"/>
  <c r="Z2186" i="3"/>
  <c r="Y2186" i="3"/>
  <c r="AA2179" i="3"/>
  <c r="Z2185" i="3"/>
  <c r="Y2185" i="3"/>
  <c r="Z2184" i="3"/>
  <c r="Y2184" i="3"/>
  <c r="Z2183" i="3"/>
  <c r="Y2183" i="3"/>
  <c r="Z2182" i="3"/>
  <c r="Y2182" i="3"/>
  <c r="Z2181" i="3"/>
  <c r="Y2181" i="3"/>
  <c r="Z2180" i="3"/>
  <c r="Y2180" i="3"/>
  <c r="Z2179" i="3"/>
  <c r="Y2179" i="3"/>
  <c r="AA2172" i="3"/>
  <c r="Z2178" i="3"/>
  <c r="Y2178" i="3"/>
  <c r="Z2177" i="3"/>
  <c r="Y2177" i="3"/>
  <c r="Z2176" i="3"/>
  <c r="Y2176" i="3"/>
  <c r="Z2175" i="3"/>
  <c r="Y2175" i="3"/>
  <c r="Z2174" i="3"/>
  <c r="Y2174" i="3"/>
  <c r="Z2173" i="3"/>
  <c r="Y2173" i="3"/>
  <c r="Z2172" i="3"/>
  <c r="Y2172" i="3"/>
  <c r="AA2165" i="3"/>
  <c r="Z2171" i="3"/>
  <c r="Y2171" i="3"/>
  <c r="Z2170" i="3"/>
  <c r="Y2170" i="3"/>
  <c r="Z2169" i="3"/>
  <c r="Y2169" i="3"/>
  <c r="Z2168" i="3"/>
  <c r="Y2168" i="3"/>
  <c r="Z2167" i="3"/>
  <c r="Y2167" i="3"/>
  <c r="Z2166" i="3"/>
  <c r="Y2166" i="3"/>
  <c r="Z2165" i="3"/>
  <c r="Y2165" i="3"/>
  <c r="AA2158" i="3"/>
  <c r="Z2164" i="3"/>
  <c r="Y2164" i="3"/>
  <c r="Z2163" i="3"/>
  <c r="Y2163" i="3"/>
  <c r="Z2162" i="3"/>
  <c r="Y2162" i="3"/>
  <c r="Z2161" i="3"/>
  <c r="Y2161" i="3"/>
  <c r="Z2160" i="3"/>
  <c r="Y2160" i="3"/>
  <c r="Z2159" i="3"/>
  <c r="Y2159" i="3"/>
  <c r="Z2158" i="3"/>
  <c r="Y2158" i="3"/>
  <c r="AA2151" i="3"/>
  <c r="Z2157" i="3"/>
  <c r="Y2157" i="3"/>
  <c r="Z2156" i="3"/>
  <c r="Y2156" i="3"/>
  <c r="Z2155" i="3"/>
  <c r="Y2155" i="3"/>
  <c r="Z2154" i="3"/>
  <c r="Y2154" i="3"/>
  <c r="Z2153" i="3"/>
  <c r="Y2153" i="3"/>
  <c r="Z2152" i="3"/>
  <c r="Y2152" i="3"/>
  <c r="Z2151" i="3"/>
  <c r="Y2151" i="3"/>
  <c r="AA2144" i="3"/>
  <c r="Z2150" i="3"/>
  <c r="Y2150" i="3"/>
  <c r="Z2149" i="3"/>
  <c r="Y2149" i="3"/>
  <c r="Z2148" i="3"/>
  <c r="Y2148" i="3"/>
  <c r="Z2147" i="3"/>
  <c r="Y2147" i="3"/>
  <c r="Z2146" i="3"/>
  <c r="Y2146" i="3"/>
  <c r="Z2145" i="3"/>
  <c r="Y2145" i="3"/>
  <c r="Z2144" i="3"/>
  <c r="Y2144" i="3"/>
  <c r="X2200" i="3"/>
  <c r="X2193" i="3"/>
  <c r="X2186" i="3"/>
  <c r="X2179" i="3"/>
  <c r="X2172" i="3"/>
  <c r="X2165" i="3"/>
  <c r="X2158" i="3"/>
  <c r="X2151" i="3"/>
  <c r="X2144" i="3"/>
  <c r="AF2081" i="3"/>
  <c r="AE2081" i="3"/>
  <c r="AE2102" i="3"/>
  <c r="AE2101" i="3"/>
  <c r="AE2100" i="3"/>
  <c r="AE2099" i="3"/>
  <c r="AE2098" i="3"/>
  <c r="AE2097" i="3"/>
  <c r="AE2096" i="3"/>
  <c r="AE2095" i="3"/>
  <c r="AE2094" i="3"/>
  <c r="AE2093" i="3"/>
  <c r="AE2092" i="3"/>
  <c r="AE2091" i="3"/>
  <c r="AE2090" i="3"/>
  <c r="AE2089" i="3"/>
  <c r="AE2088" i="3"/>
  <c r="AE2087" i="3"/>
  <c r="AE2086" i="3"/>
  <c r="AE2085" i="3"/>
  <c r="AE2084" i="3"/>
  <c r="AE2083" i="3"/>
  <c r="AE2082" i="3"/>
  <c r="AD2081" i="3"/>
  <c r="AD2083" i="3"/>
  <c r="AD2082" i="3"/>
  <c r="AC2137" i="3"/>
  <c r="AB2138" i="3"/>
  <c r="AB2137" i="3"/>
  <c r="AC2130" i="3"/>
  <c r="AB2131" i="3"/>
  <c r="AB2130" i="3"/>
  <c r="AC2123" i="3"/>
  <c r="AB2124" i="3"/>
  <c r="AB2123" i="3"/>
  <c r="AC2116" i="3"/>
  <c r="AB2117" i="3"/>
  <c r="AB2116" i="3"/>
  <c r="AC2109" i="3"/>
  <c r="AB2110" i="3"/>
  <c r="AB2109" i="3"/>
  <c r="AC2102" i="3"/>
  <c r="AB2103" i="3"/>
  <c r="AB2102" i="3"/>
  <c r="AC2095" i="3"/>
  <c r="AB2096" i="3"/>
  <c r="AB2095" i="3"/>
  <c r="AC2088" i="3"/>
  <c r="AB2089" i="3"/>
  <c r="AB2088" i="3"/>
  <c r="AC2081" i="3"/>
  <c r="AB2082" i="3"/>
  <c r="AB2081" i="3"/>
  <c r="AA2137" i="3"/>
  <c r="Z2143" i="3"/>
  <c r="Y2143" i="3"/>
  <c r="Z2142" i="3"/>
  <c r="Y2142" i="3"/>
  <c r="Z2141" i="3"/>
  <c r="Y2141" i="3"/>
  <c r="Z2140" i="3"/>
  <c r="Y2140" i="3"/>
  <c r="Z2139" i="3"/>
  <c r="Y2139" i="3"/>
  <c r="Z2138" i="3"/>
  <c r="Y2138" i="3"/>
  <c r="Z2137" i="3"/>
  <c r="Y2137" i="3"/>
  <c r="AA2130" i="3"/>
  <c r="Z2136" i="3"/>
  <c r="Y2136" i="3"/>
  <c r="Z2135" i="3"/>
  <c r="Y2135" i="3"/>
  <c r="Z2134" i="3"/>
  <c r="Y2134" i="3"/>
  <c r="Z2133" i="3"/>
  <c r="Y2133" i="3"/>
  <c r="Z2132" i="3"/>
  <c r="Y2132" i="3"/>
  <c r="Z2131" i="3"/>
  <c r="Y2131" i="3"/>
  <c r="Z2130" i="3"/>
  <c r="Y2130" i="3"/>
  <c r="AA2123" i="3"/>
  <c r="Z2129" i="3"/>
  <c r="Y2129" i="3"/>
  <c r="Z2128" i="3"/>
  <c r="Y2128" i="3"/>
  <c r="Z2127" i="3"/>
  <c r="Y2127" i="3"/>
  <c r="Z2126" i="3"/>
  <c r="Y2126" i="3"/>
  <c r="Z2125" i="3"/>
  <c r="Y2125" i="3"/>
  <c r="Z2124" i="3"/>
  <c r="Y2124" i="3"/>
  <c r="Z2123" i="3"/>
  <c r="Y2123" i="3"/>
  <c r="AA2116" i="3"/>
  <c r="Z2122" i="3"/>
  <c r="Y2122" i="3"/>
  <c r="Z2121" i="3"/>
  <c r="Y2121" i="3"/>
  <c r="Z2120" i="3"/>
  <c r="Y2120" i="3"/>
  <c r="Z2119" i="3"/>
  <c r="Y2119" i="3"/>
  <c r="Z2118" i="3"/>
  <c r="Y2118" i="3"/>
  <c r="Z2117" i="3"/>
  <c r="Y2117" i="3"/>
  <c r="Z2116" i="3"/>
  <c r="Y2116" i="3"/>
  <c r="AA2109" i="3"/>
  <c r="Z2115" i="3"/>
  <c r="Y2115" i="3"/>
  <c r="Z2114" i="3"/>
  <c r="Y2114" i="3"/>
  <c r="Z2113" i="3"/>
  <c r="Y2113" i="3"/>
  <c r="Z2112" i="3"/>
  <c r="Y2112" i="3"/>
  <c r="Z2111" i="3"/>
  <c r="Y2111" i="3"/>
  <c r="Z2110" i="3"/>
  <c r="Y2110" i="3"/>
  <c r="Z2109" i="3"/>
  <c r="Y2109" i="3"/>
  <c r="AA2102" i="3"/>
  <c r="Z2108" i="3"/>
  <c r="Y2108" i="3"/>
  <c r="Z2107" i="3"/>
  <c r="Y2107" i="3"/>
  <c r="Z2106" i="3"/>
  <c r="Y2106" i="3"/>
  <c r="Z2105" i="3"/>
  <c r="Y2105" i="3"/>
  <c r="Z2104" i="3"/>
  <c r="Y2104" i="3"/>
  <c r="Z2103" i="3"/>
  <c r="Y2103" i="3"/>
  <c r="Z2102" i="3"/>
  <c r="Y2102" i="3"/>
  <c r="AA2095" i="3"/>
  <c r="Z2101" i="3"/>
  <c r="Y2101" i="3"/>
  <c r="Z2100" i="3"/>
  <c r="Y2100" i="3"/>
  <c r="Z2099" i="3"/>
  <c r="Y2099" i="3"/>
  <c r="Z2098" i="3"/>
  <c r="Y2098" i="3"/>
  <c r="Z2097" i="3"/>
  <c r="Y2097" i="3"/>
  <c r="Z2096" i="3"/>
  <c r="Y2096" i="3"/>
  <c r="Z2095" i="3"/>
  <c r="Y2095" i="3"/>
  <c r="AA2088" i="3"/>
  <c r="Z2094" i="3"/>
  <c r="Y2094" i="3"/>
  <c r="Z2093" i="3"/>
  <c r="Y2093" i="3"/>
  <c r="Z2092" i="3"/>
  <c r="Y2092" i="3"/>
  <c r="Z2091" i="3"/>
  <c r="Y2091" i="3"/>
  <c r="Z2090" i="3"/>
  <c r="Y2090" i="3"/>
  <c r="Z2089" i="3"/>
  <c r="Y2089" i="3"/>
  <c r="Z2088" i="3"/>
  <c r="Y2088" i="3"/>
  <c r="AA2081" i="3"/>
  <c r="Z2087" i="3"/>
  <c r="Y2087" i="3"/>
  <c r="Z2086" i="3"/>
  <c r="Y2086" i="3"/>
  <c r="Z2085" i="3"/>
  <c r="Y2085" i="3"/>
  <c r="Z2084" i="3"/>
  <c r="Y2084" i="3"/>
  <c r="Z2083" i="3"/>
  <c r="Y2083" i="3"/>
  <c r="Z2082" i="3"/>
  <c r="Y2082" i="3"/>
  <c r="Z2081" i="3"/>
  <c r="Y2081" i="3"/>
  <c r="X2137" i="3"/>
  <c r="X2130" i="3"/>
  <c r="X2123" i="3"/>
  <c r="X2116" i="3"/>
  <c r="X2109" i="3"/>
  <c r="X2102" i="3"/>
  <c r="X2095" i="3"/>
  <c r="X2088" i="3"/>
  <c r="X2081" i="3"/>
  <c r="AF2018" i="3"/>
  <c r="AE2018" i="3"/>
  <c r="AE2039" i="3"/>
  <c r="AE2038" i="3"/>
  <c r="AE2037" i="3"/>
  <c r="AE2036" i="3"/>
  <c r="AE2035" i="3"/>
  <c r="AE2034" i="3"/>
  <c r="AE2033" i="3"/>
  <c r="AE2032" i="3"/>
  <c r="AE2031" i="3"/>
  <c r="AE2030" i="3"/>
  <c r="AE2029" i="3"/>
  <c r="AE2028" i="3"/>
  <c r="AE2027" i="3"/>
  <c r="AE2026" i="3"/>
  <c r="AE2025" i="3"/>
  <c r="AE2024" i="3"/>
  <c r="AE2023" i="3"/>
  <c r="AE2022" i="3"/>
  <c r="AE2021" i="3"/>
  <c r="AE2020" i="3"/>
  <c r="AE2019" i="3"/>
  <c r="AD2018" i="3"/>
  <c r="AD2020" i="3"/>
  <c r="AD2019" i="3"/>
  <c r="AC2074" i="3"/>
  <c r="AB2075" i="3"/>
  <c r="AB2074" i="3"/>
  <c r="AC2067" i="3"/>
  <c r="AB2068" i="3"/>
  <c r="AB2067" i="3"/>
  <c r="AC2060" i="3"/>
  <c r="AB2061" i="3"/>
  <c r="AB2060" i="3"/>
  <c r="AC2053" i="3"/>
  <c r="AB2054" i="3"/>
  <c r="AB2053" i="3"/>
  <c r="AC2046" i="3"/>
  <c r="AB2047" i="3"/>
  <c r="AB2046" i="3"/>
  <c r="AC2039" i="3"/>
  <c r="AB2040" i="3"/>
  <c r="AB2039" i="3"/>
  <c r="AC2032" i="3"/>
  <c r="AB2033" i="3"/>
  <c r="AB2032" i="3"/>
  <c r="AC2025" i="3"/>
  <c r="AB2026" i="3"/>
  <c r="AB2025" i="3"/>
  <c r="AC2018" i="3"/>
  <c r="AB2019" i="3"/>
  <c r="AB2018" i="3"/>
  <c r="AA2074" i="3"/>
  <c r="Z2080" i="3"/>
  <c r="Y2080" i="3"/>
  <c r="Z2079" i="3"/>
  <c r="Y2079" i="3"/>
  <c r="Z2078" i="3"/>
  <c r="Y2078" i="3"/>
  <c r="Z2077" i="3"/>
  <c r="Y2077" i="3"/>
  <c r="Z2076" i="3"/>
  <c r="Y2076" i="3"/>
  <c r="Z2075" i="3"/>
  <c r="Y2075" i="3"/>
  <c r="Z2074" i="3"/>
  <c r="Y2074" i="3"/>
  <c r="AA2067" i="3"/>
  <c r="Z2073" i="3"/>
  <c r="Y2073" i="3"/>
  <c r="Z2072" i="3"/>
  <c r="Y2072" i="3"/>
  <c r="Z2071" i="3"/>
  <c r="Y2071" i="3"/>
  <c r="Z2070" i="3"/>
  <c r="Y2070" i="3"/>
  <c r="Z2069" i="3"/>
  <c r="Y2069" i="3"/>
  <c r="Z2068" i="3"/>
  <c r="Y2068" i="3"/>
  <c r="Z2067" i="3"/>
  <c r="Y2067" i="3"/>
  <c r="AA2060" i="3"/>
  <c r="Z2066" i="3"/>
  <c r="Y2066" i="3"/>
  <c r="Z2065" i="3"/>
  <c r="Y2065" i="3"/>
  <c r="Z2064" i="3"/>
  <c r="Y2064" i="3"/>
  <c r="Z2063" i="3"/>
  <c r="Y2063" i="3"/>
  <c r="Z2062" i="3"/>
  <c r="Y2062" i="3"/>
  <c r="Z2061" i="3"/>
  <c r="Y2061" i="3"/>
  <c r="Z2060" i="3"/>
  <c r="Y2060" i="3"/>
  <c r="AA2053" i="3"/>
  <c r="Z2059" i="3"/>
  <c r="Y2059" i="3"/>
  <c r="Z2058" i="3"/>
  <c r="Y2058" i="3"/>
  <c r="Z2057" i="3"/>
  <c r="Y2057" i="3"/>
  <c r="Z2056" i="3"/>
  <c r="Y2056" i="3"/>
  <c r="Z2055" i="3"/>
  <c r="Y2055" i="3"/>
  <c r="Z2054" i="3"/>
  <c r="Y2054" i="3"/>
  <c r="Z2053" i="3"/>
  <c r="Y2053" i="3"/>
  <c r="AA2046" i="3"/>
  <c r="Z2052" i="3"/>
  <c r="Y2052" i="3"/>
  <c r="Z2051" i="3"/>
  <c r="Y2051" i="3"/>
  <c r="Z2050" i="3"/>
  <c r="Y2050" i="3"/>
  <c r="Z2049" i="3"/>
  <c r="Y2049" i="3"/>
  <c r="Z2048" i="3"/>
  <c r="Y2048" i="3"/>
  <c r="Z2047" i="3"/>
  <c r="Y2047" i="3"/>
  <c r="Z2046" i="3"/>
  <c r="Y2046" i="3"/>
  <c r="AA2039" i="3"/>
  <c r="Z2045" i="3"/>
  <c r="Y2045" i="3"/>
  <c r="Z2044" i="3"/>
  <c r="Y2044" i="3"/>
  <c r="Z2043" i="3"/>
  <c r="Y2043" i="3"/>
  <c r="Z2042" i="3"/>
  <c r="Y2042" i="3"/>
  <c r="Z2041" i="3"/>
  <c r="Y2041" i="3"/>
  <c r="Z2040" i="3"/>
  <c r="Y2040" i="3"/>
  <c r="Z2039" i="3"/>
  <c r="Y2039" i="3"/>
  <c r="AA2032" i="3"/>
  <c r="Z2038" i="3"/>
  <c r="Y2038" i="3"/>
  <c r="Z2037" i="3"/>
  <c r="Y2037" i="3"/>
  <c r="Z2036" i="3"/>
  <c r="Y2036" i="3"/>
  <c r="Z2035" i="3"/>
  <c r="Y2035" i="3"/>
  <c r="Z2034" i="3"/>
  <c r="Y2034" i="3"/>
  <c r="Z2033" i="3"/>
  <c r="Y2033" i="3"/>
  <c r="Z2032" i="3"/>
  <c r="Y2032" i="3"/>
  <c r="AA2025" i="3"/>
  <c r="Z2031" i="3"/>
  <c r="Y2031" i="3"/>
  <c r="Z2030" i="3"/>
  <c r="Y2030" i="3"/>
  <c r="Z2029" i="3"/>
  <c r="Y2029" i="3"/>
  <c r="Z2028" i="3"/>
  <c r="Y2028" i="3"/>
  <c r="Z2027" i="3"/>
  <c r="Y2027" i="3"/>
  <c r="Z2026" i="3"/>
  <c r="Y2026" i="3"/>
  <c r="Z2025" i="3"/>
  <c r="Y2025" i="3"/>
  <c r="AA2018" i="3"/>
  <c r="Z2024" i="3"/>
  <c r="Y2024" i="3"/>
  <c r="Z2023" i="3"/>
  <c r="Y2023" i="3"/>
  <c r="Z2022" i="3"/>
  <c r="Y2022" i="3"/>
  <c r="Z2021" i="3"/>
  <c r="Y2021" i="3"/>
  <c r="Z2020" i="3"/>
  <c r="Y2020" i="3"/>
  <c r="Z2019" i="3"/>
  <c r="Y2019" i="3"/>
  <c r="Z2018" i="3"/>
  <c r="Y2018" i="3"/>
  <c r="X2074" i="3"/>
  <c r="X2067" i="3"/>
  <c r="X2060" i="3"/>
  <c r="X2053" i="3"/>
  <c r="X2046" i="3"/>
  <c r="X2039" i="3"/>
  <c r="X2032" i="3"/>
  <c r="X2025" i="3"/>
  <c r="X2018" i="3"/>
  <c r="AF1955" i="3"/>
  <c r="AE1955" i="3"/>
  <c r="AE1976" i="3"/>
  <c r="AE1975" i="3"/>
  <c r="AE1974" i="3"/>
  <c r="AE1973" i="3"/>
  <c r="AE1972" i="3"/>
  <c r="AE1971" i="3"/>
  <c r="AE1970" i="3"/>
  <c r="AE1969" i="3"/>
  <c r="AE1968" i="3"/>
  <c r="AE1967" i="3"/>
  <c r="AE1966" i="3"/>
  <c r="AE1965" i="3"/>
  <c r="AE1964" i="3"/>
  <c r="AE1963" i="3"/>
  <c r="AE1962" i="3"/>
  <c r="AE1961" i="3"/>
  <c r="AE1960" i="3"/>
  <c r="AE1959" i="3"/>
  <c r="AE1958" i="3"/>
  <c r="AE1957" i="3"/>
  <c r="AE1956" i="3"/>
  <c r="AD1955" i="3"/>
  <c r="AD1957" i="3"/>
  <c r="AD1956" i="3"/>
  <c r="AC2011" i="3"/>
  <c r="AB2012" i="3"/>
  <c r="AB2011" i="3"/>
  <c r="AC2004" i="3"/>
  <c r="AB2005" i="3"/>
  <c r="AB2004" i="3"/>
  <c r="AC1997" i="3"/>
  <c r="AB1998" i="3"/>
  <c r="AB1997" i="3"/>
  <c r="AC1990" i="3"/>
  <c r="AB1991" i="3"/>
  <c r="AB1990" i="3"/>
  <c r="AC1983" i="3"/>
  <c r="AB1984" i="3"/>
  <c r="AB1983" i="3"/>
  <c r="AC1976" i="3"/>
  <c r="AB1977" i="3"/>
  <c r="AB1976" i="3"/>
  <c r="AC1969" i="3"/>
  <c r="AB1970" i="3"/>
  <c r="AB1969" i="3"/>
  <c r="AC1962" i="3"/>
  <c r="AB1963" i="3"/>
  <c r="AB1962" i="3"/>
  <c r="AC1955" i="3"/>
  <c r="AB1956" i="3"/>
  <c r="AB1955" i="3"/>
  <c r="AA2011" i="3"/>
  <c r="Z2017" i="3"/>
  <c r="Y2017" i="3"/>
  <c r="Z2016" i="3"/>
  <c r="Y2016" i="3"/>
  <c r="Z2015" i="3"/>
  <c r="Y2015" i="3"/>
  <c r="Z2014" i="3"/>
  <c r="Y2014" i="3"/>
  <c r="Z2013" i="3"/>
  <c r="Y2013" i="3"/>
  <c r="Z2012" i="3"/>
  <c r="Y2012" i="3"/>
  <c r="Z2011" i="3"/>
  <c r="Y2011" i="3"/>
  <c r="AA2004" i="3"/>
  <c r="Z2010" i="3"/>
  <c r="Y2010" i="3"/>
  <c r="Z2009" i="3"/>
  <c r="Y2009" i="3"/>
  <c r="Z2008" i="3"/>
  <c r="Y2008" i="3"/>
  <c r="Z2007" i="3"/>
  <c r="Y2007" i="3"/>
  <c r="Z2006" i="3"/>
  <c r="Y2006" i="3"/>
  <c r="Z2005" i="3"/>
  <c r="Y2005" i="3"/>
  <c r="Z2004" i="3"/>
  <c r="Y2004" i="3"/>
  <c r="AA1997" i="3"/>
  <c r="Z2003" i="3"/>
  <c r="Y2003" i="3"/>
  <c r="Z2002" i="3"/>
  <c r="Y2002" i="3"/>
  <c r="Z2001" i="3"/>
  <c r="Y2001" i="3"/>
  <c r="Z2000" i="3"/>
  <c r="Y2000" i="3"/>
  <c r="Z1999" i="3"/>
  <c r="Y1999" i="3"/>
  <c r="Z1998" i="3"/>
  <c r="Y1998" i="3"/>
  <c r="Z1997" i="3"/>
  <c r="Y1997" i="3"/>
  <c r="AA1990" i="3"/>
  <c r="Z1996" i="3"/>
  <c r="Y1996" i="3"/>
  <c r="Z1995" i="3"/>
  <c r="Y1995" i="3"/>
  <c r="Z1994" i="3"/>
  <c r="Y1994" i="3"/>
  <c r="Z1993" i="3"/>
  <c r="Y1993" i="3"/>
  <c r="Z1992" i="3"/>
  <c r="Y1992" i="3"/>
  <c r="Z1991" i="3"/>
  <c r="Y1991" i="3"/>
  <c r="Z1990" i="3"/>
  <c r="Y1990" i="3"/>
  <c r="AA1983" i="3"/>
  <c r="Z1989" i="3"/>
  <c r="Y1989" i="3"/>
  <c r="Z1988" i="3"/>
  <c r="Y1988" i="3"/>
  <c r="Z1987" i="3"/>
  <c r="Y1987" i="3"/>
  <c r="Z1986" i="3"/>
  <c r="Y1986" i="3"/>
  <c r="Z1985" i="3"/>
  <c r="Y1985" i="3"/>
  <c r="Z1984" i="3"/>
  <c r="Y1984" i="3"/>
  <c r="Z1983" i="3"/>
  <c r="Y1983" i="3"/>
  <c r="AA1976" i="3"/>
  <c r="Z1982" i="3"/>
  <c r="Y1982" i="3"/>
  <c r="Z1981" i="3"/>
  <c r="Y1981" i="3"/>
  <c r="Z1980" i="3"/>
  <c r="Y1980" i="3"/>
  <c r="Z1979" i="3"/>
  <c r="Y1979" i="3"/>
  <c r="Z1978" i="3"/>
  <c r="Y1978" i="3"/>
  <c r="Z1977" i="3"/>
  <c r="Y1977" i="3"/>
  <c r="Z1976" i="3"/>
  <c r="Y1976" i="3"/>
  <c r="AA1969" i="3"/>
  <c r="Z1975" i="3"/>
  <c r="Y1975" i="3"/>
  <c r="Z1974" i="3"/>
  <c r="Y1974" i="3"/>
  <c r="Z1973" i="3"/>
  <c r="Y1973" i="3"/>
  <c r="Z1972" i="3"/>
  <c r="Y1972" i="3"/>
  <c r="Z1971" i="3"/>
  <c r="Y1971" i="3"/>
  <c r="Z1970" i="3"/>
  <c r="Y1970" i="3"/>
  <c r="Z1969" i="3"/>
  <c r="Y1969" i="3"/>
  <c r="AA1962" i="3"/>
  <c r="Z1968" i="3"/>
  <c r="Y1968" i="3"/>
  <c r="Z1967" i="3"/>
  <c r="Y1967" i="3"/>
  <c r="Z1966" i="3"/>
  <c r="Y1966" i="3"/>
  <c r="Z1965" i="3"/>
  <c r="Y1965" i="3"/>
  <c r="Z1964" i="3"/>
  <c r="Y1964" i="3"/>
  <c r="Z1963" i="3"/>
  <c r="Y1963" i="3"/>
  <c r="Z1962" i="3"/>
  <c r="Y1962" i="3"/>
  <c r="AA1955" i="3"/>
  <c r="Z1961" i="3"/>
  <c r="Y1961" i="3"/>
  <c r="Z1960" i="3"/>
  <c r="Y1960" i="3"/>
  <c r="Z1959" i="3"/>
  <c r="Y1959" i="3"/>
  <c r="Z1958" i="3"/>
  <c r="Y1958" i="3"/>
  <c r="Z1957" i="3"/>
  <c r="Y1957" i="3"/>
  <c r="Z1956" i="3"/>
  <c r="Y1956" i="3"/>
  <c r="Z1955" i="3"/>
  <c r="Y1955" i="3"/>
  <c r="X2011" i="3"/>
  <c r="X2004" i="3"/>
  <c r="X1997" i="3"/>
  <c r="X1990" i="3"/>
  <c r="X1983" i="3"/>
  <c r="X1976" i="3"/>
  <c r="X1969" i="3"/>
  <c r="X1962" i="3"/>
  <c r="X1955" i="3"/>
  <c r="AF1892" i="3"/>
  <c r="AE1892" i="3"/>
  <c r="AE1913" i="3"/>
  <c r="AE1912" i="3"/>
  <c r="AE1911" i="3"/>
  <c r="AE1910" i="3"/>
  <c r="AE1909" i="3"/>
  <c r="AE1908" i="3"/>
  <c r="AE1907" i="3"/>
  <c r="AE1906" i="3"/>
  <c r="AE1905" i="3"/>
  <c r="AE1904" i="3"/>
  <c r="AE1903" i="3"/>
  <c r="AE1902" i="3"/>
  <c r="AE1901" i="3"/>
  <c r="AE1900" i="3"/>
  <c r="AE1899" i="3"/>
  <c r="AE1898" i="3"/>
  <c r="AE1897" i="3"/>
  <c r="AE1896" i="3"/>
  <c r="AE1895" i="3"/>
  <c r="AE1894" i="3"/>
  <c r="AE1893" i="3"/>
  <c r="AD1892" i="3"/>
  <c r="AD1894" i="3"/>
  <c r="AD1893" i="3"/>
  <c r="AC1948" i="3"/>
  <c r="AB1949" i="3"/>
  <c r="AB1948" i="3"/>
  <c r="AC1941" i="3"/>
  <c r="AB1942" i="3"/>
  <c r="AB1941" i="3"/>
  <c r="AC1934" i="3"/>
  <c r="AB1935" i="3"/>
  <c r="AB1934" i="3"/>
  <c r="AC1927" i="3"/>
  <c r="AB1928" i="3"/>
  <c r="AB1927" i="3"/>
  <c r="AC1920" i="3"/>
  <c r="AB1921" i="3"/>
  <c r="AB1920" i="3"/>
  <c r="AC1913" i="3"/>
  <c r="AB1914" i="3"/>
  <c r="AB1913" i="3"/>
  <c r="AC1906" i="3"/>
  <c r="AB1907" i="3"/>
  <c r="AB1906" i="3"/>
  <c r="AC1899" i="3"/>
  <c r="AB1900" i="3"/>
  <c r="AB1899" i="3"/>
  <c r="AC1892" i="3"/>
  <c r="AB1893" i="3"/>
  <c r="AB1892" i="3"/>
  <c r="AA1948" i="3"/>
  <c r="Z1954" i="3"/>
  <c r="Y1954" i="3"/>
  <c r="Z1953" i="3"/>
  <c r="Y1953" i="3"/>
  <c r="Z1952" i="3"/>
  <c r="Y1952" i="3"/>
  <c r="Z1951" i="3"/>
  <c r="Y1951" i="3"/>
  <c r="Z1950" i="3"/>
  <c r="Y1950" i="3"/>
  <c r="Z1949" i="3"/>
  <c r="Y1949" i="3"/>
  <c r="Z1948" i="3"/>
  <c r="Y1948" i="3"/>
  <c r="AA1941" i="3"/>
  <c r="Z1947" i="3"/>
  <c r="Y1947" i="3"/>
  <c r="Z1946" i="3"/>
  <c r="Y1946" i="3"/>
  <c r="Z1945" i="3"/>
  <c r="Y1945" i="3"/>
  <c r="Z1944" i="3"/>
  <c r="Y1944" i="3"/>
  <c r="Z1943" i="3"/>
  <c r="Y1943" i="3"/>
  <c r="Z1942" i="3"/>
  <c r="Y1942" i="3"/>
  <c r="Z1941" i="3"/>
  <c r="Y1941" i="3"/>
  <c r="AA1934" i="3"/>
  <c r="Z1940" i="3"/>
  <c r="Y1940" i="3"/>
  <c r="Z1939" i="3"/>
  <c r="Y1939" i="3"/>
  <c r="Z1938" i="3"/>
  <c r="Y1938" i="3"/>
  <c r="Z1937" i="3"/>
  <c r="Y1937" i="3"/>
  <c r="Z1936" i="3"/>
  <c r="Y1936" i="3"/>
  <c r="Z1935" i="3"/>
  <c r="Y1935" i="3"/>
  <c r="Z1934" i="3"/>
  <c r="Y1934" i="3"/>
  <c r="AA1927" i="3"/>
  <c r="Z1933" i="3"/>
  <c r="Y1933" i="3"/>
  <c r="Z1932" i="3"/>
  <c r="Y1932" i="3"/>
  <c r="Z1931" i="3"/>
  <c r="Y1931" i="3"/>
  <c r="Z1930" i="3"/>
  <c r="Y1930" i="3"/>
  <c r="Z1929" i="3"/>
  <c r="Y1929" i="3"/>
  <c r="Z1928" i="3"/>
  <c r="Y1928" i="3"/>
  <c r="Z1927" i="3"/>
  <c r="Y1927" i="3"/>
  <c r="AA1920" i="3"/>
  <c r="Z1926" i="3"/>
  <c r="Y1926" i="3"/>
  <c r="Z1925" i="3"/>
  <c r="Y1925" i="3"/>
  <c r="Z1924" i="3"/>
  <c r="Y1924" i="3"/>
  <c r="Z1923" i="3"/>
  <c r="Y1923" i="3"/>
  <c r="Z1922" i="3"/>
  <c r="Y1922" i="3"/>
  <c r="Z1921" i="3"/>
  <c r="Y1921" i="3"/>
  <c r="Z1920" i="3"/>
  <c r="Y1920" i="3"/>
  <c r="AA1913" i="3"/>
  <c r="Z1919" i="3"/>
  <c r="Y1919" i="3"/>
  <c r="Z1918" i="3"/>
  <c r="Y1918" i="3"/>
  <c r="Z1917" i="3"/>
  <c r="Y1917" i="3"/>
  <c r="Z1916" i="3"/>
  <c r="Y1916" i="3"/>
  <c r="Z1915" i="3"/>
  <c r="Y1915" i="3"/>
  <c r="Z1914" i="3"/>
  <c r="Y1914" i="3"/>
  <c r="Z1913" i="3"/>
  <c r="Y1913" i="3"/>
  <c r="AA1906" i="3"/>
  <c r="Z1912" i="3"/>
  <c r="Y1912" i="3"/>
  <c r="Z1911" i="3"/>
  <c r="Y1911" i="3"/>
  <c r="Z1910" i="3"/>
  <c r="Y1910" i="3"/>
  <c r="Z1909" i="3"/>
  <c r="Y1909" i="3"/>
  <c r="Z1908" i="3"/>
  <c r="Y1908" i="3"/>
  <c r="Z1907" i="3"/>
  <c r="Y1907" i="3"/>
  <c r="Z1906" i="3"/>
  <c r="Y1906" i="3"/>
  <c r="AA1899" i="3"/>
  <c r="Z1905" i="3"/>
  <c r="Y1905" i="3"/>
  <c r="Z1904" i="3"/>
  <c r="Y1904" i="3"/>
  <c r="Z1903" i="3"/>
  <c r="Y1903" i="3"/>
  <c r="Z1902" i="3"/>
  <c r="Y1902" i="3"/>
  <c r="Z1901" i="3"/>
  <c r="Y1901" i="3"/>
  <c r="Z1900" i="3"/>
  <c r="Y1900" i="3"/>
  <c r="Z1899" i="3"/>
  <c r="Y1899" i="3"/>
  <c r="AA1892" i="3"/>
  <c r="Z1898" i="3"/>
  <c r="Y1898" i="3"/>
  <c r="Z1897" i="3"/>
  <c r="Y1897" i="3"/>
  <c r="Z1896" i="3"/>
  <c r="Y1896" i="3"/>
  <c r="Z1895" i="3"/>
  <c r="Y1895" i="3"/>
  <c r="Z1894" i="3"/>
  <c r="Y1894" i="3"/>
  <c r="Z1893" i="3"/>
  <c r="Y1893" i="3"/>
  <c r="Z1892" i="3"/>
  <c r="Y1892" i="3"/>
  <c r="X1948" i="3"/>
  <c r="X1941" i="3"/>
  <c r="X1934" i="3"/>
  <c r="X1927" i="3"/>
  <c r="X1920" i="3"/>
  <c r="X1913" i="3"/>
  <c r="X1906" i="3"/>
  <c r="X1899" i="3"/>
  <c r="X1892" i="3"/>
  <c r="AF1829" i="3"/>
  <c r="AE1829" i="3"/>
  <c r="AE1850" i="3"/>
  <c r="AE1849" i="3"/>
  <c r="AE1848" i="3"/>
  <c r="AE1847" i="3"/>
  <c r="AE1846" i="3"/>
  <c r="AE1845" i="3"/>
  <c r="AE1844" i="3"/>
  <c r="AE1843" i="3"/>
  <c r="AE1842" i="3"/>
  <c r="AE1841" i="3"/>
  <c r="AE1840" i="3"/>
  <c r="AE1839" i="3"/>
  <c r="AE1838" i="3"/>
  <c r="AE1837" i="3"/>
  <c r="AE1836" i="3"/>
  <c r="AE1835" i="3"/>
  <c r="AE1834" i="3"/>
  <c r="AE1833" i="3"/>
  <c r="AE1832" i="3"/>
  <c r="AE1831" i="3"/>
  <c r="AE1830" i="3"/>
  <c r="AD1829" i="3"/>
  <c r="AD1831" i="3"/>
  <c r="AD1830" i="3"/>
  <c r="AC1885" i="3"/>
  <c r="AB1886" i="3"/>
  <c r="AB1885" i="3"/>
  <c r="AC1878" i="3"/>
  <c r="AB1879" i="3"/>
  <c r="AB1878" i="3"/>
  <c r="AC1871" i="3"/>
  <c r="AB1872" i="3"/>
  <c r="AB1871" i="3"/>
  <c r="AC1864" i="3"/>
  <c r="AB1865" i="3"/>
  <c r="AB1864" i="3"/>
  <c r="AC1857" i="3"/>
  <c r="AB1858" i="3"/>
  <c r="AB1857" i="3"/>
  <c r="AC1850" i="3"/>
  <c r="AB1851" i="3"/>
  <c r="AB1850" i="3"/>
  <c r="AC1843" i="3"/>
  <c r="AB1844" i="3"/>
  <c r="AB1843" i="3"/>
  <c r="AC1836" i="3"/>
  <c r="AB1837" i="3"/>
  <c r="AB1836" i="3"/>
  <c r="AC1829" i="3"/>
  <c r="AB1830" i="3"/>
  <c r="AB1829" i="3"/>
  <c r="AA1885" i="3"/>
  <c r="Z1891" i="3"/>
  <c r="Y1891" i="3"/>
  <c r="Z1890" i="3"/>
  <c r="Y1890" i="3"/>
  <c r="Z1889" i="3"/>
  <c r="Y1889" i="3"/>
  <c r="Z1888" i="3"/>
  <c r="Y1888" i="3"/>
  <c r="Z1887" i="3"/>
  <c r="Y1887" i="3"/>
  <c r="Z1886" i="3"/>
  <c r="Y1886" i="3"/>
  <c r="Z1885" i="3"/>
  <c r="Y1885" i="3"/>
  <c r="AA1878" i="3"/>
  <c r="Z1884" i="3"/>
  <c r="Y1884" i="3"/>
  <c r="Z1883" i="3"/>
  <c r="Y1883" i="3"/>
  <c r="Z1882" i="3"/>
  <c r="Y1882" i="3"/>
  <c r="Z1881" i="3"/>
  <c r="Y1881" i="3"/>
  <c r="Z1880" i="3"/>
  <c r="Y1880" i="3"/>
  <c r="Z1879" i="3"/>
  <c r="Y1879" i="3"/>
  <c r="Z1878" i="3"/>
  <c r="Y1878" i="3"/>
  <c r="AA1871" i="3"/>
  <c r="Z1877" i="3"/>
  <c r="Y1877" i="3"/>
  <c r="Z1876" i="3"/>
  <c r="Y1876" i="3"/>
  <c r="Z1875" i="3"/>
  <c r="Y1875" i="3"/>
  <c r="Z1874" i="3"/>
  <c r="Y1874" i="3"/>
  <c r="Z1873" i="3"/>
  <c r="Y1873" i="3"/>
  <c r="Z1872" i="3"/>
  <c r="Y1872" i="3"/>
  <c r="Z1871" i="3"/>
  <c r="Y1871" i="3"/>
  <c r="AA1864" i="3"/>
  <c r="Z1870" i="3"/>
  <c r="Y1870" i="3"/>
  <c r="Z1869" i="3"/>
  <c r="Y1869" i="3"/>
  <c r="Z1868" i="3"/>
  <c r="Y1868" i="3"/>
  <c r="Z1867" i="3"/>
  <c r="Y1867" i="3"/>
  <c r="Z1866" i="3"/>
  <c r="Y1866" i="3"/>
  <c r="Z1865" i="3"/>
  <c r="Y1865" i="3"/>
  <c r="Z1864" i="3"/>
  <c r="Y1864" i="3"/>
  <c r="AA1857" i="3"/>
  <c r="Z1863" i="3"/>
  <c r="Y1863" i="3"/>
  <c r="Z1862" i="3"/>
  <c r="Y1862" i="3"/>
  <c r="Z1861" i="3"/>
  <c r="Y1861" i="3"/>
  <c r="Z1860" i="3"/>
  <c r="Y1860" i="3"/>
  <c r="Z1859" i="3"/>
  <c r="Y1859" i="3"/>
  <c r="Z1858" i="3"/>
  <c r="Y1858" i="3"/>
  <c r="Z1857" i="3"/>
  <c r="Y1857" i="3"/>
  <c r="AA1850" i="3"/>
  <c r="Z1856" i="3"/>
  <c r="Y1856" i="3"/>
  <c r="Z1855" i="3"/>
  <c r="Y1855" i="3"/>
  <c r="Z1854" i="3"/>
  <c r="Y1854" i="3"/>
  <c r="Z1853" i="3"/>
  <c r="Y1853" i="3"/>
  <c r="Z1852" i="3"/>
  <c r="Y1852" i="3"/>
  <c r="Z1851" i="3"/>
  <c r="Y1851" i="3"/>
  <c r="Z1850" i="3"/>
  <c r="Y1850" i="3"/>
  <c r="AA1843" i="3"/>
  <c r="Z1849" i="3"/>
  <c r="Y1849" i="3"/>
  <c r="Z1848" i="3"/>
  <c r="Y1848" i="3"/>
  <c r="Z1847" i="3"/>
  <c r="Y1847" i="3"/>
  <c r="Z1846" i="3"/>
  <c r="Y1846" i="3"/>
  <c r="Z1845" i="3"/>
  <c r="Y1845" i="3"/>
  <c r="Z1844" i="3"/>
  <c r="Y1844" i="3"/>
  <c r="Z1843" i="3"/>
  <c r="Y1843" i="3"/>
  <c r="AA1836" i="3"/>
  <c r="Z1842" i="3"/>
  <c r="Y1842" i="3"/>
  <c r="Z1841" i="3"/>
  <c r="Y1841" i="3"/>
  <c r="Z1840" i="3"/>
  <c r="Y1840" i="3"/>
  <c r="Z1839" i="3"/>
  <c r="Y1839" i="3"/>
  <c r="Z1838" i="3"/>
  <c r="Y1838" i="3"/>
  <c r="Z1837" i="3"/>
  <c r="Y1837" i="3"/>
  <c r="Z1836" i="3"/>
  <c r="Y1836" i="3"/>
  <c r="AA1829" i="3"/>
  <c r="Z1835" i="3"/>
  <c r="Y1835" i="3"/>
  <c r="Z1834" i="3"/>
  <c r="Y1834" i="3"/>
  <c r="Z1833" i="3"/>
  <c r="Y1833" i="3"/>
  <c r="Z1832" i="3"/>
  <c r="Y1832" i="3"/>
  <c r="Z1831" i="3"/>
  <c r="Y1831" i="3"/>
  <c r="Z1830" i="3"/>
  <c r="Y1830" i="3"/>
  <c r="Z1829" i="3"/>
  <c r="Y1829" i="3"/>
  <c r="X1885" i="3"/>
  <c r="X1878" i="3"/>
  <c r="X1871" i="3"/>
  <c r="X1864" i="3"/>
  <c r="X1857" i="3"/>
  <c r="X1850" i="3"/>
  <c r="X1843" i="3"/>
  <c r="X1836" i="3"/>
  <c r="X1829" i="3"/>
  <c r="AF1766" i="3"/>
  <c r="AE1766" i="3"/>
  <c r="AE1787" i="3"/>
  <c r="AE1786" i="3"/>
  <c r="AE1785" i="3"/>
  <c r="AE1784" i="3"/>
  <c r="AE1783" i="3"/>
  <c r="AE1782" i="3"/>
  <c r="AE1781" i="3"/>
  <c r="AE1780" i="3"/>
  <c r="AE1779" i="3"/>
  <c r="AE1778" i="3"/>
  <c r="AE1777" i="3"/>
  <c r="AE1776" i="3"/>
  <c r="AE1775" i="3"/>
  <c r="AE1774" i="3"/>
  <c r="AE1773" i="3"/>
  <c r="AE1772" i="3"/>
  <c r="AE1771" i="3"/>
  <c r="AE1770" i="3"/>
  <c r="AE1769" i="3"/>
  <c r="AE1768" i="3"/>
  <c r="AE1767" i="3"/>
  <c r="AD1766" i="3"/>
  <c r="AD1768" i="3"/>
  <c r="AD1767" i="3"/>
  <c r="AC1822" i="3"/>
  <c r="AB1823" i="3"/>
  <c r="AB1822" i="3"/>
  <c r="AC1815" i="3"/>
  <c r="AB1816" i="3"/>
  <c r="AB1815" i="3"/>
  <c r="AC1808" i="3"/>
  <c r="AB1809" i="3"/>
  <c r="AB1808" i="3"/>
  <c r="AC1801" i="3"/>
  <c r="AB1802" i="3"/>
  <c r="AB1801" i="3"/>
  <c r="AC1794" i="3"/>
  <c r="AB1795" i="3"/>
  <c r="AB1794" i="3"/>
  <c r="AC1787" i="3"/>
  <c r="AB1788" i="3"/>
  <c r="AB1787" i="3"/>
  <c r="AC1780" i="3"/>
  <c r="AB1781" i="3"/>
  <c r="AB1780" i="3"/>
  <c r="AC1773" i="3"/>
  <c r="AB1774" i="3"/>
  <c r="AB1773" i="3"/>
  <c r="AC1766" i="3"/>
  <c r="AB1767" i="3"/>
  <c r="AB1766" i="3"/>
  <c r="AA1822" i="3"/>
  <c r="Z1828" i="3"/>
  <c r="Y1828" i="3"/>
  <c r="Z1827" i="3"/>
  <c r="Y1827" i="3"/>
  <c r="Z1826" i="3"/>
  <c r="Y1826" i="3"/>
  <c r="Z1825" i="3"/>
  <c r="Y1825" i="3"/>
  <c r="Z1824" i="3"/>
  <c r="Y1824" i="3"/>
  <c r="Z1823" i="3"/>
  <c r="Y1823" i="3"/>
  <c r="Z1822" i="3"/>
  <c r="Y1822" i="3"/>
  <c r="AA1815" i="3"/>
  <c r="Z1821" i="3"/>
  <c r="Y1821" i="3"/>
  <c r="Z1820" i="3"/>
  <c r="Y1820" i="3"/>
  <c r="Z1819" i="3"/>
  <c r="Y1819" i="3"/>
  <c r="Z1818" i="3"/>
  <c r="Y1818" i="3"/>
  <c r="Z1817" i="3"/>
  <c r="Y1817" i="3"/>
  <c r="Z1816" i="3"/>
  <c r="Y1816" i="3"/>
  <c r="Z1815" i="3"/>
  <c r="Y1815" i="3"/>
  <c r="AA1808" i="3"/>
  <c r="Z1814" i="3"/>
  <c r="Y1814" i="3"/>
  <c r="Z1813" i="3"/>
  <c r="Y1813" i="3"/>
  <c r="Z1812" i="3"/>
  <c r="Y1812" i="3"/>
  <c r="Z1811" i="3"/>
  <c r="Y1811" i="3"/>
  <c r="Z1810" i="3"/>
  <c r="Y1810" i="3"/>
  <c r="Z1809" i="3"/>
  <c r="Y1809" i="3"/>
  <c r="Z1808" i="3"/>
  <c r="Y1808" i="3"/>
  <c r="AA1801" i="3"/>
  <c r="Z1807" i="3"/>
  <c r="Y1807" i="3"/>
  <c r="Z1806" i="3"/>
  <c r="Y1806" i="3"/>
  <c r="Z1805" i="3"/>
  <c r="Y1805" i="3"/>
  <c r="Z1804" i="3"/>
  <c r="Y1804" i="3"/>
  <c r="Z1803" i="3"/>
  <c r="Y1803" i="3"/>
  <c r="Z1802" i="3"/>
  <c r="Y1802" i="3"/>
  <c r="Z1801" i="3"/>
  <c r="Y1801" i="3"/>
  <c r="AA1794" i="3"/>
  <c r="Z1800" i="3"/>
  <c r="Y1800" i="3"/>
  <c r="Z1799" i="3"/>
  <c r="Y1799" i="3"/>
  <c r="Z1798" i="3"/>
  <c r="Y1798" i="3"/>
  <c r="Z1797" i="3"/>
  <c r="Y1797" i="3"/>
  <c r="Z1796" i="3"/>
  <c r="Y1796" i="3"/>
  <c r="Z1795" i="3"/>
  <c r="Y1795" i="3"/>
  <c r="Z1794" i="3"/>
  <c r="Y1794" i="3"/>
  <c r="AA1787" i="3"/>
  <c r="Z1793" i="3"/>
  <c r="Y1793" i="3"/>
  <c r="Z1792" i="3"/>
  <c r="Y1792" i="3"/>
  <c r="Z1791" i="3"/>
  <c r="Y1791" i="3"/>
  <c r="Z1790" i="3"/>
  <c r="Y1790" i="3"/>
  <c r="Z1789" i="3"/>
  <c r="Y1789" i="3"/>
  <c r="Z1788" i="3"/>
  <c r="Y1788" i="3"/>
  <c r="Z1787" i="3"/>
  <c r="Y1787" i="3"/>
  <c r="AA1780" i="3"/>
  <c r="Z1786" i="3"/>
  <c r="Y1786" i="3"/>
  <c r="Z1785" i="3"/>
  <c r="Y1785" i="3"/>
  <c r="Z1784" i="3"/>
  <c r="Y1784" i="3"/>
  <c r="Z1783" i="3"/>
  <c r="Y1783" i="3"/>
  <c r="Z1782" i="3"/>
  <c r="Y1782" i="3"/>
  <c r="Z1781" i="3"/>
  <c r="Y1781" i="3"/>
  <c r="Z1780" i="3"/>
  <c r="Y1780" i="3"/>
  <c r="AA1773" i="3"/>
  <c r="Z1779" i="3"/>
  <c r="Y1779" i="3"/>
  <c r="Z1778" i="3"/>
  <c r="Y1778" i="3"/>
  <c r="Z1777" i="3"/>
  <c r="Y1777" i="3"/>
  <c r="Z1776" i="3"/>
  <c r="Y1776" i="3"/>
  <c r="Z1775" i="3"/>
  <c r="Y1775" i="3"/>
  <c r="Z1774" i="3"/>
  <c r="Y1774" i="3"/>
  <c r="Z1773" i="3"/>
  <c r="Y1773" i="3"/>
  <c r="AA1766" i="3"/>
  <c r="Z1772" i="3"/>
  <c r="Y1772" i="3"/>
  <c r="Z1771" i="3"/>
  <c r="Y1771" i="3"/>
  <c r="Z1770" i="3"/>
  <c r="Y1770" i="3"/>
  <c r="Z1769" i="3"/>
  <c r="Y1769" i="3"/>
  <c r="Z1768" i="3"/>
  <c r="Y1768" i="3"/>
  <c r="Z1767" i="3"/>
  <c r="Y1767" i="3"/>
  <c r="Z1766" i="3"/>
  <c r="Y1766" i="3"/>
  <c r="X1822" i="3"/>
  <c r="X1815" i="3"/>
  <c r="X1808" i="3"/>
  <c r="X1801" i="3"/>
  <c r="X1794" i="3"/>
  <c r="X1787" i="3"/>
  <c r="X1780" i="3"/>
  <c r="X1773" i="3"/>
  <c r="X1766" i="3"/>
  <c r="AF1703" i="3"/>
  <c r="AE1703" i="3"/>
  <c r="AE1724" i="3"/>
  <c r="AE1723" i="3"/>
  <c r="AE1722" i="3"/>
  <c r="AE1721" i="3"/>
  <c r="AE1720" i="3"/>
  <c r="AE1719" i="3"/>
  <c r="AE1718" i="3"/>
  <c r="AE1717" i="3"/>
  <c r="AE1716" i="3"/>
  <c r="AE1715" i="3"/>
  <c r="AE1714" i="3"/>
  <c r="AE1713" i="3"/>
  <c r="AE1712" i="3"/>
  <c r="AE1711" i="3"/>
  <c r="AE1710" i="3"/>
  <c r="AE1709" i="3"/>
  <c r="AE1708" i="3"/>
  <c r="AE1707" i="3"/>
  <c r="AE1706" i="3"/>
  <c r="AE1705" i="3"/>
  <c r="AE1704" i="3"/>
  <c r="AD1703" i="3"/>
  <c r="AD1705" i="3"/>
  <c r="AD1704" i="3"/>
  <c r="AC1759" i="3"/>
  <c r="AB1760" i="3"/>
  <c r="AB1759" i="3"/>
  <c r="AC1752" i="3"/>
  <c r="AB1753" i="3"/>
  <c r="AB1752" i="3"/>
  <c r="AC1745" i="3"/>
  <c r="AB1746" i="3"/>
  <c r="AB1745" i="3"/>
  <c r="AC1738" i="3"/>
  <c r="AB1739" i="3"/>
  <c r="AB1738" i="3"/>
  <c r="AC1731" i="3"/>
  <c r="AB1732" i="3"/>
  <c r="AB1731" i="3"/>
  <c r="AC1724" i="3"/>
  <c r="AB1725" i="3"/>
  <c r="AB1724" i="3"/>
  <c r="AC1717" i="3"/>
  <c r="AB1718" i="3"/>
  <c r="AB1717" i="3"/>
  <c r="AC1710" i="3"/>
  <c r="AB1711" i="3"/>
  <c r="AB1710" i="3"/>
  <c r="AC1703" i="3"/>
  <c r="AB1704" i="3"/>
  <c r="AB1703" i="3"/>
  <c r="AA1759" i="3"/>
  <c r="Z1765" i="3"/>
  <c r="Y1765" i="3"/>
  <c r="Z1764" i="3"/>
  <c r="Y1764" i="3"/>
  <c r="Z1763" i="3"/>
  <c r="Y1763" i="3"/>
  <c r="Z1762" i="3"/>
  <c r="Y1762" i="3"/>
  <c r="Z1761" i="3"/>
  <c r="Y1761" i="3"/>
  <c r="Z1760" i="3"/>
  <c r="Y1760" i="3"/>
  <c r="Z1759" i="3"/>
  <c r="Y1759" i="3"/>
  <c r="AA1752" i="3"/>
  <c r="Z1758" i="3"/>
  <c r="Y1758" i="3"/>
  <c r="Z1757" i="3"/>
  <c r="Y1757" i="3"/>
  <c r="Z1756" i="3"/>
  <c r="Y1756" i="3"/>
  <c r="Z1755" i="3"/>
  <c r="Y1755" i="3"/>
  <c r="Z1754" i="3"/>
  <c r="Y1754" i="3"/>
  <c r="Z1753" i="3"/>
  <c r="Y1753" i="3"/>
  <c r="Z1752" i="3"/>
  <c r="Y1752" i="3"/>
  <c r="AA1745" i="3"/>
  <c r="Z1751" i="3"/>
  <c r="Y1751" i="3"/>
  <c r="Z1750" i="3"/>
  <c r="Y1750" i="3"/>
  <c r="Z1749" i="3"/>
  <c r="Y1749" i="3"/>
  <c r="Z1748" i="3"/>
  <c r="Y1748" i="3"/>
  <c r="Z1747" i="3"/>
  <c r="Y1747" i="3"/>
  <c r="Z1746" i="3"/>
  <c r="Y1746" i="3"/>
  <c r="Z1745" i="3"/>
  <c r="Y1745" i="3"/>
  <c r="AA1738" i="3"/>
  <c r="Z1744" i="3"/>
  <c r="Y1744" i="3"/>
  <c r="Z1743" i="3"/>
  <c r="Y1743" i="3"/>
  <c r="Z1742" i="3"/>
  <c r="Y1742" i="3"/>
  <c r="Z1741" i="3"/>
  <c r="Y1741" i="3"/>
  <c r="Z1740" i="3"/>
  <c r="Y1740" i="3"/>
  <c r="Z1739" i="3"/>
  <c r="Y1739" i="3"/>
  <c r="Z1738" i="3"/>
  <c r="Y1738" i="3"/>
  <c r="AA1731" i="3"/>
  <c r="Z1737" i="3"/>
  <c r="Y1737" i="3"/>
  <c r="Z1736" i="3"/>
  <c r="Y1736" i="3"/>
  <c r="Z1735" i="3"/>
  <c r="Y1735" i="3"/>
  <c r="Z1734" i="3"/>
  <c r="Y1734" i="3"/>
  <c r="Z1733" i="3"/>
  <c r="Y1733" i="3"/>
  <c r="Z1732" i="3"/>
  <c r="Y1732" i="3"/>
  <c r="Z1731" i="3"/>
  <c r="Y1731" i="3"/>
  <c r="AA1724" i="3"/>
  <c r="Z1730" i="3"/>
  <c r="Y1730" i="3"/>
  <c r="Z1729" i="3"/>
  <c r="Y1729" i="3"/>
  <c r="Z1728" i="3"/>
  <c r="Y1728" i="3"/>
  <c r="Z1727" i="3"/>
  <c r="Y1727" i="3"/>
  <c r="Z1726" i="3"/>
  <c r="Y1726" i="3"/>
  <c r="Z1725" i="3"/>
  <c r="Y1725" i="3"/>
  <c r="Z1724" i="3"/>
  <c r="Y1724" i="3"/>
  <c r="AA1717" i="3"/>
  <c r="Z1723" i="3"/>
  <c r="Y1723" i="3"/>
  <c r="Z1722" i="3"/>
  <c r="Y1722" i="3"/>
  <c r="Z1721" i="3"/>
  <c r="Y1721" i="3"/>
  <c r="Z1720" i="3"/>
  <c r="Y1720" i="3"/>
  <c r="Z1719" i="3"/>
  <c r="Y1719" i="3"/>
  <c r="Z1718" i="3"/>
  <c r="Y1718" i="3"/>
  <c r="Z1717" i="3"/>
  <c r="Y1717" i="3"/>
  <c r="AA1710" i="3"/>
  <c r="Z1716" i="3"/>
  <c r="Y1716" i="3"/>
  <c r="Z1715" i="3"/>
  <c r="Y1715" i="3"/>
  <c r="Z1714" i="3"/>
  <c r="Y1714" i="3"/>
  <c r="Z1713" i="3"/>
  <c r="Y1713" i="3"/>
  <c r="Z1712" i="3"/>
  <c r="Y1712" i="3"/>
  <c r="Z1711" i="3"/>
  <c r="Y1711" i="3"/>
  <c r="Z1710" i="3"/>
  <c r="Y1710" i="3"/>
  <c r="AA1703" i="3"/>
  <c r="Z1709" i="3"/>
  <c r="Y1709" i="3"/>
  <c r="Z1708" i="3"/>
  <c r="Y1708" i="3"/>
  <c r="Z1707" i="3"/>
  <c r="Y1707" i="3"/>
  <c r="Z1706" i="3"/>
  <c r="Y1706" i="3"/>
  <c r="Z1705" i="3"/>
  <c r="Y1705" i="3"/>
  <c r="Z1704" i="3"/>
  <c r="Y1704" i="3"/>
  <c r="Z1703" i="3"/>
  <c r="Y1703" i="3"/>
  <c r="X1759" i="3"/>
  <c r="X1752" i="3"/>
  <c r="X1745" i="3"/>
  <c r="X1738" i="3"/>
  <c r="X1731" i="3"/>
  <c r="X1724" i="3"/>
  <c r="X1717" i="3"/>
  <c r="X1710" i="3"/>
  <c r="X1703" i="3"/>
  <c r="AF1640" i="3"/>
  <c r="AE1640" i="3"/>
  <c r="AE1661" i="3"/>
  <c r="AE1660" i="3"/>
  <c r="AE1659" i="3"/>
  <c r="AE1658" i="3"/>
  <c r="AE1657" i="3"/>
  <c r="AE1656" i="3"/>
  <c r="AE1655" i="3"/>
  <c r="AE1654" i="3"/>
  <c r="AE1653" i="3"/>
  <c r="AE1652" i="3"/>
  <c r="AE1651" i="3"/>
  <c r="AE1650" i="3"/>
  <c r="AE1649" i="3"/>
  <c r="AE1648" i="3"/>
  <c r="AE1647" i="3"/>
  <c r="AE1646" i="3"/>
  <c r="AE1645" i="3"/>
  <c r="AE1644" i="3"/>
  <c r="AE1643" i="3"/>
  <c r="AE1642" i="3"/>
  <c r="AE1641" i="3"/>
  <c r="AD1640" i="3"/>
  <c r="AD1642" i="3"/>
  <c r="AD1641" i="3"/>
  <c r="AC1696" i="3"/>
  <c r="AB1697" i="3"/>
  <c r="AB1696" i="3"/>
  <c r="AC1689" i="3"/>
  <c r="AB1690" i="3"/>
  <c r="AB1689" i="3"/>
  <c r="AC1682" i="3"/>
  <c r="AB1683" i="3"/>
  <c r="AB1682" i="3"/>
  <c r="AC1675" i="3"/>
  <c r="AB1676" i="3"/>
  <c r="AB1675" i="3"/>
  <c r="AC1668" i="3"/>
  <c r="AB1669" i="3"/>
  <c r="AB1668" i="3"/>
  <c r="AC1661" i="3"/>
  <c r="AB1662" i="3"/>
  <c r="AB1661" i="3"/>
  <c r="AC1654" i="3"/>
  <c r="AB1655" i="3"/>
  <c r="AB1654" i="3"/>
  <c r="AC1647" i="3"/>
  <c r="AB1648" i="3"/>
  <c r="AB1647" i="3"/>
  <c r="AC1640" i="3"/>
  <c r="AB1641" i="3"/>
  <c r="AB1640" i="3"/>
  <c r="AA1696" i="3"/>
  <c r="Z1702" i="3"/>
  <c r="Y1702" i="3"/>
  <c r="Z1701" i="3"/>
  <c r="Y1701" i="3"/>
  <c r="Z1700" i="3"/>
  <c r="Y1700" i="3"/>
  <c r="Z1699" i="3"/>
  <c r="Y1699" i="3"/>
  <c r="Z1698" i="3"/>
  <c r="Y1698" i="3"/>
  <c r="Z1697" i="3"/>
  <c r="Y1697" i="3"/>
  <c r="Z1696" i="3"/>
  <c r="Y1696" i="3"/>
  <c r="AA1689" i="3"/>
  <c r="Z1695" i="3"/>
  <c r="Y1695" i="3"/>
  <c r="Z1694" i="3"/>
  <c r="Y1694" i="3"/>
  <c r="Z1693" i="3"/>
  <c r="Y1693" i="3"/>
  <c r="Z1692" i="3"/>
  <c r="Y1692" i="3"/>
  <c r="Z1691" i="3"/>
  <c r="Y1691" i="3"/>
  <c r="Z1690" i="3"/>
  <c r="Y1690" i="3"/>
  <c r="Z1689" i="3"/>
  <c r="Y1689" i="3"/>
  <c r="AA1682" i="3"/>
  <c r="Z1688" i="3"/>
  <c r="Y1688" i="3"/>
  <c r="Z1687" i="3"/>
  <c r="Y1687" i="3"/>
  <c r="Z1686" i="3"/>
  <c r="Y1686" i="3"/>
  <c r="Z1685" i="3"/>
  <c r="Y1685" i="3"/>
  <c r="Z1684" i="3"/>
  <c r="Y1684" i="3"/>
  <c r="Z1683" i="3"/>
  <c r="Y1683" i="3"/>
  <c r="Z1682" i="3"/>
  <c r="Y1682" i="3"/>
  <c r="AA1675" i="3"/>
  <c r="Z1681" i="3"/>
  <c r="Y1681" i="3"/>
  <c r="Z1680" i="3"/>
  <c r="Y1680" i="3"/>
  <c r="Z1679" i="3"/>
  <c r="Y1679" i="3"/>
  <c r="Z1678" i="3"/>
  <c r="Y1678" i="3"/>
  <c r="Z1677" i="3"/>
  <c r="Y1677" i="3"/>
  <c r="Z1676" i="3"/>
  <c r="Y1676" i="3"/>
  <c r="Z1675" i="3"/>
  <c r="Y1675" i="3"/>
  <c r="AA1668" i="3"/>
  <c r="Z1674" i="3"/>
  <c r="Y1674" i="3"/>
  <c r="Z1673" i="3"/>
  <c r="Y1673" i="3"/>
  <c r="Z1672" i="3"/>
  <c r="Y1672" i="3"/>
  <c r="Z1671" i="3"/>
  <c r="Y1671" i="3"/>
  <c r="Z1670" i="3"/>
  <c r="Y1670" i="3"/>
  <c r="Z1669" i="3"/>
  <c r="Y1669" i="3"/>
  <c r="Z1668" i="3"/>
  <c r="Y1668" i="3"/>
  <c r="AA1661" i="3"/>
  <c r="Z1667" i="3"/>
  <c r="Y1667" i="3"/>
  <c r="Z1666" i="3"/>
  <c r="Y1666" i="3"/>
  <c r="Z1665" i="3"/>
  <c r="Y1665" i="3"/>
  <c r="Z1664" i="3"/>
  <c r="Y1664" i="3"/>
  <c r="Z1663" i="3"/>
  <c r="Y1663" i="3"/>
  <c r="Z1662" i="3"/>
  <c r="Y1662" i="3"/>
  <c r="Z1661" i="3"/>
  <c r="Y1661" i="3"/>
  <c r="AA1654" i="3"/>
  <c r="Z1660" i="3"/>
  <c r="Y1660" i="3"/>
  <c r="Z1659" i="3"/>
  <c r="Y1659" i="3"/>
  <c r="Z1658" i="3"/>
  <c r="Y1658" i="3"/>
  <c r="Z1657" i="3"/>
  <c r="Y1657" i="3"/>
  <c r="Z1656" i="3"/>
  <c r="Y1656" i="3"/>
  <c r="Z1655" i="3"/>
  <c r="Y1655" i="3"/>
  <c r="Z1654" i="3"/>
  <c r="Y1654" i="3"/>
  <c r="AA1647" i="3"/>
  <c r="Z1653" i="3"/>
  <c r="Y1653" i="3"/>
  <c r="Z1652" i="3"/>
  <c r="Y1652" i="3"/>
  <c r="Z1651" i="3"/>
  <c r="Y1651" i="3"/>
  <c r="Z1650" i="3"/>
  <c r="Y1650" i="3"/>
  <c r="Z1649" i="3"/>
  <c r="Y1649" i="3"/>
  <c r="Z1648" i="3"/>
  <c r="Y1648" i="3"/>
  <c r="Z1647" i="3"/>
  <c r="Y1647" i="3"/>
  <c r="AA1640" i="3"/>
  <c r="Z1646" i="3"/>
  <c r="Y1646" i="3"/>
  <c r="Z1645" i="3"/>
  <c r="Y1645" i="3"/>
  <c r="Z1644" i="3"/>
  <c r="Y1644" i="3"/>
  <c r="Z1643" i="3"/>
  <c r="Y1643" i="3"/>
  <c r="Z1642" i="3"/>
  <c r="Y1642" i="3"/>
  <c r="Z1641" i="3"/>
  <c r="Y1641" i="3"/>
  <c r="Z1640" i="3"/>
  <c r="Y1640" i="3"/>
  <c r="X1696" i="3"/>
  <c r="X1689" i="3"/>
  <c r="X1682" i="3"/>
  <c r="X1675" i="3"/>
  <c r="X1668" i="3"/>
  <c r="X1661" i="3"/>
  <c r="X1654" i="3"/>
  <c r="X1647" i="3"/>
  <c r="X1640" i="3"/>
  <c r="AF1577" i="3"/>
  <c r="AE1577" i="3"/>
  <c r="AE1598" i="3"/>
  <c r="AE1597" i="3"/>
  <c r="AE1596" i="3"/>
  <c r="AE1595" i="3"/>
  <c r="AE1594" i="3"/>
  <c r="AE1593" i="3"/>
  <c r="AE1592" i="3"/>
  <c r="AE1591" i="3"/>
  <c r="AE1590" i="3"/>
  <c r="AE1589" i="3"/>
  <c r="AE1588" i="3"/>
  <c r="AE1587" i="3"/>
  <c r="AE1586" i="3"/>
  <c r="AE1585" i="3"/>
  <c r="AE1584" i="3"/>
  <c r="AE1583" i="3"/>
  <c r="AE1582" i="3"/>
  <c r="AE1581" i="3"/>
  <c r="AE1580" i="3"/>
  <c r="AE1579" i="3"/>
  <c r="AE1578" i="3"/>
  <c r="AD1577" i="3"/>
  <c r="AD1579" i="3"/>
  <c r="AD1578" i="3"/>
  <c r="AC1633" i="3"/>
  <c r="AB1634" i="3"/>
  <c r="AB1633" i="3"/>
  <c r="AC1626" i="3"/>
  <c r="AB1627" i="3"/>
  <c r="AB1626" i="3"/>
  <c r="AC1619" i="3"/>
  <c r="AB1620" i="3"/>
  <c r="AB1619" i="3"/>
  <c r="AC1612" i="3"/>
  <c r="AB1613" i="3"/>
  <c r="AB1612" i="3"/>
  <c r="AC1605" i="3"/>
  <c r="AB1606" i="3"/>
  <c r="AB1605" i="3"/>
  <c r="AC1598" i="3"/>
  <c r="AB1599" i="3"/>
  <c r="AB1598" i="3"/>
  <c r="AC1591" i="3"/>
  <c r="AB1592" i="3"/>
  <c r="AB1591" i="3"/>
  <c r="AC1584" i="3"/>
  <c r="AB1585" i="3"/>
  <c r="AB1584" i="3"/>
  <c r="AC1577" i="3"/>
  <c r="AB1578" i="3"/>
  <c r="AB1577" i="3"/>
  <c r="AA1633" i="3"/>
  <c r="Z1639" i="3"/>
  <c r="Y1639" i="3"/>
  <c r="Z1638" i="3"/>
  <c r="Y1638" i="3"/>
  <c r="Z1637" i="3"/>
  <c r="Y1637" i="3"/>
  <c r="Z1636" i="3"/>
  <c r="Y1636" i="3"/>
  <c r="Z1635" i="3"/>
  <c r="Y1635" i="3"/>
  <c r="Z1634" i="3"/>
  <c r="Y1634" i="3"/>
  <c r="Z1633" i="3"/>
  <c r="Y1633" i="3"/>
  <c r="AA1626" i="3"/>
  <c r="Z1632" i="3"/>
  <c r="Y1632" i="3"/>
  <c r="Z1631" i="3"/>
  <c r="Y1631" i="3"/>
  <c r="Z1630" i="3"/>
  <c r="Y1630" i="3"/>
  <c r="Z1629" i="3"/>
  <c r="Y1629" i="3"/>
  <c r="Z1628" i="3"/>
  <c r="Y1628" i="3"/>
  <c r="Z1627" i="3"/>
  <c r="Y1627" i="3"/>
  <c r="Z1626" i="3"/>
  <c r="Y1626" i="3"/>
  <c r="AA1619" i="3"/>
  <c r="Z1625" i="3"/>
  <c r="Y1625" i="3"/>
  <c r="Z1624" i="3"/>
  <c r="Y1624" i="3"/>
  <c r="Z1623" i="3"/>
  <c r="Y1623" i="3"/>
  <c r="Z1622" i="3"/>
  <c r="Y1622" i="3"/>
  <c r="Z1621" i="3"/>
  <c r="Y1621" i="3"/>
  <c r="Z1620" i="3"/>
  <c r="Y1620" i="3"/>
  <c r="Z1619" i="3"/>
  <c r="Y1619" i="3"/>
  <c r="AA1612" i="3"/>
  <c r="Z1618" i="3"/>
  <c r="Y1618" i="3"/>
  <c r="Z1617" i="3"/>
  <c r="Y1617" i="3"/>
  <c r="Z1616" i="3"/>
  <c r="Y1616" i="3"/>
  <c r="Z1615" i="3"/>
  <c r="Y1615" i="3"/>
  <c r="Z1614" i="3"/>
  <c r="Y1614" i="3"/>
  <c r="Z1613" i="3"/>
  <c r="Y1613" i="3"/>
  <c r="Z1612" i="3"/>
  <c r="Y1612" i="3"/>
  <c r="AA1605" i="3"/>
  <c r="Z1611" i="3"/>
  <c r="Y1611" i="3"/>
  <c r="Z1610" i="3"/>
  <c r="Y1610" i="3"/>
  <c r="Z1609" i="3"/>
  <c r="Y1609" i="3"/>
  <c r="Z1608" i="3"/>
  <c r="Y1608" i="3"/>
  <c r="Z1607" i="3"/>
  <c r="Y1607" i="3"/>
  <c r="Z1606" i="3"/>
  <c r="Y1606" i="3"/>
  <c r="Z1605" i="3"/>
  <c r="Y1605" i="3"/>
  <c r="AA1598" i="3"/>
  <c r="Z1604" i="3"/>
  <c r="Y1604" i="3"/>
  <c r="Z1603" i="3"/>
  <c r="Y1603" i="3"/>
  <c r="Z1602" i="3"/>
  <c r="Y1602" i="3"/>
  <c r="Z1601" i="3"/>
  <c r="Y1601" i="3"/>
  <c r="Z1600" i="3"/>
  <c r="Y1600" i="3"/>
  <c r="Z1599" i="3"/>
  <c r="Y1599" i="3"/>
  <c r="Z1598" i="3"/>
  <c r="Y1598" i="3"/>
  <c r="AA1591" i="3"/>
  <c r="Z1597" i="3"/>
  <c r="Y1597" i="3"/>
  <c r="Z1596" i="3"/>
  <c r="Y1596" i="3"/>
  <c r="Z1595" i="3"/>
  <c r="Y1595" i="3"/>
  <c r="Z1594" i="3"/>
  <c r="Y1594" i="3"/>
  <c r="Z1593" i="3"/>
  <c r="Y1593" i="3"/>
  <c r="Z1592" i="3"/>
  <c r="Y1592" i="3"/>
  <c r="Z1591" i="3"/>
  <c r="Y1591" i="3"/>
  <c r="AA1584" i="3"/>
  <c r="Z1590" i="3"/>
  <c r="Y1590" i="3"/>
  <c r="Z1589" i="3"/>
  <c r="Y1589" i="3"/>
  <c r="Z1588" i="3"/>
  <c r="Y1588" i="3"/>
  <c r="Z1587" i="3"/>
  <c r="Y1587" i="3"/>
  <c r="Z1586" i="3"/>
  <c r="Y1586" i="3"/>
  <c r="Z1585" i="3"/>
  <c r="Y1585" i="3"/>
  <c r="Z1584" i="3"/>
  <c r="Y1584" i="3"/>
  <c r="AA1577" i="3"/>
  <c r="Z1583" i="3"/>
  <c r="Y1583" i="3"/>
  <c r="Z1582" i="3"/>
  <c r="Y1582" i="3"/>
  <c r="Z1581" i="3"/>
  <c r="Y1581" i="3"/>
  <c r="Z1580" i="3"/>
  <c r="Y1580" i="3"/>
  <c r="Z1579" i="3"/>
  <c r="Y1579" i="3"/>
  <c r="Z1578" i="3"/>
  <c r="Y1578" i="3"/>
  <c r="Z1577" i="3"/>
  <c r="Y1577" i="3"/>
  <c r="X1633" i="3"/>
  <c r="X1626" i="3"/>
  <c r="X1619" i="3"/>
  <c r="X1612" i="3"/>
  <c r="X1605" i="3"/>
  <c r="X1598" i="3"/>
  <c r="X1591" i="3"/>
  <c r="X1584" i="3"/>
  <c r="X1577" i="3"/>
  <c r="AF1514" i="3"/>
  <c r="AE1514" i="3"/>
  <c r="AE1535" i="3"/>
  <c r="AE1534" i="3"/>
  <c r="AE1533" i="3"/>
  <c r="AE1532" i="3"/>
  <c r="AE1531" i="3"/>
  <c r="AE1530" i="3"/>
  <c r="AE1529" i="3"/>
  <c r="AE1528" i="3"/>
  <c r="AE1527" i="3"/>
  <c r="AE1526" i="3"/>
  <c r="AE1525" i="3"/>
  <c r="AE1524" i="3"/>
  <c r="AE1523" i="3"/>
  <c r="AE1522" i="3"/>
  <c r="AE1521" i="3"/>
  <c r="AE1520" i="3"/>
  <c r="AE1519" i="3"/>
  <c r="AE1518" i="3"/>
  <c r="AE1517" i="3"/>
  <c r="AE1516" i="3"/>
  <c r="AE1515" i="3"/>
  <c r="AD1514" i="3"/>
  <c r="AD1516" i="3"/>
  <c r="AD1515" i="3"/>
  <c r="AC1570" i="3"/>
  <c r="AB1571" i="3"/>
  <c r="AB1570" i="3"/>
  <c r="AC1563" i="3"/>
  <c r="AB1564" i="3"/>
  <c r="AB1563" i="3"/>
  <c r="AC1556" i="3"/>
  <c r="AB1557" i="3"/>
  <c r="AB1556" i="3"/>
  <c r="AC1549" i="3"/>
  <c r="AB1550" i="3"/>
  <c r="AB1549" i="3"/>
  <c r="AC1542" i="3"/>
  <c r="AB1543" i="3"/>
  <c r="AB1542" i="3"/>
  <c r="AC1535" i="3"/>
  <c r="AB1536" i="3"/>
  <c r="AB1535" i="3"/>
  <c r="AC1528" i="3"/>
  <c r="AB1529" i="3"/>
  <c r="AB1528" i="3"/>
  <c r="AC1521" i="3"/>
  <c r="AB1522" i="3"/>
  <c r="AB1521" i="3"/>
  <c r="AC1514" i="3"/>
  <c r="AB1515" i="3"/>
  <c r="AB1514" i="3"/>
  <c r="AA1570" i="3"/>
  <c r="Z1576" i="3"/>
  <c r="Y1576" i="3"/>
  <c r="Z1575" i="3"/>
  <c r="Y1575" i="3"/>
  <c r="Z1574" i="3"/>
  <c r="Y1574" i="3"/>
  <c r="Z1573" i="3"/>
  <c r="Y1573" i="3"/>
  <c r="Z1572" i="3"/>
  <c r="Y1572" i="3"/>
  <c r="Z1571" i="3"/>
  <c r="Y1571" i="3"/>
  <c r="Z1570" i="3"/>
  <c r="Y1570" i="3"/>
  <c r="AA1563" i="3"/>
  <c r="Z1569" i="3"/>
  <c r="Y1569" i="3"/>
  <c r="Z1568" i="3"/>
  <c r="Y1568" i="3"/>
  <c r="Z1567" i="3"/>
  <c r="Y1567" i="3"/>
  <c r="Z1566" i="3"/>
  <c r="Y1566" i="3"/>
  <c r="Z1565" i="3"/>
  <c r="Y1565" i="3"/>
  <c r="Z1564" i="3"/>
  <c r="Y1564" i="3"/>
  <c r="Z1563" i="3"/>
  <c r="Y1563" i="3"/>
  <c r="AA1556" i="3"/>
  <c r="Z1562" i="3"/>
  <c r="Y1562" i="3"/>
  <c r="Z1561" i="3"/>
  <c r="Y1561" i="3"/>
  <c r="Z1560" i="3"/>
  <c r="Y1560" i="3"/>
  <c r="Z1559" i="3"/>
  <c r="Y1559" i="3"/>
  <c r="Z1558" i="3"/>
  <c r="Y1558" i="3"/>
  <c r="Z1557" i="3"/>
  <c r="Y1557" i="3"/>
  <c r="Z1556" i="3"/>
  <c r="Y1556" i="3"/>
  <c r="AA1549" i="3"/>
  <c r="Z1555" i="3"/>
  <c r="Y1555" i="3"/>
  <c r="Z1554" i="3"/>
  <c r="Y1554" i="3"/>
  <c r="Z1553" i="3"/>
  <c r="Y1553" i="3"/>
  <c r="Z1552" i="3"/>
  <c r="Y1552" i="3"/>
  <c r="Z1551" i="3"/>
  <c r="Y1551" i="3"/>
  <c r="Z1550" i="3"/>
  <c r="Y1550" i="3"/>
  <c r="Z1549" i="3"/>
  <c r="Y1549" i="3"/>
  <c r="AA1542" i="3"/>
  <c r="Z1548" i="3"/>
  <c r="Y1548" i="3"/>
  <c r="Z1547" i="3"/>
  <c r="Y1547" i="3"/>
  <c r="Z1546" i="3"/>
  <c r="Y1546" i="3"/>
  <c r="Z1545" i="3"/>
  <c r="Y1545" i="3"/>
  <c r="Z1544" i="3"/>
  <c r="Y1544" i="3"/>
  <c r="Z1543" i="3"/>
  <c r="Y1543" i="3"/>
  <c r="Z1542" i="3"/>
  <c r="Y1542" i="3"/>
  <c r="AA1535" i="3"/>
  <c r="Z1541" i="3"/>
  <c r="Y1541" i="3"/>
  <c r="Z1540" i="3"/>
  <c r="Y1540" i="3"/>
  <c r="Z1539" i="3"/>
  <c r="Y1539" i="3"/>
  <c r="Z1538" i="3"/>
  <c r="Y1538" i="3"/>
  <c r="Z1537" i="3"/>
  <c r="Y1537" i="3"/>
  <c r="Z1536" i="3"/>
  <c r="Y1536" i="3"/>
  <c r="Z1535" i="3"/>
  <c r="Y1535" i="3"/>
  <c r="AA1528" i="3"/>
  <c r="Z1534" i="3"/>
  <c r="Y1534" i="3"/>
  <c r="Z1533" i="3"/>
  <c r="Y1533" i="3"/>
  <c r="Z1532" i="3"/>
  <c r="Y1532" i="3"/>
  <c r="Z1531" i="3"/>
  <c r="Y1531" i="3"/>
  <c r="Z1530" i="3"/>
  <c r="Y1530" i="3"/>
  <c r="Z1529" i="3"/>
  <c r="Y1529" i="3"/>
  <c r="Z1528" i="3"/>
  <c r="Y1528" i="3"/>
  <c r="AA1521" i="3"/>
  <c r="Z1527" i="3"/>
  <c r="Y1527" i="3"/>
  <c r="Z1526" i="3"/>
  <c r="Y1526" i="3"/>
  <c r="Z1525" i="3"/>
  <c r="Y1525" i="3"/>
  <c r="Z1524" i="3"/>
  <c r="Y1524" i="3"/>
  <c r="Z1523" i="3"/>
  <c r="Y1523" i="3"/>
  <c r="Z1522" i="3"/>
  <c r="Y1522" i="3"/>
  <c r="Z1521" i="3"/>
  <c r="Y1521" i="3"/>
  <c r="AA1514" i="3"/>
  <c r="Z1520" i="3"/>
  <c r="Y1520" i="3"/>
  <c r="Z1519" i="3"/>
  <c r="Y1519" i="3"/>
  <c r="Z1518" i="3"/>
  <c r="Y1518" i="3"/>
  <c r="Z1517" i="3"/>
  <c r="Y1517" i="3"/>
  <c r="Z1516" i="3"/>
  <c r="Y1516" i="3"/>
  <c r="Z1515" i="3"/>
  <c r="Y1515" i="3"/>
  <c r="Z1514" i="3"/>
  <c r="Y1514" i="3"/>
  <c r="X1570" i="3"/>
  <c r="X1563" i="3"/>
  <c r="X1556" i="3"/>
  <c r="X1549" i="3"/>
  <c r="X1542" i="3"/>
  <c r="X1535" i="3"/>
  <c r="X1528" i="3"/>
  <c r="X1521" i="3"/>
  <c r="X1514" i="3"/>
  <c r="AF1451" i="3"/>
  <c r="AE1451" i="3"/>
  <c r="AE1472" i="3"/>
  <c r="AE1471" i="3"/>
  <c r="AE1470" i="3"/>
  <c r="AE1469" i="3"/>
  <c r="AE1468" i="3"/>
  <c r="AE1467" i="3"/>
  <c r="AE1466" i="3"/>
  <c r="AE1465" i="3"/>
  <c r="AE1464" i="3"/>
  <c r="AE1463" i="3"/>
  <c r="AE1462" i="3"/>
  <c r="AE1461" i="3"/>
  <c r="AE1460" i="3"/>
  <c r="AE1459" i="3"/>
  <c r="AE1458" i="3"/>
  <c r="AE1457" i="3"/>
  <c r="AE1456" i="3"/>
  <c r="AE1455" i="3"/>
  <c r="AE1454" i="3"/>
  <c r="AE1453" i="3"/>
  <c r="AE1452" i="3"/>
  <c r="AD1451" i="3"/>
  <c r="AD1453" i="3"/>
  <c r="AD1452" i="3"/>
  <c r="AC1507" i="3"/>
  <c r="AB1508" i="3"/>
  <c r="AB1507" i="3"/>
  <c r="AC1500" i="3"/>
  <c r="AB1501" i="3"/>
  <c r="AB1500" i="3"/>
  <c r="AC1493" i="3"/>
  <c r="AB1494" i="3"/>
  <c r="AB1493" i="3"/>
  <c r="AC1486" i="3"/>
  <c r="AB1487" i="3"/>
  <c r="AB1486" i="3"/>
  <c r="AC1479" i="3"/>
  <c r="AB1480" i="3"/>
  <c r="AB1479" i="3"/>
  <c r="AC1472" i="3"/>
  <c r="AB1473" i="3"/>
  <c r="AB1472" i="3"/>
  <c r="AC1465" i="3"/>
  <c r="AB1466" i="3"/>
  <c r="AB1465" i="3"/>
  <c r="AC1458" i="3"/>
  <c r="AB1459" i="3"/>
  <c r="AB1458" i="3"/>
  <c r="AC1451" i="3"/>
  <c r="AB1452" i="3"/>
  <c r="AB1451" i="3"/>
  <c r="AA1507" i="3"/>
  <c r="Z1513" i="3"/>
  <c r="Y1513" i="3"/>
  <c r="Z1512" i="3"/>
  <c r="Y1512" i="3"/>
  <c r="Z1511" i="3"/>
  <c r="Y1511" i="3"/>
  <c r="Z1510" i="3"/>
  <c r="Y1510" i="3"/>
  <c r="Z1509" i="3"/>
  <c r="Y1509" i="3"/>
  <c r="Z1508" i="3"/>
  <c r="Y1508" i="3"/>
  <c r="Z1507" i="3"/>
  <c r="Y1507" i="3"/>
  <c r="AA1500" i="3"/>
  <c r="Z1506" i="3"/>
  <c r="Y1506" i="3"/>
  <c r="Z1505" i="3"/>
  <c r="Y1505" i="3"/>
  <c r="Z1504" i="3"/>
  <c r="Y1504" i="3"/>
  <c r="Z1503" i="3"/>
  <c r="Y1503" i="3"/>
  <c r="Z1502" i="3"/>
  <c r="Y1502" i="3"/>
  <c r="Z1501" i="3"/>
  <c r="Y1501" i="3"/>
  <c r="Z1500" i="3"/>
  <c r="Y1500" i="3"/>
  <c r="AA1493" i="3"/>
  <c r="Z1499" i="3"/>
  <c r="Y1499" i="3"/>
  <c r="Z1498" i="3"/>
  <c r="Y1498" i="3"/>
  <c r="Z1497" i="3"/>
  <c r="Y1497" i="3"/>
  <c r="Z1496" i="3"/>
  <c r="Y1496" i="3"/>
  <c r="Z1495" i="3"/>
  <c r="Y1495" i="3"/>
  <c r="Z1494" i="3"/>
  <c r="Y1494" i="3"/>
  <c r="Z1493" i="3"/>
  <c r="Y1493" i="3"/>
  <c r="AA1486" i="3"/>
  <c r="Z1492" i="3"/>
  <c r="Y1492" i="3"/>
  <c r="Z1491" i="3"/>
  <c r="Y1491" i="3"/>
  <c r="Z1490" i="3"/>
  <c r="Y1490" i="3"/>
  <c r="Z1489" i="3"/>
  <c r="Y1489" i="3"/>
  <c r="Z1488" i="3"/>
  <c r="Y1488" i="3"/>
  <c r="Z1487" i="3"/>
  <c r="Y1487" i="3"/>
  <c r="Z1486" i="3"/>
  <c r="Y1486" i="3"/>
  <c r="AA1479" i="3"/>
  <c r="Z1485" i="3"/>
  <c r="Y1485" i="3"/>
  <c r="Z1484" i="3"/>
  <c r="Y1484" i="3"/>
  <c r="Z1483" i="3"/>
  <c r="Y1483" i="3"/>
  <c r="Z1482" i="3"/>
  <c r="Y1482" i="3"/>
  <c r="Z1481" i="3"/>
  <c r="Y1481" i="3"/>
  <c r="Z1480" i="3"/>
  <c r="Y1480" i="3"/>
  <c r="Z1479" i="3"/>
  <c r="Y1479" i="3"/>
  <c r="AA1472" i="3"/>
  <c r="Z1478" i="3"/>
  <c r="Y1478" i="3"/>
  <c r="Z1477" i="3"/>
  <c r="Y1477" i="3"/>
  <c r="Z1476" i="3"/>
  <c r="Y1476" i="3"/>
  <c r="Z1475" i="3"/>
  <c r="Y1475" i="3"/>
  <c r="Z1474" i="3"/>
  <c r="Y1474" i="3"/>
  <c r="Z1473" i="3"/>
  <c r="Y1473" i="3"/>
  <c r="Z1472" i="3"/>
  <c r="Y1472" i="3"/>
  <c r="AA1465" i="3"/>
  <c r="Z1471" i="3"/>
  <c r="Y1471" i="3"/>
  <c r="Z1470" i="3"/>
  <c r="Y1470" i="3"/>
  <c r="Z1469" i="3"/>
  <c r="Y1469" i="3"/>
  <c r="Z1468" i="3"/>
  <c r="Y1468" i="3"/>
  <c r="Z1467" i="3"/>
  <c r="Y1467" i="3"/>
  <c r="Z1466" i="3"/>
  <c r="Y1466" i="3"/>
  <c r="Z1465" i="3"/>
  <c r="Y1465" i="3"/>
  <c r="AA1458" i="3"/>
  <c r="Z1464" i="3"/>
  <c r="Y1464" i="3"/>
  <c r="Z1463" i="3"/>
  <c r="Y1463" i="3"/>
  <c r="Z1462" i="3"/>
  <c r="Y1462" i="3"/>
  <c r="Z1461" i="3"/>
  <c r="Y1461" i="3"/>
  <c r="Z1460" i="3"/>
  <c r="Y1460" i="3"/>
  <c r="Z1459" i="3"/>
  <c r="Y1459" i="3"/>
  <c r="Z1458" i="3"/>
  <c r="Y1458" i="3"/>
  <c r="AA1451" i="3"/>
  <c r="Z1457" i="3"/>
  <c r="Y1457" i="3"/>
  <c r="Z1456" i="3"/>
  <c r="Y1456" i="3"/>
  <c r="Z1455" i="3"/>
  <c r="Y1455" i="3"/>
  <c r="Z1454" i="3"/>
  <c r="Y1454" i="3"/>
  <c r="Z1453" i="3"/>
  <c r="Y1453" i="3"/>
  <c r="Z1452" i="3"/>
  <c r="Y1452" i="3"/>
  <c r="Z1451" i="3"/>
  <c r="Y1451" i="3"/>
  <c r="X1507" i="3"/>
  <c r="X1500" i="3"/>
  <c r="X1493" i="3"/>
  <c r="X1486" i="3"/>
  <c r="X1479" i="3"/>
  <c r="X1472" i="3"/>
  <c r="X1465" i="3"/>
  <c r="X1458" i="3"/>
  <c r="X1451" i="3"/>
  <c r="AF1388" i="3"/>
  <c r="AE1388" i="3"/>
  <c r="AE1409" i="3"/>
  <c r="AE1408" i="3"/>
  <c r="AE1407" i="3"/>
  <c r="AE1406" i="3"/>
  <c r="AE1405" i="3"/>
  <c r="AE1404" i="3"/>
  <c r="AE1403" i="3"/>
  <c r="AE1402" i="3"/>
  <c r="AE1401" i="3"/>
  <c r="AE1400" i="3"/>
  <c r="AE1399" i="3"/>
  <c r="AE1398" i="3"/>
  <c r="AE1397" i="3"/>
  <c r="AE1396" i="3"/>
  <c r="AE1395" i="3"/>
  <c r="AE1394" i="3"/>
  <c r="AE1393" i="3"/>
  <c r="AE1392" i="3"/>
  <c r="AE1391" i="3"/>
  <c r="AE1390" i="3"/>
  <c r="AE1389" i="3"/>
  <c r="AD1388" i="3"/>
  <c r="AD1390" i="3"/>
  <c r="AD1389" i="3"/>
  <c r="AC1444" i="3"/>
  <c r="AB1445" i="3"/>
  <c r="AB1444" i="3"/>
  <c r="AC1437" i="3"/>
  <c r="AB1438" i="3"/>
  <c r="AB1437" i="3"/>
  <c r="AC1430" i="3"/>
  <c r="AB1431" i="3"/>
  <c r="AB1430" i="3"/>
  <c r="AC1423" i="3"/>
  <c r="AB1424" i="3"/>
  <c r="AB1423" i="3"/>
  <c r="AC1416" i="3"/>
  <c r="AB1417" i="3"/>
  <c r="AB1416" i="3"/>
  <c r="AC1409" i="3"/>
  <c r="AB1410" i="3"/>
  <c r="AB1409" i="3"/>
  <c r="AC1402" i="3"/>
  <c r="AB1403" i="3"/>
  <c r="AB1402" i="3"/>
  <c r="AC1395" i="3"/>
  <c r="AB1396" i="3"/>
  <c r="AB1395" i="3"/>
  <c r="AC1388" i="3"/>
  <c r="AB1389" i="3"/>
  <c r="AB1388" i="3"/>
  <c r="AA1444" i="3"/>
  <c r="Z1450" i="3"/>
  <c r="Y1450" i="3"/>
  <c r="Z1449" i="3"/>
  <c r="Y1449" i="3"/>
  <c r="Z1448" i="3"/>
  <c r="Y1448" i="3"/>
  <c r="Z1447" i="3"/>
  <c r="Y1447" i="3"/>
  <c r="Z1446" i="3"/>
  <c r="Y1446" i="3"/>
  <c r="Z1445" i="3"/>
  <c r="Y1445" i="3"/>
  <c r="Z1444" i="3"/>
  <c r="Y1444" i="3"/>
  <c r="AA1437" i="3"/>
  <c r="Z1443" i="3"/>
  <c r="Y1443" i="3"/>
  <c r="Z1442" i="3"/>
  <c r="Y1442" i="3"/>
  <c r="Z1441" i="3"/>
  <c r="Y1441" i="3"/>
  <c r="Z1440" i="3"/>
  <c r="Y1440" i="3"/>
  <c r="Z1439" i="3"/>
  <c r="Y1439" i="3"/>
  <c r="Z1438" i="3"/>
  <c r="Y1438" i="3"/>
  <c r="Z1437" i="3"/>
  <c r="Y1437" i="3"/>
  <c r="AA1430" i="3"/>
  <c r="Z1436" i="3"/>
  <c r="Y1436" i="3"/>
  <c r="Z1435" i="3"/>
  <c r="Y1435" i="3"/>
  <c r="Z1434" i="3"/>
  <c r="Y1434" i="3"/>
  <c r="Z1433" i="3"/>
  <c r="Y1433" i="3"/>
  <c r="Z1432" i="3"/>
  <c r="Y1432" i="3"/>
  <c r="Z1431" i="3"/>
  <c r="Y1431" i="3"/>
  <c r="Z1430" i="3"/>
  <c r="Y1430" i="3"/>
  <c r="AA1423" i="3"/>
  <c r="Z1429" i="3"/>
  <c r="Y1429" i="3"/>
  <c r="Z1428" i="3"/>
  <c r="Y1428" i="3"/>
  <c r="Z1427" i="3"/>
  <c r="Y1427" i="3"/>
  <c r="Z1426" i="3"/>
  <c r="Y1426" i="3"/>
  <c r="Z1425" i="3"/>
  <c r="Y1425" i="3"/>
  <c r="Z1424" i="3"/>
  <c r="Y1424" i="3"/>
  <c r="Z1423" i="3"/>
  <c r="Y1423" i="3"/>
  <c r="AA1416" i="3"/>
  <c r="Z1422" i="3"/>
  <c r="Y1422" i="3"/>
  <c r="Z1421" i="3"/>
  <c r="Y1421" i="3"/>
  <c r="Z1420" i="3"/>
  <c r="Y1420" i="3"/>
  <c r="Z1419" i="3"/>
  <c r="Y1419" i="3"/>
  <c r="Z1418" i="3"/>
  <c r="Y1418" i="3"/>
  <c r="Z1417" i="3"/>
  <c r="Y1417" i="3"/>
  <c r="Z1416" i="3"/>
  <c r="Y1416" i="3"/>
  <c r="AA1409" i="3"/>
  <c r="Z1415" i="3"/>
  <c r="Y1415" i="3"/>
  <c r="Z1414" i="3"/>
  <c r="Y1414" i="3"/>
  <c r="Z1413" i="3"/>
  <c r="Y1413" i="3"/>
  <c r="Z1412" i="3"/>
  <c r="Y1412" i="3"/>
  <c r="Z1411" i="3"/>
  <c r="Y1411" i="3"/>
  <c r="Z1410" i="3"/>
  <c r="Y1410" i="3"/>
  <c r="Z1409" i="3"/>
  <c r="Y1409" i="3"/>
  <c r="AA1402" i="3"/>
  <c r="Z1408" i="3"/>
  <c r="Y1408" i="3"/>
  <c r="Z1407" i="3"/>
  <c r="Y1407" i="3"/>
  <c r="Z1406" i="3"/>
  <c r="Y1406" i="3"/>
  <c r="Z1405" i="3"/>
  <c r="Y1405" i="3"/>
  <c r="Z1404" i="3"/>
  <c r="Y1404" i="3"/>
  <c r="Z1403" i="3"/>
  <c r="Y1403" i="3"/>
  <c r="Z1402" i="3"/>
  <c r="Y1402" i="3"/>
  <c r="AA1395" i="3"/>
  <c r="Z1401" i="3"/>
  <c r="Y1401" i="3"/>
  <c r="Z1400" i="3"/>
  <c r="Y1400" i="3"/>
  <c r="Z1399" i="3"/>
  <c r="Y1399" i="3"/>
  <c r="Z1398" i="3"/>
  <c r="Y1398" i="3"/>
  <c r="Z1397" i="3"/>
  <c r="Y1397" i="3"/>
  <c r="Z1396" i="3"/>
  <c r="Y1396" i="3"/>
  <c r="Z1395" i="3"/>
  <c r="Y1395" i="3"/>
  <c r="AA1388" i="3"/>
  <c r="Z1394" i="3"/>
  <c r="Y1394" i="3"/>
  <c r="Z1393" i="3"/>
  <c r="Y1393" i="3"/>
  <c r="Z1392" i="3"/>
  <c r="Y1392" i="3"/>
  <c r="Z1391" i="3"/>
  <c r="Y1391" i="3"/>
  <c r="Z1390" i="3"/>
  <c r="Y1390" i="3"/>
  <c r="Z1389" i="3"/>
  <c r="Y1389" i="3"/>
  <c r="Z1388" i="3"/>
  <c r="Y1388" i="3"/>
  <c r="X1444" i="3"/>
  <c r="X1437" i="3"/>
  <c r="X1430" i="3"/>
  <c r="X1423" i="3"/>
  <c r="X1416" i="3"/>
  <c r="X1409" i="3"/>
  <c r="X1402" i="3"/>
  <c r="X1395" i="3"/>
  <c r="X1388" i="3"/>
  <c r="AF1325" i="3"/>
  <c r="AE1325" i="3"/>
  <c r="AE1346" i="3"/>
  <c r="AE1345" i="3"/>
  <c r="AE1344" i="3"/>
  <c r="AE1343" i="3"/>
  <c r="AE1342" i="3"/>
  <c r="AE1341" i="3"/>
  <c r="AE1340" i="3"/>
  <c r="AE1339" i="3"/>
  <c r="AE1338" i="3"/>
  <c r="AE1337" i="3"/>
  <c r="AE1336" i="3"/>
  <c r="AE1335" i="3"/>
  <c r="AE1334" i="3"/>
  <c r="AE1333" i="3"/>
  <c r="AE1332" i="3"/>
  <c r="AE1331" i="3"/>
  <c r="AE1330" i="3"/>
  <c r="AE1329" i="3"/>
  <c r="AE1328" i="3"/>
  <c r="AE1327" i="3"/>
  <c r="AE1326" i="3"/>
  <c r="AD1325" i="3"/>
  <c r="AD1327" i="3"/>
  <c r="AD1326" i="3"/>
  <c r="AC1381" i="3"/>
  <c r="AB1382" i="3"/>
  <c r="AB1381" i="3"/>
  <c r="AC1374" i="3"/>
  <c r="AB1375" i="3"/>
  <c r="AB1374" i="3"/>
  <c r="AC1367" i="3"/>
  <c r="AB1368" i="3"/>
  <c r="AB1367" i="3"/>
  <c r="AC1360" i="3"/>
  <c r="AB1361" i="3"/>
  <c r="AB1360" i="3"/>
  <c r="AC1353" i="3"/>
  <c r="AB1354" i="3"/>
  <c r="AB1353" i="3"/>
  <c r="AC1346" i="3"/>
  <c r="AB1347" i="3"/>
  <c r="AB1346" i="3"/>
  <c r="AC1339" i="3"/>
  <c r="AB1340" i="3"/>
  <c r="AB1339" i="3"/>
  <c r="AC1332" i="3"/>
  <c r="AB1333" i="3"/>
  <c r="AB1332" i="3"/>
  <c r="AC1325" i="3"/>
  <c r="AB1326" i="3"/>
  <c r="AB1325" i="3"/>
  <c r="AA1381" i="3"/>
  <c r="Z1387" i="3"/>
  <c r="Y1387" i="3"/>
  <c r="Z1386" i="3"/>
  <c r="Y1386" i="3"/>
  <c r="Z1385" i="3"/>
  <c r="Y1385" i="3"/>
  <c r="Z1384" i="3"/>
  <c r="Y1384" i="3"/>
  <c r="Z1383" i="3"/>
  <c r="Y1383" i="3"/>
  <c r="Z1382" i="3"/>
  <c r="Y1382" i="3"/>
  <c r="Z1381" i="3"/>
  <c r="Y1381" i="3"/>
  <c r="AA1374" i="3"/>
  <c r="Z1380" i="3"/>
  <c r="Y1380" i="3"/>
  <c r="Z1379" i="3"/>
  <c r="Y1379" i="3"/>
  <c r="Z1378" i="3"/>
  <c r="Y1378" i="3"/>
  <c r="Z1377" i="3"/>
  <c r="Y1377" i="3"/>
  <c r="Z1376" i="3"/>
  <c r="Y1376" i="3"/>
  <c r="Z1375" i="3"/>
  <c r="Y1375" i="3"/>
  <c r="Z1374" i="3"/>
  <c r="Y1374" i="3"/>
  <c r="AA1367" i="3"/>
  <c r="Z1373" i="3"/>
  <c r="Y1373" i="3"/>
  <c r="Z1372" i="3"/>
  <c r="Y1372" i="3"/>
  <c r="Z1371" i="3"/>
  <c r="Y1371" i="3"/>
  <c r="Z1370" i="3"/>
  <c r="Y1370" i="3"/>
  <c r="Z1369" i="3"/>
  <c r="Y1369" i="3"/>
  <c r="Z1368" i="3"/>
  <c r="Y1368" i="3"/>
  <c r="Z1367" i="3"/>
  <c r="Y1367" i="3"/>
  <c r="AA1360" i="3"/>
  <c r="Z1366" i="3"/>
  <c r="Y1366" i="3"/>
  <c r="Z1365" i="3"/>
  <c r="Y1365" i="3"/>
  <c r="Z1364" i="3"/>
  <c r="Y1364" i="3"/>
  <c r="Z1363" i="3"/>
  <c r="Y1363" i="3"/>
  <c r="Z1362" i="3"/>
  <c r="Y1362" i="3"/>
  <c r="Z1361" i="3"/>
  <c r="Y1361" i="3"/>
  <c r="Z1360" i="3"/>
  <c r="Y1360" i="3"/>
  <c r="AA1353" i="3"/>
  <c r="Z1359" i="3"/>
  <c r="Y1359" i="3"/>
  <c r="Z1358" i="3"/>
  <c r="Y1358" i="3"/>
  <c r="Z1357" i="3"/>
  <c r="Y1357" i="3"/>
  <c r="Z1356" i="3"/>
  <c r="Y1356" i="3"/>
  <c r="Z1355" i="3"/>
  <c r="Y1355" i="3"/>
  <c r="Z1354" i="3"/>
  <c r="Y1354" i="3"/>
  <c r="Z1353" i="3"/>
  <c r="Y1353" i="3"/>
  <c r="AA1346" i="3"/>
  <c r="Z1352" i="3"/>
  <c r="Y1352" i="3"/>
  <c r="Z1351" i="3"/>
  <c r="Y1351" i="3"/>
  <c r="Z1350" i="3"/>
  <c r="Y1350" i="3"/>
  <c r="Z1349" i="3"/>
  <c r="Y1349" i="3"/>
  <c r="Z1348" i="3"/>
  <c r="Y1348" i="3"/>
  <c r="Z1347" i="3"/>
  <c r="Y1347" i="3"/>
  <c r="Z1346" i="3"/>
  <c r="Y1346" i="3"/>
  <c r="AA1339" i="3"/>
  <c r="Z1345" i="3"/>
  <c r="Y1345" i="3"/>
  <c r="Z1344" i="3"/>
  <c r="Y1344" i="3"/>
  <c r="Z1343" i="3"/>
  <c r="Y1343" i="3"/>
  <c r="Z1342" i="3"/>
  <c r="Y1342" i="3"/>
  <c r="Z1341" i="3"/>
  <c r="Y1341" i="3"/>
  <c r="Z1340" i="3"/>
  <c r="Y1340" i="3"/>
  <c r="Z1339" i="3"/>
  <c r="Y1339" i="3"/>
  <c r="AA1332" i="3"/>
  <c r="Z1338" i="3"/>
  <c r="Y1338" i="3"/>
  <c r="Z1337" i="3"/>
  <c r="Y1337" i="3"/>
  <c r="Z1336" i="3"/>
  <c r="Y1336" i="3"/>
  <c r="Z1335" i="3"/>
  <c r="Y1335" i="3"/>
  <c r="Z1334" i="3"/>
  <c r="Y1334" i="3"/>
  <c r="Z1333" i="3"/>
  <c r="Y1333" i="3"/>
  <c r="Z1332" i="3"/>
  <c r="Y1332" i="3"/>
  <c r="AA1325" i="3"/>
  <c r="Z1331" i="3"/>
  <c r="Y1331" i="3"/>
  <c r="Z1330" i="3"/>
  <c r="Y1330" i="3"/>
  <c r="Z1329" i="3"/>
  <c r="Y1329" i="3"/>
  <c r="Z1328" i="3"/>
  <c r="Y1328" i="3"/>
  <c r="Z1327" i="3"/>
  <c r="Y1327" i="3"/>
  <c r="Z1326" i="3"/>
  <c r="Y1326" i="3"/>
  <c r="Z1325" i="3"/>
  <c r="Y1325" i="3"/>
  <c r="X1381" i="3"/>
  <c r="X1374" i="3"/>
  <c r="X1367" i="3"/>
  <c r="X1360" i="3"/>
  <c r="X1353" i="3"/>
  <c r="X1346" i="3"/>
  <c r="X1339" i="3"/>
  <c r="X1332" i="3"/>
  <c r="X1325" i="3"/>
  <c r="AF1262" i="3"/>
  <c r="AE1262" i="3"/>
  <c r="AE1283" i="3"/>
  <c r="AE1282" i="3"/>
  <c r="AE1281" i="3"/>
  <c r="AE1280" i="3"/>
  <c r="AE1279" i="3"/>
  <c r="AE1278" i="3"/>
  <c r="AE1277" i="3"/>
  <c r="AE1276" i="3"/>
  <c r="AE1275" i="3"/>
  <c r="AE1274" i="3"/>
  <c r="AE1273" i="3"/>
  <c r="AE1272" i="3"/>
  <c r="AE1271" i="3"/>
  <c r="AE1270" i="3"/>
  <c r="AE1269" i="3"/>
  <c r="AE1268" i="3"/>
  <c r="AE1267" i="3"/>
  <c r="AE1266" i="3"/>
  <c r="AE1265" i="3"/>
  <c r="AE1264" i="3"/>
  <c r="AE1263" i="3"/>
  <c r="AD1262" i="3"/>
  <c r="AD1264" i="3"/>
  <c r="AD1263" i="3"/>
  <c r="AC1318" i="3"/>
  <c r="AB1319" i="3"/>
  <c r="AB1318" i="3"/>
  <c r="AC1311" i="3"/>
  <c r="AB1312" i="3"/>
  <c r="AB1311" i="3"/>
  <c r="AC1304" i="3"/>
  <c r="AB1305" i="3"/>
  <c r="AB1304" i="3"/>
  <c r="AC1297" i="3"/>
  <c r="AB1298" i="3"/>
  <c r="AB1297" i="3"/>
  <c r="AC1290" i="3"/>
  <c r="AB1291" i="3"/>
  <c r="AB1290" i="3"/>
  <c r="AC1283" i="3"/>
  <c r="AB1284" i="3"/>
  <c r="AB1283" i="3"/>
  <c r="AC1276" i="3"/>
  <c r="AB1277" i="3"/>
  <c r="AB1276" i="3"/>
  <c r="AC1269" i="3"/>
  <c r="AB1270" i="3"/>
  <c r="AB1269" i="3"/>
  <c r="AC1262" i="3"/>
  <c r="AB1263" i="3"/>
  <c r="AB1262" i="3"/>
  <c r="AA1318" i="3"/>
  <c r="Z1324" i="3"/>
  <c r="Y1324" i="3"/>
  <c r="Z1323" i="3"/>
  <c r="Y1323" i="3"/>
  <c r="Z1322" i="3"/>
  <c r="Y1322" i="3"/>
  <c r="Z1321" i="3"/>
  <c r="Y1321" i="3"/>
  <c r="Z1320" i="3"/>
  <c r="Y1320" i="3"/>
  <c r="Z1319" i="3"/>
  <c r="Y1319" i="3"/>
  <c r="Z1318" i="3"/>
  <c r="Y1318" i="3"/>
  <c r="AA1311" i="3"/>
  <c r="Z1317" i="3"/>
  <c r="Y1317" i="3"/>
  <c r="Z1316" i="3"/>
  <c r="Y1316" i="3"/>
  <c r="Z1315" i="3"/>
  <c r="Y1315" i="3"/>
  <c r="Z1314" i="3"/>
  <c r="Y1314" i="3"/>
  <c r="Z1313" i="3"/>
  <c r="Y1313" i="3"/>
  <c r="Z1312" i="3"/>
  <c r="Y1312" i="3"/>
  <c r="Z1311" i="3"/>
  <c r="Y1311" i="3"/>
  <c r="AA1304" i="3"/>
  <c r="Z1310" i="3"/>
  <c r="Y1310" i="3"/>
  <c r="Z1309" i="3"/>
  <c r="Y1309" i="3"/>
  <c r="Z1308" i="3"/>
  <c r="Y1308" i="3"/>
  <c r="Z1307" i="3"/>
  <c r="Y1307" i="3"/>
  <c r="Z1306" i="3"/>
  <c r="Y1306" i="3"/>
  <c r="Z1305" i="3"/>
  <c r="Y1305" i="3"/>
  <c r="Z1304" i="3"/>
  <c r="Y1304" i="3"/>
  <c r="AA1297" i="3"/>
  <c r="Z1303" i="3"/>
  <c r="Y1303" i="3"/>
  <c r="Z1302" i="3"/>
  <c r="Y1302" i="3"/>
  <c r="Z1301" i="3"/>
  <c r="Y1301" i="3"/>
  <c r="Z1300" i="3"/>
  <c r="Y1300" i="3"/>
  <c r="Z1299" i="3"/>
  <c r="Y1299" i="3"/>
  <c r="Z1298" i="3"/>
  <c r="Y1298" i="3"/>
  <c r="Z1297" i="3"/>
  <c r="Y1297" i="3"/>
  <c r="AA1290" i="3"/>
  <c r="Z1296" i="3"/>
  <c r="Y1296" i="3"/>
  <c r="Z1295" i="3"/>
  <c r="Y1295" i="3"/>
  <c r="Z1294" i="3"/>
  <c r="Y1294" i="3"/>
  <c r="Z1293" i="3"/>
  <c r="Y1293" i="3"/>
  <c r="Z1292" i="3"/>
  <c r="Y1292" i="3"/>
  <c r="Z1291" i="3"/>
  <c r="Y1291" i="3"/>
  <c r="Z1290" i="3"/>
  <c r="Y1290" i="3"/>
  <c r="AA1283" i="3"/>
  <c r="Z1289" i="3"/>
  <c r="Y1289" i="3"/>
  <c r="Z1288" i="3"/>
  <c r="Y1288" i="3"/>
  <c r="Z1287" i="3"/>
  <c r="Y1287" i="3"/>
  <c r="Z1286" i="3"/>
  <c r="Y1286" i="3"/>
  <c r="Z1285" i="3"/>
  <c r="Y1285" i="3"/>
  <c r="Z1284" i="3"/>
  <c r="Y1284" i="3"/>
  <c r="Z1283" i="3"/>
  <c r="Y1283" i="3"/>
  <c r="AA1276" i="3"/>
  <c r="Z1282" i="3"/>
  <c r="Y1282" i="3"/>
  <c r="Z1281" i="3"/>
  <c r="Y1281" i="3"/>
  <c r="Z1280" i="3"/>
  <c r="Y1280" i="3"/>
  <c r="Z1279" i="3"/>
  <c r="Y1279" i="3"/>
  <c r="Z1278" i="3"/>
  <c r="Y1278" i="3"/>
  <c r="Z1277" i="3"/>
  <c r="Y1277" i="3"/>
  <c r="Z1276" i="3"/>
  <c r="Y1276" i="3"/>
  <c r="AA1269" i="3"/>
  <c r="Z1275" i="3"/>
  <c r="Y1275" i="3"/>
  <c r="Z1274" i="3"/>
  <c r="Y1274" i="3"/>
  <c r="Z1273" i="3"/>
  <c r="Y1273" i="3"/>
  <c r="Z1272" i="3"/>
  <c r="Y1272" i="3"/>
  <c r="Z1271" i="3"/>
  <c r="Y1271" i="3"/>
  <c r="Z1270" i="3"/>
  <c r="Y1270" i="3"/>
  <c r="Z1269" i="3"/>
  <c r="Y1269" i="3"/>
  <c r="AA1262" i="3"/>
  <c r="Z1268" i="3"/>
  <c r="Y1268" i="3"/>
  <c r="Z1267" i="3"/>
  <c r="Y1267" i="3"/>
  <c r="Z1266" i="3"/>
  <c r="Y1266" i="3"/>
  <c r="Z1265" i="3"/>
  <c r="Y1265" i="3"/>
  <c r="Z1264" i="3"/>
  <c r="Y1264" i="3"/>
  <c r="Z1263" i="3"/>
  <c r="Y1263" i="3"/>
  <c r="Z1262" i="3"/>
  <c r="Y1262" i="3"/>
  <c r="X1318" i="3"/>
  <c r="X1311" i="3"/>
  <c r="X1304" i="3"/>
  <c r="X1297" i="3"/>
  <c r="X1290" i="3"/>
  <c r="X1283" i="3"/>
  <c r="X1276" i="3"/>
  <c r="X1269" i="3"/>
  <c r="X1262" i="3"/>
  <c r="AF1199" i="3"/>
  <c r="AE1199" i="3"/>
  <c r="AE1220" i="3"/>
  <c r="AE1219" i="3"/>
  <c r="AE1218" i="3"/>
  <c r="AE1217" i="3"/>
  <c r="AE1216" i="3"/>
  <c r="AE1215" i="3"/>
  <c r="AE1214" i="3"/>
  <c r="AE1213" i="3"/>
  <c r="AE1212" i="3"/>
  <c r="AE1211" i="3"/>
  <c r="AE1210" i="3"/>
  <c r="AE1209" i="3"/>
  <c r="AE1208" i="3"/>
  <c r="AE1207" i="3"/>
  <c r="AE1206" i="3"/>
  <c r="AE1205" i="3"/>
  <c r="AE1204" i="3"/>
  <c r="AE1203" i="3"/>
  <c r="AE1202" i="3"/>
  <c r="AE1201" i="3"/>
  <c r="AE1200" i="3"/>
  <c r="AD1199" i="3"/>
  <c r="AD1201" i="3"/>
  <c r="AD1200" i="3"/>
  <c r="AC1255" i="3"/>
  <c r="AB1256" i="3"/>
  <c r="AB1255" i="3"/>
  <c r="AC1248" i="3"/>
  <c r="AB1249" i="3"/>
  <c r="AB1248" i="3"/>
  <c r="AC1241" i="3"/>
  <c r="AB1242" i="3"/>
  <c r="AB1241" i="3"/>
  <c r="AC1234" i="3"/>
  <c r="AB1235" i="3"/>
  <c r="AB1234" i="3"/>
  <c r="AC1227" i="3"/>
  <c r="AB1228" i="3"/>
  <c r="AB1227" i="3"/>
  <c r="AC1220" i="3"/>
  <c r="AB1221" i="3"/>
  <c r="AB1220" i="3"/>
  <c r="AC1213" i="3"/>
  <c r="AB1214" i="3"/>
  <c r="AB1213" i="3"/>
  <c r="AC1206" i="3"/>
  <c r="AB1207" i="3"/>
  <c r="AB1206" i="3"/>
  <c r="AC1199" i="3"/>
  <c r="AB1200" i="3"/>
  <c r="AB1199" i="3"/>
  <c r="AA1255" i="3"/>
  <c r="Z1261" i="3"/>
  <c r="Y1261" i="3"/>
  <c r="Z1260" i="3"/>
  <c r="Y1260" i="3"/>
  <c r="Z1259" i="3"/>
  <c r="Y1259" i="3"/>
  <c r="Z1258" i="3"/>
  <c r="Y1258" i="3"/>
  <c r="Z1257" i="3"/>
  <c r="Y1257" i="3"/>
  <c r="Z1256" i="3"/>
  <c r="Y1256" i="3"/>
  <c r="Z1255" i="3"/>
  <c r="Y1255" i="3"/>
  <c r="AA1248" i="3"/>
  <c r="Z1254" i="3"/>
  <c r="Y1254" i="3"/>
  <c r="Z1253" i="3"/>
  <c r="Y1253" i="3"/>
  <c r="Z1252" i="3"/>
  <c r="Y1252" i="3"/>
  <c r="Z1251" i="3"/>
  <c r="Y1251" i="3"/>
  <c r="Z1250" i="3"/>
  <c r="Y1250" i="3"/>
  <c r="Z1249" i="3"/>
  <c r="Y1249" i="3"/>
  <c r="Z1248" i="3"/>
  <c r="Y1248" i="3"/>
  <c r="AA1241" i="3"/>
  <c r="Z1247" i="3"/>
  <c r="Y1247" i="3"/>
  <c r="Z1246" i="3"/>
  <c r="Y1246" i="3"/>
  <c r="Z1245" i="3"/>
  <c r="Y1245" i="3"/>
  <c r="Z1244" i="3"/>
  <c r="Y1244" i="3"/>
  <c r="Z1243" i="3"/>
  <c r="Y1243" i="3"/>
  <c r="Z1242" i="3"/>
  <c r="Y1242" i="3"/>
  <c r="Z1241" i="3"/>
  <c r="Y1241" i="3"/>
  <c r="AA1234" i="3"/>
  <c r="Z1240" i="3"/>
  <c r="Y1240" i="3"/>
  <c r="Z1239" i="3"/>
  <c r="Y1239" i="3"/>
  <c r="Z1238" i="3"/>
  <c r="Y1238" i="3"/>
  <c r="Z1237" i="3"/>
  <c r="Y1237" i="3"/>
  <c r="Z1236" i="3"/>
  <c r="Y1236" i="3"/>
  <c r="Z1235" i="3"/>
  <c r="Y1235" i="3"/>
  <c r="Z1234" i="3"/>
  <c r="Y1234" i="3"/>
  <c r="AA1227" i="3"/>
  <c r="Z1233" i="3"/>
  <c r="Y1233" i="3"/>
  <c r="Z1232" i="3"/>
  <c r="Y1232" i="3"/>
  <c r="Z1231" i="3"/>
  <c r="Y1231" i="3"/>
  <c r="Z1230" i="3"/>
  <c r="Y1230" i="3"/>
  <c r="Z1229" i="3"/>
  <c r="Y1229" i="3"/>
  <c r="Z1228" i="3"/>
  <c r="Y1228" i="3"/>
  <c r="Z1227" i="3"/>
  <c r="Y1227" i="3"/>
  <c r="AA1220" i="3"/>
  <c r="Z1226" i="3"/>
  <c r="Y1226" i="3"/>
  <c r="Z1225" i="3"/>
  <c r="Y1225" i="3"/>
  <c r="Z1224" i="3"/>
  <c r="Y1224" i="3"/>
  <c r="Z1223" i="3"/>
  <c r="Y1223" i="3"/>
  <c r="Z1222" i="3"/>
  <c r="Y1222" i="3"/>
  <c r="Z1221" i="3"/>
  <c r="Y1221" i="3"/>
  <c r="Z1220" i="3"/>
  <c r="Y1220" i="3"/>
  <c r="AA1213" i="3"/>
  <c r="Z1219" i="3"/>
  <c r="Y1219" i="3"/>
  <c r="Z1218" i="3"/>
  <c r="Y1218" i="3"/>
  <c r="Z1217" i="3"/>
  <c r="Y1217" i="3"/>
  <c r="Z1216" i="3"/>
  <c r="Y1216" i="3"/>
  <c r="Z1215" i="3"/>
  <c r="Y1215" i="3"/>
  <c r="Z1214" i="3"/>
  <c r="Y1214" i="3"/>
  <c r="Z1213" i="3"/>
  <c r="Y1213" i="3"/>
  <c r="AA1206" i="3"/>
  <c r="Z1212" i="3"/>
  <c r="Y1212" i="3"/>
  <c r="Z1211" i="3"/>
  <c r="Y1211" i="3"/>
  <c r="Z1210" i="3"/>
  <c r="Y1210" i="3"/>
  <c r="Z1209" i="3"/>
  <c r="Y1209" i="3"/>
  <c r="Z1208" i="3"/>
  <c r="Y1208" i="3"/>
  <c r="Z1207" i="3"/>
  <c r="Y1207" i="3"/>
  <c r="Z1206" i="3"/>
  <c r="Y1206" i="3"/>
  <c r="AA1199" i="3"/>
  <c r="Z1205" i="3"/>
  <c r="Y1205" i="3"/>
  <c r="Z1204" i="3"/>
  <c r="Y1204" i="3"/>
  <c r="Z1203" i="3"/>
  <c r="Y1203" i="3"/>
  <c r="Z1202" i="3"/>
  <c r="Y1202" i="3"/>
  <c r="Z1201" i="3"/>
  <c r="Y1201" i="3"/>
  <c r="Z1200" i="3"/>
  <c r="Y1200" i="3"/>
  <c r="Z1199" i="3"/>
  <c r="Y1199" i="3"/>
  <c r="X1255" i="3"/>
  <c r="X1248" i="3"/>
  <c r="X1241" i="3"/>
  <c r="X1234" i="3"/>
  <c r="X1227" i="3"/>
  <c r="X1220" i="3"/>
  <c r="X1213" i="3"/>
  <c r="X1206" i="3"/>
  <c r="X1199" i="3"/>
  <c r="AF1136" i="3"/>
  <c r="AE1136" i="3"/>
  <c r="AE1157" i="3"/>
  <c r="AE1156" i="3"/>
  <c r="AE1155" i="3"/>
  <c r="AE1154" i="3"/>
  <c r="AE1153" i="3"/>
  <c r="AE1152" i="3"/>
  <c r="AE1151" i="3"/>
  <c r="AE1150" i="3"/>
  <c r="AE1149" i="3"/>
  <c r="AE1148" i="3"/>
  <c r="AE1147" i="3"/>
  <c r="AE1146" i="3"/>
  <c r="AE1145" i="3"/>
  <c r="AE1144" i="3"/>
  <c r="AE1143" i="3"/>
  <c r="AE1142" i="3"/>
  <c r="AE1141" i="3"/>
  <c r="AE1140" i="3"/>
  <c r="AE1139" i="3"/>
  <c r="AE1138" i="3"/>
  <c r="AE1137" i="3"/>
  <c r="AD1136" i="3"/>
  <c r="AD1138" i="3"/>
  <c r="AD1137" i="3"/>
  <c r="AC1192" i="3"/>
  <c r="AB1193" i="3"/>
  <c r="AB1192" i="3"/>
  <c r="AC1185" i="3"/>
  <c r="AB1186" i="3"/>
  <c r="AB1185" i="3"/>
  <c r="AC1178" i="3"/>
  <c r="AB1179" i="3"/>
  <c r="AB1178" i="3"/>
  <c r="AC1171" i="3"/>
  <c r="AB1172" i="3"/>
  <c r="AB1171" i="3"/>
  <c r="AC1164" i="3"/>
  <c r="AB1165" i="3"/>
  <c r="AB1164" i="3"/>
  <c r="AC1157" i="3"/>
  <c r="AB1158" i="3"/>
  <c r="AB1157" i="3"/>
  <c r="AC1150" i="3"/>
  <c r="AB1151" i="3"/>
  <c r="AB1150" i="3"/>
  <c r="AC1143" i="3"/>
  <c r="AB1144" i="3"/>
  <c r="AB1143" i="3"/>
  <c r="AC1136" i="3"/>
  <c r="AB1137" i="3"/>
  <c r="AB1136" i="3"/>
  <c r="AA1192" i="3"/>
  <c r="Z1198" i="3"/>
  <c r="Y1198" i="3"/>
  <c r="Z1197" i="3"/>
  <c r="Y1197" i="3"/>
  <c r="Z1196" i="3"/>
  <c r="Y1196" i="3"/>
  <c r="Z1195" i="3"/>
  <c r="Y1195" i="3"/>
  <c r="Z1194" i="3"/>
  <c r="Y1194" i="3"/>
  <c r="Z1193" i="3"/>
  <c r="Y1193" i="3"/>
  <c r="Z1192" i="3"/>
  <c r="Y1192" i="3"/>
  <c r="AA1185" i="3"/>
  <c r="Z1191" i="3"/>
  <c r="Y1191" i="3"/>
  <c r="Z1190" i="3"/>
  <c r="Y1190" i="3"/>
  <c r="Z1189" i="3"/>
  <c r="Y1189" i="3"/>
  <c r="Z1188" i="3"/>
  <c r="Y1188" i="3"/>
  <c r="Z1187" i="3"/>
  <c r="Y1187" i="3"/>
  <c r="Z1186" i="3"/>
  <c r="Y1186" i="3"/>
  <c r="Z1185" i="3"/>
  <c r="Y1185" i="3"/>
  <c r="AA1178" i="3"/>
  <c r="Z1184" i="3"/>
  <c r="Y1184" i="3"/>
  <c r="Z1183" i="3"/>
  <c r="Y1183" i="3"/>
  <c r="Z1182" i="3"/>
  <c r="Y1182" i="3"/>
  <c r="Z1181" i="3"/>
  <c r="Y1181" i="3"/>
  <c r="Z1180" i="3"/>
  <c r="Y1180" i="3"/>
  <c r="Z1179" i="3"/>
  <c r="Y1179" i="3"/>
  <c r="Z1178" i="3"/>
  <c r="Y1178" i="3"/>
  <c r="AA1171" i="3"/>
  <c r="Z1177" i="3"/>
  <c r="Y1177" i="3"/>
  <c r="Z1176" i="3"/>
  <c r="Y1176" i="3"/>
  <c r="Z1175" i="3"/>
  <c r="Y1175" i="3"/>
  <c r="Z1174" i="3"/>
  <c r="Y1174" i="3"/>
  <c r="Z1173" i="3"/>
  <c r="Y1173" i="3"/>
  <c r="Z1172" i="3"/>
  <c r="Y1172" i="3"/>
  <c r="Z1171" i="3"/>
  <c r="Y1171" i="3"/>
  <c r="AA1164" i="3"/>
  <c r="Z1170" i="3"/>
  <c r="Y1170" i="3"/>
  <c r="Z1169" i="3"/>
  <c r="Y1169" i="3"/>
  <c r="Z1168" i="3"/>
  <c r="Y1168" i="3"/>
  <c r="Z1167" i="3"/>
  <c r="Y1167" i="3"/>
  <c r="Z1166" i="3"/>
  <c r="Y1166" i="3"/>
  <c r="Z1165" i="3"/>
  <c r="Y1165" i="3"/>
  <c r="Z1164" i="3"/>
  <c r="Y1164" i="3"/>
  <c r="AA1157" i="3"/>
  <c r="Z1163" i="3"/>
  <c r="Y1163" i="3"/>
  <c r="Z1162" i="3"/>
  <c r="Y1162" i="3"/>
  <c r="Z1161" i="3"/>
  <c r="Y1161" i="3"/>
  <c r="Z1160" i="3"/>
  <c r="Y1160" i="3"/>
  <c r="Z1159" i="3"/>
  <c r="Y1159" i="3"/>
  <c r="Z1158" i="3"/>
  <c r="Y1158" i="3"/>
  <c r="Z1157" i="3"/>
  <c r="Y1157" i="3"/>
  <c r="AA1150" i="3"/>
  <c r="Z1156" i="3"/>
  <c r="Y1156" i="3"/>
  <c r="Z1155" i="3"/>
  <c r="Y1155" i="3"/>
  <c r="Z1154" i="3"/>
  <c r="Y1154" i="3"/>
  <c r="Z1153" i="3"/>
  <c r="Y1153" i="3"/>
  <c r="Z1152" i="3"/>
  <c r="Y1152" i="3"/>
  <c r="Z1151" i="3"/>
  <c r="Y1151" i="3"/>
  <c r="Z1150" i="3"/>
  <c r="Y1150" i="3"/>
  <c r="AA1143" i="3"/>
  <c r="Z1149" i="3"/>
  <c r="Y1149" i="3"/>
  <c r="Z1148" i="3"/>
  <c r="Y1148" i="3"/>
  <c r="Z1147" i="3"/>
  <c r="Y1147" i="3"/>
  <c r="Z1146" i="3"/>
  <c r="Y1146" i="3"/>
  <c r="Z1145" i="3"/>
  <c r="Y1145" i="3"/>
  <c r="Z1144" i="3"/>
  <c r="Y1144" i="3"/>
  <c r="Z1143" i="3"/>
  <c r="Y1143" i="3"/>
  <c r="AA1136" i="3"/>
  <c r="Z1142" i="3"/>
  <c r="Y1142" i="3"/>
  <c r="Z1141" i="3"/>
  <c r="Y1141" i="3"/>
  <c r="Z1140" i="3"/>
  <c r="Y1140" i="3"/>
  <c r="Z1139" i="3"/>
  <c r="Y1139" i="3"/>
  <c r="Z1138" i="3"/>
  <c r="Y1138" i="3"/>
  <c r="Z1137" i="3"/>
  <c r="Y1137" i="3"/>
  <c r="Z1136" i="3"/>
  <c r="Y1136" i="3"/>
  <c r="X1192" i="3"/>
  <c r="X1185" i="3"/>
  <c r="X1178" i="3"/>
  <c r="X1171" i="3"/>
  <c r="X1164" i="3"/>
  <c r="X1157" i="3"/>
  <c r="X1150" i="3"/>
  <c r="X1143" i="3"/>
  <c r="X1136" i="3"/>
  <c r="AF1073" i="3"/>
  <c r="AE1073" i="3"/>
  <c r="AE1094" i="3"/>
  <c r="AE1093" i="3"/>
  <c r="AE1092" i="3"/>
  <c r="AE1091" i="3"/>
  <c r="AE1090" i="3"/>
  <c r="AE1089" i="3"/>
  <c r="AE1088" i="3"/>
  <c r="AE1087" i="3"/>
  <c r="AE1086" i="3"/>
  <c r="AE1085" i="3"/>
  <c r="AE1084" i="3"/>
  <c r="AE1083" i="3"/>
  <c r="AE1082" i="3"/>
  <c r="AE1081" i="3"/>
  <c r="AE1080" i="3"/>
  <c r="AE1079" i="3"/>
  <c r="AE1078" i="3"/>
  <c r="AE1077" i="3"/>
  <c r="AE1076" i="3"/>
  <c r="AE1075" i="3"/>
  <c r="AE1074" i="3"/>
  <c r="AD1073" i="3"/>
  <c r="AD1075" i="3"/>
  <c r="AD1074" i="3"/>
  <c r="AC1129" i="3"/>
  <c r="AB1130" i="3"/>
  <c r="AB1129" i="3"/>
  <c r="AC1122" i="3"/>
  <c r="AB1123" i="3"/>
  <c r="AB1122" i="3"/>
  <c r="AC1115" i="3"/>
  <c r="AB1116" i="3"/>
  <c r="AB1115" i="3"/>
  <c r="AC1108" i="3"/>
  <c r="AB1109" i="3"/>
  <c r="AB1108" i="3"/>
  <c r="AC1101" i="3"/>
  <c r="AB1102" i="3"/>
  <c r="AB1101" i="3"/>
  <c r="AC1094" i="3"/>
  <c r="AB1095" i="3"/>
  <c r="AB1094" i="3"/>
  <c r="AC1087" i="3"/>
  <c r="AB1088" i="3"/>
  <c r="AB1087" i="3"/>
  <c r="AC1080" i="3"/>
  <c r="AB1081" i="3"/>
  <c r="AB1080" i="3"/>
  <c r="AC1073" i="3"/>
  <c r="AB1074" i="3"/>
  <c r="AB1073" i="3"/>
  <c r="AA1129" i="3"/>
  <c r="Z1135" i="3"/>
  <c r="Y1135" i="3"/>
  <c r="Z1134" i="3"/>
  <c r="Y1134" i="3"/>
  <c r="Z1133" i="3"/>
  <c r="Y1133" i="3"/>
  <c r="Z1132" i="3"/>
  <c r="Y1132" i="3"/>
  <c r="Z1131" i="3"/>
  <c r="Y1131" i="3"/>
  <c r="Z1130" i="3"/>
  <c r="Y1130" i="3"/>
  <c r="Z1129" i="3"/>
  <c r="Y1129" i="3"/>
  <c r="AA1122" i="3"/>
  <c r="Z1128" i="3"/>
  <c r="Y1128" i="3"/>
  <c r="Z1127" i="3"/>
  <c r="Y1127" i="3"/>
  <c r="Z1126" i="3"/>
  <c r="Y1126" i="3"/>
  <c r="Z1125" i="3"/>
  <c r="Y1125" i="3"/>
  <c r="Z1124" i="3"/>
  <c r="Y1124" i="3"/>
  <c r="Z1123" i="3"/>
  <c r="Y1123" i="3"/>
  <c r="Z1122" i="3"/>
  <c r="Y1122" i="3"/>
  <c r="AA1115" i="3"/>
  <c r="Z1121" i="3"/>
  <c r="Y1121" i="3"/>
  <c r="Z1120" i="3"/>
  <c r="Y1120" i="3"/>
  <c r="Z1119" i="3"/>
  <c r="Y1119" i="3"/>
  <c r="Z1118" i="3"/>
  <c r="Y1118" i="3"/>
  <c r="Z1117" i="3"/>
  <c r="Y1117" i="3"/>
  <c r="Z1116" i="3"/>
  <c r="Y1116" i="3"/>
  <c r="Z1115" i="3"/>
  <c r="Y1115" i="3"/>
  <c r="AA1108" i="3"/>
  <c r="Z1114" i="3"/>
  <c r="Y1114" i="3"/>
  <c r="Z1113" i="3"/>
  <c r="Y1113" i="3"/>
  <c r="Z1112" i="3"/>
  <c r="Y1112" i="3"/>
  <c r="Z1111" i="3"/>
  <c r="Y1111" i="3"/>
  <c r="Z1110" i="3"/>
  <c r="Y1110" i="3"/>
  <c r="Z1109" i="3"/>
  <c r="Y1109" i="3"/>
  <c r="Z1108" i="3"/>
  <c r="Y1108" i="3"/>
  <c r="AA1101" i="3"/>
  <c r="Z1107" i="3"/>
  <c r="Y1107" i="3"/>
  <c r="Z1106" i="3"/>
  <c r="Y1106" i="3"/>
  <c r="Z1105" i="3"/>
  <c r="Y1105" i="3"/>
  <c r="Z1104" i="3"/>
  <c r="Y1104" i="3"/>
  <c r="Z1103" i="3"/>
  <c r="Y1103" i="3"/>
  <c r="Z1102" i="3"/>
  <c r="Y1102" i="3"/>
  <c r="Z1101" i="3"/>
  <c r="Y1101" i="3"/>
  <c r="AA1094" i="3"/>
  <c r="Z1100" i="3"/>
  <c r="Y1100" i="3"/>
  <c r="Z1099" i="3"/>
  <c r="Y1099" i="3"/>
  <c r="Z1098" i="3"/>
  <c r="Y1098" i="3"/>
  <c r="Z1097" i="3"/>
  <c r="Y1097" i="3"/>
  <c r="Z1096" i="3"/>
  <c r="Y1096" i="3"/>
  <c r="Z1095" i="3"/>
  <c r="Y1095" i="3"/>
  <c r="Z1094" i="3"/>
  <c r="Y1094" i="3"/>
  <c r="AA1087" i="3"/>
  <c r="Z1093" i="3"/>
  <c r="Y1093" i="3"/>
  <c r="Z1092" i="3"/>
  <c r="Y1092" i="3"/>
  <c r="Z1091" i="3"/>
  <c r="Y1091" i="3"/>
  <c r="Z1090" i="3"/>
  <c r="Y1090" i="3"/>
  <c r="Z1089" i="3"/>
  <c r="Y1089" i="3"/>
  <c r="Z1088" i="3"/>
  <c r="Y1088" i="3"/>
  <c r="Z1087" i="3"/>
  <c r="Y1087" i="3"/>
  <c r="AA1080" i="3"/>
  <c r="Z1086" i="3"/>
  <c r="Y1086" i="3"/>
  <c r="Z1085" i="3"/>
  <c r="Y1085" i="3"/>
  <c r="Z1084" i="3"/>
  <c r="Y1084" i="3"/>
  <c r="Z1083" i="3"/>
  <c r="Y1083" i="3"/>
  <c r="Z1082" i="3"/>
  <c r="Y1082" i="3"/>
  <c r="Z1081" i="3"/>
  <c r="Y1081" i="3"/>
  <c r="Z1080" i="3"/>
  <c r="Y1080" i="3"/>
  <c r="AA1073" i="3"/>
  <c r="Z1079" i="3"/>
  <c r="Y1079" i="3"/>
  <c r="Z1078" i="3"/>
  <c r="Y1078" i="3"/>
  <c r="Z1077" i="3"/>
  <c r="Y1077" i="3"/>
  <c r="Z1076" i="3"/>
  <c r="Y1076" i="3"/>
  <c r="Z1075" i="3"/>
  <c r="Y1075" i="3"/>
  <c r="Z1074" i="3"/>
  <c r="Y1074" i="3"/>
  <c r="Z1073" i="3"/>
  <c r="Y1073" i="3"/>
  <c r="X1129" i="3"/>
  <c r="X1122" i="3"/>
  <c r="X1115" i="3"/>
  <c r="X1108" i="3"/>
  <c r="X1101" i="3"/>
  <c r="X1094" i="3"/>
  <c r="X1087" i="3"/>
  <c r="X1080" i="3"/>
  <c r="X1073" i="3"/>
  <c r="AF1010" i="3"/>
  <c r="AE1010" i="3"/>
  <c r="AE1031" i="3"/>
  <c r="AE1030" i="3"/>
  <c r="AE1029" i="3"/>
  <c r="AE1028" i="3"/>
  <c r="AE1027" i="3"/>
  <c r="AE1026" i="3"/>
  <c r="AE1025" i="3"/>
  <c r="AE1024" i="3"/>
  <c r="AE1023" i="3"/>
  <c r="AE1022" i="3"/>
  <c r="AE1021" i="3"/>
  <c r="AE1020" i="3"/>
  <c r="AE1019" i="3"/>
  <c r="AE1018" i="3"/>
  <c r="AE1017" i="3"/>
  <c r="AE1016" i="3"/>
  <c r="AE1015" i="3"/>
  <c r="AE1014" i="3"/>
  <c r="AE1013" i="3"/>
  <c r="AE1012" i="3"/>
  <c r="AE1011" i="3"/>
  <c r="AD1010" i="3"/>
  <c r="AD1012" i="3"/>
  <c r="AD1011" i="3"/>
  <c r="AC1066" i="3"/>
  <c r="AB1067" i="3"/>
  <c r="AB1066" i="3"/>
  <c r="AC1059" i="3"/>
  <c r="AB1060" i="3"/>
  <c r="AB1059" i="3"/>
  <c r="AC1052" i="3"/>
  <c r="AB1053" i="3"/>
  <c r="AB1052" i="3"/>
  <c r="AC1045" i="3"/>
  <c r="AB1046" i="3"/>
  <c r="AB1045" i="3"/>
  <c r="AC1038" i="3"/>
  <c r="AB1039" i="3"/>
  <c r="AB1038" i="3"/>
  <c r="AC1031" i="3"/>
  <c r="AB1032" i="3"/>
  <c r="AB1031" i="3"/>
  <c r="AC1024" i="3"/>
  <c r="AB1025" i="3"/>
  <c r="AB1024" i="3"/>
  <c r="AC1017" i="3"/>
  <c r="AB1018" i="3"/>
  <c r="AB1017" i="3"/>
  <c r="AC1010" i="3"/>
  <c r="AB1011" i="3"/>
  <c r="AB1010" i="3"/>
  <c r="AA1066" i="3"/>
  <c r="Z1072" i="3"/>
  <c r="Y1072" i="3"/>
  <c r="Z1071" i="3"/>
  <c r="Y1071" i="3"/>
  <c r="Z1070" i="3"/>
  <c r="Y1070" i="3"/>
  <c r="Z1069" i="3"/>
  <c r="Y1069" i="3"/>
  <c r="Z1068" i="3"/>
  <c r="Y1068" i="3"/>
  <c r="Z1067" i="3"/>
  <c r="Y1067" i="3"/>
  <c r="Z1066" i="3"/>
  <c r="Y1066" i="3"/>
  <c r="AA1059" i="3"/>
  <c r="Z1065" i="3"/>
  <c r="Y1065" i="3"/>
  <c r="Z1064" i="3"/>
  <c r="Y1064" i="3"/>
  <c r="Z1063" i="3"/>
  <c r="Y1063" i="3"/>
  <c r="Z1062" i="3"/>
  <c r="Y1062" i="3"/>
  <c r="Z1061" i="3"/>
  <c r="Y1061" i="3"/>
  <c r="Z1060" i="3"/>
  <c r="Y1060" i="3"/>
  <c r="Z1059" i="3"/>
  <c r="Y1059" i="3"/>
  <c r="AA1052" i="3"/>
  <c r="Z1058" i="3"/>
  <c r="Y1058" i="3"/>
  <c r="Z1057" i="3"/>
  <c r="Y1057" i="3"/>
  <c r="Z1056" i="3"/>
  <c r="Y1056" i="3"/>
  <c r="Z1055" i="3"/>
  <c r="Y1055" i="3"/>
  <c r="Z1054" i="3"/>
  <c r="Y1054" i="3"/>
  <c r="Z1053" i="3"/>
  <c r="Y1053" i="3"/>
  <c r="Z1052" i="3"/>
  <c r="Y1052" i="3"/>
  <c r="AA1045" i="3"/>
  <c r="Z1051" i="3"/>
  <c r="Y1051" i="3"/>
  <c r="Z1050" i="3"/>
  <c r="Y1050" i="3"/>
  <c r="Z1049" i="3"/>
  <c r="Y1049" i="3"/>
  <c r="Z1048" i="3"/>
  <c r="Y1048" i="3"/>
  <c r="Z1047" i="3"/>
  <c r="Y1047" i="3"/>
  <c r="Z1046" i="3"/>
  <c r="Y1046" i="3"/>
  <c r="Z1045" i="3"/>
  <c r="Y1045" i="3"/>
  <c r="AA1038" i="3"/>
  <c r="Z1044" i="3"/>
  <c r="Y1044" i="3"/>
  <c r="Z1043" i="3"/>
  <c r="Y1043" i="3"/>
  <c r="Z1042" i="3"/>
  <c r="Y1042" i="3"/>
  <c r="Z1041" i="3"/>
  <c r="Y1041" i="3"/>
  <c r="Z1040" i="3"/>
  <c r="Y1040" i="3"/>
  <c r="Z1039" i="3"/>
  <c r="Y1039" i="3"/>
  <c r="Z1038" i="3"/>
  <c r="Y1038" i="3"/>
  <c r="AA1031" i="3"/>
  <c r="Z1037" i="3"/>
  <c r="Y1037" i="3"/>
  <c r="Z1036" i="3"/>
  <c r="Y1036" i="3"/>
  <c r="Z1035" i="3"/>
  <c r="Y1035" i="3"/>
  <c r="Z1034" i="3"/>
  <c r="Y1034" i="3"/>
  <c r="Z1033" i="3"/>
  <c r="Y1033" i="3"/>
  <c r="Z1032" i="3"/>
  <c r="Y1032" i="3"/>
  <c r="Z1031" i="3"/>
  <c r="Y1031" i="3"/>
  <c r="AA1024" i="3"/>
  <c r="Z1030" i="3"/>
  <c r="Y1030" i="3"/>
  <c r="Z1029" i="3"/>
  <c r="Y1029" i="3"/>
  <c r="Z1028" i="3"/>
  <c r="Y1028" i="3"/>
  <c r="Z1027" i="3"/>
  <c r="Y1027" i="3"/>
  <c r="Z1026" i="3"/>
  <c r="Y1026" i="3"/>
  <c r="Z1025" i="3"/>
  <c r="Y1025" i="3"/>
  <c r="Z1024" i="3"/>
  <c r="Y1024" i="3"/>
  <c r="AA1017" i="3"/>
  <c r="Z1023" i="3"/>
  <c r="Y1023" i="3"/>
  <c r="Z1022" i="3"/>
  <c r="Y1022" i="3"/>
  <c r="Z1021" i="3"/>
  <c r="Y1021" i="3"/>
  <c r="Z1020" i="3"/>
  <c r="Y1020" i="3"/>
  <c r="Z1019" i="3"/>
  <c r="Y1019" i="3"/>
  <c r="Z1018" i="3"/>
  <c r="Y1018" i="3"/>
  <c r="Z1017" i="3"/>
  <c r="Y1017" i="3"/>
  <c r="AA1010" i="3"/>
  <c r="Z1016" i="3"/>
  <c r="Y1016" i="3"/>
  <c r="Z1015" i="3"/>
  <c r="Y1015" i="3"/>
  <c r="Z1014" i="3"/>
  <c r="Y1014" i="3"/>
  <c r="Z1013" i="3"/>
  <c r="Y1013" i="3"/>
  <c r="Z1012" i="3"/>
  <c r="Y1012" i="3"/>
  <c r="Z1011" i="3"/>
  <c r="Y1011" i="3"/>
  <c r="Z1010" i="3"/>
  <c r="Y1010" i="3"/>
  <c r="X1066" i="3"/>
  <c r="X1059" i="3"/>
  <c r="X1052" i="3"/>
  <c r="X1045" i="3"/>
  <c r="X1038" i="3"/>
  <c r="X1031" i="3"/>
  <c r="X1024" i="3"/>
  <c r="X1017" i="3"/>
  <c r="X1010" i="3"/>
  <c r="AF947" i="3"/>
  <c r="AE947" i="3"/>
  <c r="AE968" i="3"/>
  <c r="AE967" i="3"/>
  <c r="AE966" i="3"/>
  <c r="AE965" i="3"/>
  <c r="AE964" i="3"/>
  <c r="AE963" i="3"/>
  <c r="AE962" i="3"/>
  <c r="AE961" i="3"/>
  <c r="AE960" i="3"/>
  <c r="AE959" i="3"/>
  <c r="AE958" i="3"/>
  <c r="AE957" i="3"/>
  <c r="AE956" i="3"/>
  <c r="AE955" i="3"/>
  <c r="AE954" i="3"/>
  <c r="AE953" i="3"/>
  <c r="AE952" i="3"/>
  <c r="AE951" i="3"/>
  <c r="AE950" i="3"/>
  <c r="AE949" i="3"/>
  <c r="AE948" i="3"/>
  <c r="AD947" i="3"/>
  <c r="AD949" i="3"/>
  <c r="AD948" i="3"/>
  <c r="AC1003" i="3"/>
  <c r="AB1004" i="3"/>
  <c r="AB1003" i="3"/>
  <c r="AC996" i="3"/>
  <c r="AB997" i="3"/>
  <c r="AB996" i="3"/>
  <c r="AC989" i="3"/>
  <c r="AB990" i="3"/>
  <c r="AB989" i="3"/>
  <c r="AC982" i="3"/>
  <c r="AB983" i="3"/>
  <c r="AB982" i="3"/>
  <c r="AC975" i="3"/>
  <c r="AB976" i="3"/>
  <c r="AB975" i="3"/>
  <c r="AC968" i="3"/>
  <c r="AB969" i="3"/>
  <c r="AB968" i="3"/>
  <c r="AC961" i="3"/>
  <c r="AB962" i="3"/>
  <c r="AB961" i="3"/>
  <c r="AC954" i="3"/>
  <c r="AB955" i="3"/>
  <c r="AB954" i="3"/>
  <c r="AC947" i="3"/>
  <c r="AB948" i="3"/>
  <c r="AB947" i="3"/>
  <c r="AA1003" i="3"/>
  <c r="Z1009" i="3"/>
  <c r="Y1009" i="3"/>
  <c r="Z1008" i="3"/>
  <c r="Y1008" i="3"/>
  <c r="Z1007" i="3"/>
  <c r="Y1007" i="3"/>
  <c r="Z1006" i="3"/>
  <c r="Y1006" i="3"/>
  <c r="Z1005" i="3"/>
  <c r="Y1005" i="3"/>
  <c r="Z1004" i="3"/>
  <c r="Y1004" i="3"/>
  <c r="Z1003" i="3"/>
  <c r="Y1003" i="3"/>
  <c r="AA996" i="3"/>
  <c r="Z1002" i="3"/>
  <c r="Y1002" i="3"/>
  <c r="Z1001" i="3"/>
  <c r="Y1001" i="3"/>
  <c r="Z1000" i="3"/>
  <c r="Y1000" i="3"/>
  <c r="Z999" i="3"/>
  <c r="Y999" i="3"/>
  <c r="Z998" i="3"/>
  <c r="Y998" i="3"/>
  <c r="Z997" i="3"/>
  <c r="Y997" i="3"/>
  <c r="Z996" i="3"/>
  <c r="Y996" i="3"/>
  <c r="AA989" i="3"/>
  <c r="Z995" i="3"/>
  <c r="Y995" i="3"/>
  <c r="Z994" i="3"/>
  <c r="Y994" i="3"/>
  <c r="Z993" i="3"/>
  <c r="Y993" i="3"/>
  <c r="Z992" i="3"/>
  <c r="Y992" i="3"/>
  <c r="Z991" i="3"/>
  <c r="Y991" i="3"/>
  <c r="Z990" i="3"/>
  <c r="Y990" i="3"/>
  <c r="Z989" i="3"/>
  <c r="Y989" i="3"/>
  <c r="AA982" i="3"/>
  <c r="Z988" i="3"/>
  <c r="Y988" i="3"/>
  <c r="Z987" i="3"/>
  <c r="Y987" i="3"/>
  <c r="Z986" i="3"/>
  <c r="Y986" i="3"/>
  <c r="Z985" i="3"/>
  <c r="Y985" i="3"/>
  <c r="Z984" i="3"/>
  <c r="Y984" i="3"/>
  <c r="Z983" i="3"/>
  <c r="Y983" i="3"/>
  <c r="Z982" i="3"/>
  <c r="Y982" i="3"/>
  <c r="AA975" i="3"/>
  <c r="Z981" i="3"/>
  <c r="Y981" i="3"/>
  <c r="Z980" i="3"/>
  <c r="Y980" i="3"/>
  <c r="Z979" i="3"/>
  <c r="Y979" i="3"/>
  <c r="Z978" i="3"/>
  <c r="Y978" i="3"/>
  <c r="Z977" i="3"/>
  <c r="Y977" i="3"/>
  <c r="Z976" i="3"/>
  <c r="Y976" i="3"/>
  <c r="Z975" i="3"/>
  <c r="Y975" i="3"/>
  <c r="AA968" i="3"/>
  <c r="Z974" i="3"/>
  <c r="Y974" i="3"/>
  <c r="Z973" i="3"/>
  <c r="Y973" i="3"/>
  <c r="Z972" i="3"/>
  <c r="Y972" i="3"/>
  <c r="Z971" i="3"/>
  <c r="Y971" i="3"/>
  <c r="Z970" i="3"/>
  <c r="Y970" i="3"/>
  <c r="Z969" i="3"/>
  <c r="Y969" i="3"/>
  <c r="Z968" i="3"/>
  <c r="Y968" i="3"/>
  <c r="AA961" i="3"/>
  <c r="Z967" i="3"/>
  <c r="Y967" i="3"/>
  <c r="Z966" i="3"/>
  <c r="Y966" i="3"/>
  <c r="Z965" i="3"/>
  <c r="Y965" i="3"/>
  <c r="Z964" i="3"/>
  <c r="Y964" i="3"/>
  <c r="Z963" i="3"/>
  <c r="Y963" i="3"/>
  <c r="Z962" i="3"/>
  <c r="Y962" i="3"/>
  <c r="Z961" i="3"/>
  <c r="Y961" i="3"/>
  <c r="AA954" i="3"/>
  <c r="Z960" i="3"/>
  <c r="Y960" i="3"/>
  <c r="Z959" i="3"/>
  <c r="Y959" i="3"/>
  <c r="Z958" i="3"/>
  <c r="Y958" i="3"/>
  <c r="Z957" i="3"/>
  <c r="Y957" i="3"/>
  <c r="Z956" i="3"/>
  <c r="Y956" i="3"/>
  <c r="Z955" i="3"/>
  <c r="Y955" i="3"/>
  <c r="Z954" i="3"/>
  <c r="Y954" i="3"/>
  <c r="AA947" i="3"/>
  <c r="Z953" i="3"/>
  <c r="Y953" i="3"/>
  <c r="Z952" i="3"/>
  <c r="Y952" i="3"/>
  <c r="Z951" i="3"/>
  <c r="Y951" i="3"/>
  <c r="Z950" i="3"/>
  <c r="Y950" i="3"/>
  <c r="Z949" i="3"/>
  <c r="Y949" i="3"/>
  <c r="Z948" i="3"/>
  <c r="Y948" i="3"/>
  <c r="Z947" i="3"/>
  <c r="Y947" i="3"/>
  <c r="X1003" i="3"/>
  <c r="X996" i="3"/>
  <c r="X989" i="3"/>
  <c r="X982" i="3"/>
  <c r="X975" i="3"/>
  <c r="X968" i="3"/>
  <c r="X961" i="3"/>
  <c r="X954" i="3"/>
  <c r="X947" i="3"/>
  <c r="AF884" i="3"/>
  <c r="AE884" i="3"/>
  <c r="AE905" i="3"/>
  <c r="AE904" i="3"/>
  <c r="AE903" i="3"/>
  <c r="AE902" i="3"/>
  <c r="AE901" i="3"/>
  <c r="AE900" i="3"/>
  <c r="AE899" i="3"/>
  <c r="AE898" i="3"/>
  <c r="AE897" i="3"/>
  <c r="AE896" i="3"/>
  <c r="AE895" i="3"/>
  <c r="AE894" i="3"/>
  <c r="AE893" i="3"/>
  <c r="AE892" i="3"/>
  <c r="AE891" i="3"/>
  <c r="AE890" i="3"/>
  <c r="AE889" i="3"/>
  <c r="AE888" i="3"/>
  <c r="AE887" i="3"/>
  <c r="AE886" i="3"/>
  <c r="AE885" i="3"/>
  <c r="AD884" i="3"/>
  <c r="AD886" i="3"/>
  <c r="AD885" i="3"/>
  <c r="AC940" i="3"/>
  <c r="AB941" i="3"/>
  <c r="AB940" i="3"/>
  <c r="AC933" i="3"/>
  <c r="AB934" i="3"/>
  <c r="AB933" i="3"/>
  <c r="AC926" i="3"/>
  <c r="AB927" i="3"/>
  <c r="AB926" i="3"/>
  <c r="AC919" i="3"/>
  <c r="AB920" i="3"/>
  <c r="AB919" i="3"/>
  <c r="AC912" i="3"/>
  <c r="AB913" i="3"/>
  <c r="AB912" i="3"/>
  <c r="AC905" i="3"/>
  <c r="AB906" i="3"/>
  <c r="AB905" i="3"/>
  <c r="AC898" i="3"/>
  <c r="AB899" i="3"/>
  <c r="AB898" i="3"/>
  <c r="AC891" i="3"/>
  <c r="AB892" i="3"/>
  <c r="AB891" i="3"/>
  <c r="AC884" i="3"/>
  <c r="AB885" i="3"/>
  <c r="AB884" i="3"/>
  <c r="AA940" i="3"/>
  <c r="Z946" i="3"/>
  <c r="Y946" i="3"/>
  <c r="Z945" i="3"/>
  <c r="Y945" i="3"/>
  <c r="Z944" i="3"/>
  <c r="Y944" i="3"/>
  <c r="Z943" i="3"/>
  <c r="Y943" i="3"/>
  <c r="Z942" i="3"/>
  <c r="Y942" i="3"/>
  <c r="Z941" i="3"/>
  <c r="Y941" i="3"/>
  <c r="Z940" i="3"/>
  <c r="Y940" i="3"/>
  <c r="AA933" i="3"/>
  <c r="Z939" i="3"/>
  <c r="Y939" i="3"/>
  <c r="Z938" i="3"/>
  <c r="Y938" i="3"/>
  <c r="Z937" i="3"/>
  <c r="Y937" i="3"/>
  <c r="Z936" i="3"/>
  <c r="Y936" i="3"/>
  <c r="Z935" i="3"/>
  <c r="Y935" i="3"/>
  <c r="Z934" i="3"/>
  <c r="Y934" i="3"/>
  <c r="Z933" i="3"/>
  <c r="Y933" i="3"/>
  <c r="AA926" i="3"/>
  <c r="Z932" i="3"/>
  <c r="Y932" i="3"/>
  <c r="Z931" i="3"/>
  <c r="Y931" i="3"/>
  <c r="Z930" i="3"/>
  <c r="Y930" i="3"/>
  <c r="Z929" i="3"/>
  <c r="Y929" i="3"/>
  <c r="Z928" i="3"/>
  <c r="Y928" i="3"/>
  <c r="Z927" i="3"/>
  <c r="Y927" i="3"/>
  <c r="Z926" i="3"/>
  <c r="Y926" i="3"/>
  <c r="AA919" i="3"/>
  <c r="Z925" i="3"/>
  <c r="Y925" i="3"/>
  <c r="Z924" i="3"/>
  <c r="Y924" i="3"/>
  <c r="Z923" i="3"/>
  <c r="Y923" i="3"/>
  <c r="Z922" i="3"/>
  <c r="Y922" i="3"/>
  <c r="Z921" i="3"/>
  <c r="Y921" i="3"/>
  <c r="Z920" i="3"/>
  <c r="Y920" i="3"/>
  <c r="Z919" i="3"/>
  <c r="Y919" i="3"/>
  <c r="AA912" i="3"/>
  <c r="Z918" i="3"/>
  <c r="Y918" i="3"/>
  <c r="Z917" i="3"/>
  <c r="Y917" i="3"/>
  <c r="Z916" i="3"/>
  <c r="Y916" i="3"/>
  <c r="Z915" i="3"/>
  <c r="Y915" i="3"/>
  <c r="Z914" i="3"/>
  <c r="Y914" i="3"/>
  <c r="Z913" i="3"/>
  <c r="Y913" i="3"/>
  <c r="Z912" i="3"/>
  <c r="Y912" i="3"/>
  <c r="AA905" i="3"/>
  <c r="Z911" i="3"/>
  <c r="Y911" i="3"/>
  <c r="Z910" i="3"/>
  <c r="Y910" i="3"/>
  <c r="Z909" i="3"/>
  <c r="Y909" i="3"/>
  <c r="Z908" i="3"/>
  <c r="Y908" i="3"/>
  <c r="Z907" i="3"/>
  <c r="Y907" i="3"/>
  <c r="Z906" i="3"/>
  <c r="Y906" i="3"/>
  <c r="Z905" i="3"/>
  <c r="Y905" i="3"/>
  <c r="AA898" i="3"/>
  <c r="Z904" i="3"/>
  <c r="Y904" i="3"/>
  <c r="Z903" i="3"/>
  <c r="Y903" i="3"/>
  <c r="Z902" i="3"/>
  <c r="Y902" i="3"/>
  <c r="Z901" i="3"/>
  <c r="Y901" i="3"/>
  <c r="Z900" i="3"/>
  <c r="Y900" i="3"/>
  <c r="Z899" i="3"/>
  <c r="Y899" i="3"/>
  <c r="Z898" i="3"/>
  <c r="Y898" i="3"/>
  <c r="AA891" i="3"/>
  <c r="Z897" i="3"/>
  <c r="Y897" i="3"/>
  <c r="Z896" i="3"/>
  <c r="Y896" i="3"/>
  <c r="Z895" i="3"/>
  <c r="Y895" i="3"/>
  <c r="Z894" i="3"/>
  <c r="Y894" i="3"/>
  <c r="Z893" i="3"/>
  <c r="Y893" i="3"/>
  <c r="Z892" i="3"/>
  <c r="Y892" i="3"/>
  <c r="Z891" i="3"/>
  <c r="Y891" i="3"/>
  <c r="AA884" i="3"/>
  <c r="Z890" i="3"/>
  <c r="Y890" i="3"/>
  <c r="Z889" i="3"/>
  <c r="Y889" i="3"/>
  <c r="Z888" i="3"/>
  <c r="Y888" i="3"/>
  <c r="Z887" i="3"/>
  <c r="Y887" i="3"/>
  <c r="Z886" i="3"/>
  <c r="Y886" i="3"/>
  <c r="Z885" i="3"/>
  <c r="Y885" i="3"/>
  <c r="Z884" i="3"/>
  <c r="Y884" i="3"/>
  <c r="X940" i="3"/>
  <c r="X933" i="3"/>
  <c r="X926" i="3"/>
  <c r="X919" i="3"/>
  <c r="X912" i="3"/>
  <c r="X905" i="3"/>
  <c r="X898" i="3"/>
  <c r="X891" i="3"/>
  <c r="X884" i="3"/>
  <c r="AF821" i="3"/>
  <c r="AE821" i="3"/>
  <c r="AE842" i="3"/>
  <c r="AE841" i="3"/>
  <c r="AE840" i="3"/>
  <c r="AE839" i="3"/>
  <c r="AE838" i="3"/>
  <c r="AE837" i="3"/>
  <c r="AE836" i="3"/>
  <c r="AE835" i="3"/>
  <c r="AE834" i="3"/>
  <c r="AE833" i="3"/>
  <c r="AE832" i="3"/>
  <c r="AE831" i="3"/>
  <c r="AE830" i="3"/>
  <c r="AE829" i="3"/>
  <c r="AE828" i="3"/>
  <c r="AE827" i="3"/>
  <c r="AE826" i="3"/>
  <c r="AE825" i="3"/>
  <c r="AE824" i="3"/>
  <c r="AE823" i="3"/>
  <c r="AE822" i="3"/>
  <c r="AD821" i="3"/>
  <c r="AD823" i="3"/>
  <c r="AD822" i="3"/>
  <c r="AC877" i="3"/>
  <c r="AB878" i="3"/>
  <c r="AB877" i="3"/>
  <c r="AC870" i="3"/>
  <c r="AB871" i="3"/>
  <c r="AB870" i="3"/>
  <c r="AC863" i="3"/>
  <c r="AB864" i="3"/>
  <c r="AB863" i="3"/>
  <c r="AC856" i="3"/>
  <c r="AB857" i="3"/>
  <c r="AB856" i="3"/>
  <c r="AC849" i="3"/>
  <c r="AB850" i="3"/>
  <c r="AB849" i="3"/>
  <c r="AC842" i="3"/>
  <c r="AB843" i="3"/>
  <c r="AB842" i="3"/>
  <c r="AC835" i="3"/>
  <c r="AB836" i="3"/>
  <c r="AB835" i="3"/>
  <c r="AC828" i="3"/>
  <c r="AB829" i="3"/>
  <c r="AB828" i="3"/>
  <c r="AC821" i="3"/>
  <c r="AB822" i="3"/>
  <c r="AB821" i="3"/>
  <c r="AA877" i="3"/>
  <c r="Z883" i="3"/>
  <c r="Y883" i="3"/>
  <c r="Z882" i="3"/>
  <c r="Y882" i="3"/>
  <c r="Z881" i="3"/>
  <c r="Y881" i="3"/>
  <c r="Z880" i="3"/>
  <c r="Y880" i="3"/>
  <c r="Z879" i="3"/>
  <c r="Y879" i="3"/>
  <c r="Z878" i="3"/>
  <c r="Y878" i="3"/>
  <c r="Z877" i="3"/>
  <c r="Y877" i="3"/>
  <c r="AA870" i="3"/>
  <c r="Z876" i="3"/>
  <c r="Y876" i="3"/>
  <c r="Z875" i="3"/>
  <c r="Y875" i="3"/>
  <c r="Z874" i="3"/>
  <c r="Y874" i="3"/>
  <c r="Z873" i="3"/>
  <c r="Y873" i="3"/>
  <c r="Z872" i="3"/>
  <c r="Y872" i="3"/>
  <c r="Z871" i="3"/>
  <c r="Y871" i="3"/>
  <c r="Z870" i="3"/>
  <c r="Y870" i="3"/>
  <c r="AA863" i="3"/>
  <c r="Z869" i="3"/>
  <c r="Y869" i="3"/>
  <c r="Z868" i="3"/>
  <c r="Y868" i="3"/>
  <c r="Z867" i="3"/>
  <c r="Y867" i="3"/>
  <c r="Z866" i="3"/>
  <c r="Y866" i="3"/>
  <c r="Z865" i="3"/>
  <c r="Y865" i="3"/>
  <c r="Z864" i="3"/>
  <c r="Y864" i="3"/>
  <c r="Z863" i="3"/>
  <c r="Y863" i="3"/>
  <c r="AA856" i="3"/>
  <c r="Z862" i="3"/>
  <c r="Y862" i="3"/>
  <c r="Z861" i="3"/>
  <c r="Y861" i="3"/>
  <c r="Z860" i="3"/>
  <c r="Y860" i="3"/>
  <c r="Z859" i="3"/>
  <c r="Y859" i="3"/>
  <c r="Z858" i="3"/>
  <c r="Y858" i="3"/>
  <c r="Z857" i="3"/>
  <c r="Y857" i="3"/>
  <c r="Z856" i="3"/>
  <c r="Y856" i="3"/>
  <c r="AA849" i="3"/>
  <c r="Z855" i="3"/>
  <c r="Y855" i="3"/>
  <c r="Z854" i="3"/>
  <c r="Y854" i="3"/>
  <c r="Z853" i="3"/>
  <c r="Y853" i="3"/>
  <c r="Z852" i="3"/>
  <c r="Y852" i="3"/>
  <c r="Z851" i="3"/>
  <c r="Y851" i="3"/>
  <c r="Z850" i="3"/>
  <c r="Y850" i="3"/>
  <c r="Z849" i="3"/>
  <c r="Y849" i="3"/>
  <c r="AA842" i="3"/>
  <c r="Z848" i="3"/>
  <c r="Y848" i="3"/>
  <c r="Z847" i="3"/>
  <c r="Y847" i="3"/>
  <c r="Z846" i="3"/>
  <c r="Y846" i="3"/>
  <c r="Z845" i="3"/>
  <c r="Y845" i="3"/>
  <c r="Z844" i="3"/>
  <c r="Y844" i="3"/>
  <c r="Z843" i="3"/>
  <c r="Y843" i="3"/>
  <c r="Z842" i="3"/>
  <c r="Y842" i="3"/>
  <c r="AA835" i="3"/>
  <c r="Z841" i="3"/>
  <c r="Y841" i="3"/>
  <c r="Z840" i="3"/>
  <c r="Y840" i="3"/>
  <c r="Z839" i="3"/>
  <c r="Y839" i="3"/>
  <c r="Z838" i="3"/>
  <c r="Y838" i="3"/>
  <c r="Z837" i="3"/>
  <c r="Y837" i="3"/>
  <c r="Z836" i="3"/>
  <c r="Y836" i="3"/>
  <c r="Z835" i="3"/>
  <c r="Y835" i="3"/>
  <c r="AA828" i="3"/>
  <c r="Z834" i="3"/>
  <c r="Y834" i="3"/>
  <c r="Z833" i="3"/>
  <c r="Y833" i="3"/>
  <c r="Z832" i="3"/>
  <c r="Y832" i="3"/>
  <c r="Z831" i="3"/>
  <c r="Y831" i="3"/>
  <c r="Z830" i="3"/>
  <c r="Y830" i="3"/>
  <c r="Z829" i="3"/>
  <c r="Y829" i="3"/>
  <c r="Z828" i="3"/>
  <c r="Y828" i="3"/>
  <c r="AA821" i="3"/>
  <c r="Z827" i="3"/>
  <c r="Y827" i="3"/>
  <c r="Z826" i="3"/>
  <c r="Y826" i="3"/>
  <c r="Z825" i="3"/>
  <c r="Y825" i="3"/>
  <c r="Z824" i="3"/>
  <c r="Y824" i="3"/>
  <c r="Z823" i="3"/>
  <c r="Y823" i="3"/>
  <c r="Z822" i="3"/>
  <c r="Y822" i="3"/>
  <c r="Z821" i="3"/>
  <c r="Y821" i="3"/>
  <c r="X877" i="3"/>
  <c r="X870" i="3"/>
  <c r="X863" i="3"/>
  <c r="X856" i="3"/>
  <c r="X849" i="3"/>
  <c r="X842" i="3"/>
  <c r="X835" i="3"/>
  <c r="X828" i="3"/>
  <c r="X821" i="3"/>
  <c r="AF758" i="3"/>
  <c r="AE758" i="3"/>
  <c r="AE779" i="3"/>
  <c r="AE778" i="3"/>
  <c r="AE777" i="3"/>
  <c r="AE776" i="3"/>
  <c r="AE775" i="3"/>
  <c r="AE774" i="3"/>
  <c r="AE773" i="3"/>
  <c r="AE772" i="3"/>
  <c r="AE771" i="3"/>
  <c r="AE770" i="3"/>
  <c r="AE769" i="3"/>
  <c r="AE768" i="3"/>
  <c r="AE767" i="3"/>
  <c r="AE766" i="3"/>
  <c r="AE765" i="3"/>
  <c r="AE764" i="3"/>
  <c r="AE763" i="3"/>
  <c r="AE762" i="3"/>
  <c r="AE761" i="3"/>
  <c r="AE760" i="3"/>
  <c r="AE759" i="3"/>
  <c r="AD758" i="3"/>
  <c r="AD760" i="3"/>
  <c r="AD759" i="3"/>
  <c r="AC814" i="3"/>
  <c r="AB815" i="3"/>
  <c r="AB814" i="3"/>
  <c r="AC807" i="3"/>
  <c r="AB808" i="3"/>
  <c r="AB807" i="3"/>
  <c r="AC800" i="3"/>
  <c r="AB801" i="3"/>
  <c r="AB800" i="3"/>
  <c r="AC793" i="3"/>
  <c r="AB794" i="3"/>
  <c r="AB793" i="3"/>
  <c r="AC786" i="3"/>
  <c r="AB787" i="3"/>
  <c r="AB786" i="3"/>
  <c r="AC779" i="3"/>
  <c r="AB780" i="3"/>
  <c r="AB779" i="3"/>
  <c r="AC772" i="3"/>
  <c r="AB773" i="3"/>
  <c r="AB772" i="3"/>
  <c r="AC765" i="3"/>
  <c r="AB766" i="3"/>
  <c r="AB765" i="3"/>
  <c r="AC758" i="3"/>
  <c r="AB759" i="3"/>
  <c r="AB758" i="3"/>
  <c r="AA814" i="3"/>
  <c r="Z820" i="3"/>
  <c r="Y820" i="3"/>
  <c r="Z819" i="3"/>
  <c r="Y819" i="3"/>
  <c r="Z818" i="3"/>
  <c r="Y818" i="3"/>
  <c r="Z817" i="3"/>
  <c r="Y817" i="3"/>
  <c r="Z816" i="3"/>
  <c r="Y816" i="3"/>
  <c r="Z815" i="3"/>
  <c r="Y815" i="3"/>
  <c r="Z814" i="3"/>
  <c r="Y814" i="3"/>
  <c r="AA807" i="3"/>
  <c r="Z813" i="3"/>
  <c r="Y813" i="3"/>
  <c r="Z812" i="3"/>
  <c r="Y812" i="3"/>
  <c r="Z811" i="3"/>
  <c r="Y811" i="3"/>
  <c r="Z810" i="3"/>
  <c r="Y810" i="3"/>
  <c r="Z809" i="3"/>
  <c r="Y809" i="3"/>
  <c r="Z808" i="3"/>
  <c r="Y808" i="3"/>
  <c r="Z807" i="3"/>
  <c r="Y807" i="3"/>
  <c r="AA800" i="3"/>
  <c r="Z806" i="3"/>
  <c r="Y806" i="3"/>
  <c r="Z805" i="3"/>
  <c r="Y805" i="3"/>
  <c r="Z804" i="3"/>
  <c r="Y804" i="3"/>
  <c r="Z803" i="3"/>
  <c r="Y803" i="3"/>
  <c r="Z802" i="3"/>
  <c r="Y802" i="3"/>
  <c r="Z801" i="3"/>
  <c r="Y801" i="3"/>
  <c r="Z800" i="3"/>
  <c r="Y800" i="3"/>
  <c r="AA793" i="3"/>
  <c r="Z799" i="3"/>
  <c r="Y799" i="3"/>
  <c r="Z798" i="3"/>
  <c r="Y798" i="3"/>
  <c r="Z797" i="3"/>
  <c r="Y797" i="3"/>
  <c r="Z796" i="3"/>
  <c r="Y796" i="3"/>
  <c r="Z795" i="3"/>
  <c r="Y795" i="3"/>
  <c r="Z794" i="3"/>
  <c r="Y794" i="3"/>
  <c r="Z793" i="3"/>
  <c r="Y793" i="3"/>
  <c r="AA786" i="3"/>
  <c r="Z792" i="3"/>
  <c r="Y792" i="3"/>
  <c r="Z791" i="3"/>
  <c r="Y791" i="3"/>
  <c r="Z790" i="3"/>
  <c r="Y790" i="3"/>
  <c r="Z789" i="3"/>
  <c r="Y789" i="3"/>
  <c r="Z788" i="3"/>
  <c r="Y788" i="3"/>
  <c r="Z787" i="3"/>
  <c r="Y787" i="3"/>
  <c r="Z786" i="3"/>
  <c r="Y786" i="3"/>
  <c r="AA779" i="3"/>
  <c r="Z785" i="3"/>
  <c r="Y785" i="3"/>
  <c r="Z784" i="3"/>
  <c r="Y784" i="3"/>
  <c r="Z783" i="3"/>
  <c r="Y783" i="3"/>
  <c r="Z782" i="3"/>
  <c r="Y782" i="3"/>
  <c r="Z781" i="3"/>
  <c r="Y781" i="3"/>
  <c r="Z780" i="3"/>
  <c r="Y780" i="3"/>
  <c r="Z779" i="3"/>
  <c r="Y779" i="3"/>
  <c r="AA772" i="3"/>
  <c r="Z778" i="3"/>
  <c r="Y778" i="3"/>
  <c r="Z777" i="3"/>
  <c r="Y777" i="3"/>
  <c r="Z776" i="3"/>
  <c r="Y776" i="3"/>
  <c r="Z775" i="3"/>
  <c r="Y775" i="3"/>
  <c r="Z774" i="3"/>
  <c r="Y774" i="3"/>
  <c r="Z773" i="3"/>
  <c r="Y773" i="3"/>
  <c r="Z772" i="3"/>
  <c r="Y772" i="3"/>
  <c r="AA765" i="3"/>
  <c r="Z771" i="3"/>
  <c r="Y771" i="3"/>
  <c r="Z770" i="3"/>
  <c r="Y770" i="3"/>
  <c r="Z769" i="3"/>
  <c r="Y769" i="3"/>
  <c r="Z768" i="3"/>
  <c r="Y768" i="3"/>
  <c r="Z767" i="3"/>
  <c r="Y767" i="3"/>
  <c r="Z766" i="3"/>
  <c r="Y766" i="3"/>
  <c r="Z765" i="3"/>
  <c r="Y765" i="3"/>
  <c r="AA758" i="3"/>
  <c r="Z764" i="3"/>
  <c r="Y764" i="3"/>
  <c r="Z763" i="3"/>
  <c r="Y763" i="3"/>
  <c r="Z762" i="3"/>
  <c r="Y762" i="3"/>
  <c r="Z761" i="3"/>
  <c r="Y761" i="3"/>
  <c r="Z760" i="3"/>
  <c r="Y760" i="3"/>
  <c r="Z759" i="3"/>
  <c r="Y759" i="3"/>
  <c r="Z758" i="3"/>
  <c r="Y758" i="3"/>
  <c r="X814" i="3"/>
  <c r="X807" i="3"/>
  <c r="X800" i="3"/>
  <c r="X793" i="3"/>
  <c r="X786" i="3"/>
  <c r="X779" i="3"/>
  <c r="X772" i="3"/>
  <c r="X765" i="3"/>
  <c r="X758" i="3"/>
  <c r="AF695" i="3"/>
  <c r="AE695" i="3"/>
  <c r="AE716" i="3"/>
  <c r="AE715" i="3"/>
  <c r="AE714" i="3"/>
  <c r="AE713" i="3"/>
  <c r="AE712" i="3"/>
  <c r="AE711" i="3"/>
  <c r="AE710" i="3"/>
  <c r="AE709" i="3"/>
  <c r="AE708" i="3"/>
  <c r="AE707" i="3"/>
  <c r="AE706" i="3"/>
  <c r="AE705" i="3"/>
  <c r="AE704" i="3"/>
  <c r="AE703" i="3"/>
  <c r="AE702" i="3"/>
  <c r="AE701" i="3"/>
  <c r="AE700" i="3"/>
  <c r="AE699" i="3"/>
  <c r="AE698" i="3"/>
  <c r="AE697" i="3"/>
  <c r="AE696" i="3"/>
  <c r="AD695" i="3"/>
  <c r="AD697" i="3"/>
  <c r="AD696" i="3"/>
  <c r="AC751" i="3"/>
  <c r="AB752" i="3"/>
  <c r="AB751" i="3"/>
  <c r="AC744" i="3"/>
  <c r="AB745" i="3"/>
  <c r="AB744" i="3"/>
  <c r="AC737" i="3"/>
  <c r="AB738" i="3"/>
  <c r="AB737" i="3"/>
  <c r="AC730" i="3"/>
  <c r="AB731" i="3"/>
  <c r="AB730" i="3"/>
  <c r="AC723" i="3"/>
  <c r="AB724" i="3"/>
  <c r="AB723" i="3"/>
  <c r="AC716" i="3"/>
  <c r="AB717" i="3"/>
  <c r="AB716" i="3"/>
  <c r="AC709" i="3"/>
  <c r="AB710" i="3"/>
  <c r="AB709" i="3"/>
  <c r="AC702" i="3"/>
  <c r="AB703" i="3"/>
  <c r="AB702" i="3"/>
  <c r="AC695" i="3"/>
  <c r="AB696" i="3"/>
  <c r="AB695" i="3"/>
  <c r="AA751" i="3"/>
  <c r="Z757" i="3"/>
  <c r="Y757" i="3"/>
  <c r="Z756" i="3"/>
  <c r="Y756" i="3"/>
  <c r="Z755" i="3"/>
  <c r="Y755" i="3"/>
  <c r="Z754" i="3"/>
  <c r="Y754" i="3"/>
  <c r="Z753" i="3"/>
  <c r="Y753" i="3"/>
  <c r="Z752" i="3"/>
  <c r="Y752" i="3"/>
  <c r="Z751" i="3"/>
  <c r="Y751" i="3"/>
  <c r="AA744" i="3"/>
  <c r="Z750" i="3"/>
  <c r="Y750" i="3"/>
  <c r="Z749" i="3"/>
  <c r="Y749" i="3"/>
  <c r="Z748" i="3"/>
  <c r="Y748" i="3"/>
  <c r="Z747" i="3"/>
  <c r="Y747" i="3"/>
  <c r="Z746" i="3"/>
  <c r="Y746" i="3"/>
  <c r="Z745" i="3"/>
  <c r="Y745" i="3"/>
  <c r="Z744" i="3"/>
  <c r="Y744" i="3"/>
  <c r="AA737" i="3"/>
  <c r="Z743" i="3"/>
  <c r="Y743" i="3"/>
  <c r="Z742" i="3"/>
  <c r="Y742" i="3"/>
  <c r="Z741" i="3"/>
  <c r="Y741" i="3"/>
  <c r="Z740" i="3"/>
  <c r="Y740" i="3"/>
  <c r="Z739" i="3"/>
  <c r="Y739" i="3"/>
  <c r="Z738" i="3"/>
  <c r="Y738" i="3"/>
  <c r="Z737" i="3"/>
  <c r="Y737" i="3"/>
  <c r="AA730" i="3"/>
  <c r="Z736" i="3"/>
  <c r="Y736" i="3"/>
  <c r="Z735" i="3"/>
  <c r="Y735" i="3"/>
  <c r="Z734" i="3"/>
  <c r="Y734" i="3"/>
  <c r="Z733" i="3"/>
  <c r="Y733" i="3"/>
  <c r="Z732" i="3"/>
  <c r="Y732" i="3"/>
  <c r="Z731" i="3"/>
  <c r="Y731" i="3"/>
  <c r="Z730" i="3"/>
  <c r="Y730" i="3"/>
  <c r="AA723" i="3"/>
  <c r="Z729" i="3"/>
  <c r="Y729" i="3"/>
  <c r="Z728" i="3"/>
  <c r="Y728" i="3"/>
  <c r="Z727" i="3"/>
  <c r="Y727" i="3"/>
  <c r="Z726" i="3"/>
  <c r="Y726" i="3"/>
  <c r="Z725" i="3"/>
  <c r="Y725" i="3"/>
  <c r="Z724" i="3"/>
  <c r="Y724" i="3"/>
  <c r="Z723" i="3"/>
  <c r="Y723" i="3"/>
  <c r="AA716" i="3"/>
  <c r="Z722" i="3"/>
  <c r="Y722" i="3"/>
  <c r="Z721" i="3"/>
  <c r="Y721" i="3"/>
  <c r="Z720" i="3"/>
  <c r="Y720" i="3"/>
  <c r="Z719" i="3"/>
  <c r="Y719" i="3"/>
  <c r="Z718" i="3"/>
  <c r="Y718" i="3"/>
  <c r="Z717" i="3"/>
  <c r="Y717" i="3"/>
  <c r="Z716" i="3"/>
  <c r="Y716" i="3"/>
  <c r="AA709" i="3"/>
  <c r="Z715" i="3"/>
  <c r="Y715" i="3"/>
  <c r="Z714" i="3"/>
  <c r="Y714" i="3"/>
  <c r="Z713" i="3"/>
  <c r="Y713" i="3"/>
  <c r="Z712" i="3"/>
  <c r="Y712" i="3"/>
  <c r="Z711" i="3"/>
  <c r="Y711" i="3"/>
  <c r="Z710" i="3"/>
  <c r="Y710" i="3"/>
  <c r="Z709" i="3"/>
  <c r="Y709" i="3"/>
  <c r="AA702" i="3"/>
  <c r="Z708" i="3"/>
  <c r="Y708" i="3"/>
  <c r="Z707" i="3"/>
  <c r="Y707" i="3"/>
  <c r="Z706" i="3"/>
  <c r="Y706" i="3"/>
  <c r="Z705" i="3"/>
  <c r="Y705" i="3"/>
  <c r="Z704" i="3"/>
  <c r="Y704" i="3"/>
  <c r="Z703" i="3"/>
  <c r="Y703" i="3"/>
  <c r="Z702" i="3"/>
  <c r="Y702" i="3"/>
  <c r="AA695" i="3"/>
  <c r="Z701" i="3"/>
  <c r="Y701" i="3"/>
  <c r="Z700" i="3"/>
  <c r="Y700" i="3"/>
  <c r="Z699" i="3"/>
  <c r="Y699" i="3"/>
  <c r="Z698" i="3"/>
  <c r="Y698" i="3"/>
  <c r="Z697" i="3"/>
  <c r="Y697" i="3"/>
  <c r="Z696" i="3"/>
  <c r="Y696" i="3"/>
  <c r="Z695" i="3"/>
  <c r="Y695" i="3"/>
  <c r="X751" i="3"/>
  <c r="X744" i="3"/>
  <c r="X737" i="3"/>
  <c r="X730" i="3"/>
  <c r="X723" i="3"/>
  <c r="X716" i="3"/>
  <c r="X709" i="3"/>
  <c r="X702" i="3"/>
  <c r="X695" i="3"/>
  <c r="AF632" i="3"/>
  <c r="AE632" i="3"/>
  <c r="AE653" i="3"/>
  <c r="AE652" i="3"/>
  <c r="AE651" i="3"/>
  <c r="AE650" i="3"/>
  <c r="AE649" i="3"/>
  <c r="AE648" i="3"/>
  <c r="AE647" i="3"/>
  <c r="AE646" i="3"/>
  <c r="AE645" i="3"/>
  <c r="AE644" i="3"/>
  <c r="AE643" i="3"/>
  <c r="AE642" i="3"/>
  <c r="AE641" i="3"/>
  <c r="AE640" i="3"/>
  <c r="AE639" i="3"/>
  <c r="AE638" i="3"/>
  <c r="AE637" i="3"/>
  <c r="AE636" i="3"/>
  <c r="AE635" i="3"/>
  <c r="AE634" i="3"/>
  <c r="AE633" i="3"/>
  <c r="AD632" i="3"/>
  <c r="AD634" i="3"/>
  <c r="AD633" i="3"/>
  <c r="AC688" i="3"/>
  <c r="AB689" i="3"/>
  <c r="AB688" i="3"/>
  <c r="AC681" i="3"/>
  <c r="AB682" i="3"/>
  <c r="AB681" i="3"/>
  <c r="AC674" i="3"/>
  <c r="AB675" i="3"/>
  <c r="AB674" i="3"/>
  <c r="AC667" i="3"/>
  <c r="AB668" i="3"/>
  <c r="AB667" i="3"/>
  <c r="AC660" i="3"/>
  <c r="AB661" i="3"/>
  <c r="AB660" i="3"/>
  <c r="AC653" i="3"/>
  <c r="AB654" i="3"/>
  <c r="AB653" i="3"/>
  <c r="AC646" i="3"/>
  <c r="AB647" i="3"/>
  <c r="AB646" i="3"/>
  <c r="AC639" i="3"/>
  <c r="AB640" i="3"/>
  <c r="AB639" i="3"/>
  <c r="AC632" i="3"/>
  <c r="AB633" i="3"/>
  <c r="AB632" i="3"/>
  <c r="AA688" i="3"/>
  <c r="Z694" i="3"/>
  <c r="Y694" i="3"/>
  <c r="Z693" i="3"/>
  <c r="Y693" i="3"/>
  <c r="Z692" i="3"/>
  <c r="Y692" i="3"/>
  <c r="Z691" i="3"/>
  <c r="Y691" i="3"/>
  <c r="Z690" i="3"/>
  <c r="Y690" i="3"/>
  <c r="Z689" i="3"/>
  <c r="Y689" i="3"/>
  <c r="Z688" i="3"/>
  <c r="Y688" i="3"/>
  <c r="AA681" i="3"/>
  <c r="Z687" i="3"/>
  <c r="Y687" i="3"/>
  <c r="Z686" i="3"/>
  <c r="Y686" i="3"/>
  <c r="Z685" i="3"/>
  <c r="Y685" i="3"/>
  <c r="Z684" i="3"/>
  <c r="Y684" i="3"/>
  <c r="Z683" i="3"/>
  <c r="Y683" i="3"/>
  <c r="Z682" i="3"/>
  <c r="Y682" i="3"/>
  <c r="Z681" i="3"/>
  <c r="Y681" i="3"/>
  <c r="AA674" i="3"/>
  <c r="Z680" i="3"/>
  <c r="Y680" i="3"/>
  <c r="Z679" i="3"/>
  <c r="Y679" i="3"/>
  <c r="Z678" i="3"/>
  <c r="Y678" i="3"/>
  <c r="Z677" i="3"/>
  <c r="Y677" i="3"/>
  <c r="Z676" i="3"/>
  <c r="Y676" i="3"/>
  <c r="Z675" i="3"/>
  <c r="Y675" i="3"/>
  <c r="Z674" i="3"/>
  <c r="Y674" i="3"/>
  <c r="AA667" i="3"/>
  <c r="Z673" i="3"/>
  <c r="Y673" i="3"/>
  <c r="Z672" i="3"/>
  <c r="Y672" i="3"/>
  <c r="Z671" i="3"/>
  <c r="Y671" i="3"/>
  <c r="Z670" i="3"/>
  <c r="Y670" i="3"/>
  <c r="Z669" i="3"/>
  <c r="Y669" i="3"/>
  <c r="Z668" i="3"/>
  <c r="Y668" i="3"/>
  <c r="Z667" i="3"/>
  <c r="Y667" i="3"/>
  <c r="AA660" i="3"/>
  <c r="Z666" i="3"/>
  <c r="Y666" i="3"/>
  <c r="Z665" i="3"/>
  <c r="Y665" i="3"/>
  <c r="Z664" i="3"/>
  <c r="Y664" i="3"/>
  <c r="Z663" i="3"/>
  <c r="Y663" i="3"/>
  <c r="Z662" i="3"/>
  <c r="Y662" i="3"/>
  <c r="Z661" i="3"/>
  <c r="Y661" i="3"/>
  <c r="Z660" i="3"/>
  <c r="Y660" i="3"/>
  <c r="AA653" i="3"/>
  <c r="Z659" i="3"/>
  <c r="Y659" i="3"/>
  <c r="Z658" i="3"/>
  <c r="Y658" i="3"/>
  <c r="Z657" i="3"/>
  <c r="Y657" i="3"/>
  <c r="Z656" i="3"/>
  <c r="Y656" i="3"/>
  <c r="Z655" i="3"/>
  <c r="Y655" i="3"/>
  <c r="Z654" i="3"/>
  <c r="Y654" i="3"/>
  <c r="Z653" i="3"/>
  <c r="Y653" i="3"/>
  <c r="AA646" i="3"/>
  <c r="Z652" i="3"/>
  <c r="Y652" i="3"/>
  <c r="Z651" i="3"/>
  <c r="Y651" i="3"/>
  <c r="Z650" i="3"/>
  <c r="Y650" i="3"/>
  <c r="Z649" i="3"/>
  <c r="Y649" i="3"/>
  <c r="Z648" i="3"/>
  <c r="Y648" i="3"/>
  <c r="Z647" i="3"/>
  <c r="Y647" i="3"/>
  <c r="Z646" i="3"/>
  <c r="Y646" i="3"/>
  <c r="AA639" i="3"/>
  <c r="Z645" i="3"/>
  <c r="Y645" i="3"/>
  <c r="Z644" i="3"/>
  <c r="Y644" i="3"/>
  <c r="Z643" i="3"/>
  <c r="Y643" i="3"/>
  <c r="Z642" i="3"/>
  <c r="Y642" i="3"/>
  <c r="Z641" i="3"/>
  <c r="Y641" i="3"/>
  <c r="Z640" i="3"/>
  <c r="Y640" i="3"/>
  <c r="Z639" i="3"/>
  <c r="Y639" i="3"/>
  <c r="AA632" i="3"/>
  <c r="Z638" i="3"/>
  <c r="Y638" i="3"/>
  <c r="Z637" i="3"/>
  <c r="Y637" i="3"/>
  <c r="Z636" i="3"/>
  <c r="Y636" i="3"/>
  <c r="Z635" i="3"/>
  <c r="Y635" i="3"/>
  <c r="Z634" i="3"/>
  <c r="Y634" i="3"/>
  <c r="Z633" i="3"/>
  <c r="Y633" i="3"/>
  <c r="Z632" i="3"/>
  <c r="Y632" i="3"/>
  <c r="X688" i="3"/>
  <c r="X681" i="3"/>
  <c r="X674" i="3"/>
  <c r="X667" i="3"/>
  <c r="X660" i="3"/>
  <c r="X653" i="3"/>
  <c r="X646" i="3"/>
  <c r="X639" i="3"/>
  <c r="X632" i="3"/>
  <c r="AF569" i="3"/>
  <c r="AE569" i="3"/>
  <c r="AE590" i="3"/>
  <c r="AE589" i="3"/>
  <c r="AE588" i="3"/>
  <c r="AE587" i="3"/>
  <c r="AE586" i="3"/>
  <c r="AE585" i="3"/>
  <c r="AE584" i="3"/>
  <c r="AE583" i="3"/>
  <c r="AE582" i="3"/>
  <c r="AE581" i="3"/>
  <c r="AE580" i="3"/>
  <c r="AE579" i="3"/>
  <c r="AE578" i="3"/>
  <c r="AE577" i="3"/>
  <c r="AE576" i="3"/>
  <c r="AE575" i="3"/>
  <c r="AE574" i="3"/>
  <c r="AE573" i="3"/>
  <c r="AE572" i="3"/>
  <c r="AE571" i="3"/>
  <c r="AE570" i="3"/>
  <c r="AD569" i="3"/>
  <c r="AD571" i="3"/>
  <c r="AD570" i="3"/>
  <c r="AC625" i="3"/>
  <c r="AB626" i="3"/>
  <c r="AB625" i="3"/>
  <c r="AC618" i="3"/>
  <c r="AB619" i="3"/>
  <c r="AB618" i="3"/>
  <c r="AC611" i="3"/>
  <c r="AB612" i="3"/>
  <c r="AB611" i="3"/>
  <c r="AC604" i="3"/>
  <c r="AB605" i="3"/>
  <c r="AB604" i="3"/>
  <c r="AC597" i="3"/>
  <c r="AB598" i="3"/>
  <c r="AB597" i="3"/>
  <c r="AC590" i="3"/>
  <c r="AB591" i="3"/>
  <c r="AB590" i="3"/>
  <c r="AC583" i="3"/>
  <c r="AB584" i="3"/>
  <c r="AB583" i="3"/>
  <c r="AC576" i="3"/>
  <c r="AB577" i="3"/>
  <c r="AB576" i="3"/>
  <c r="AC569" i="3"/>
  <c r="AB570" i="3"/>
  <c r="AB569" i="3"/>
  <c r="AA625" i="3"/>
  <c r="Z631" i="3"/>
  <c r="Y631" i="3"/>
  <c r="Z630" i="3"/>
  <c r="Y630" i="3"/>
  <c r="Z629" i="3"/>
  <c r="Y629" i="3"/>
  <c r="Z628" i="3"/>
  <c r="Y628" i="3"/>
  <c r="Z627" i="3"/>
  <c r="Y627" i="3"/>
  <c r="Z626" i="3"/>
  <c r="Y626" i="3"/>
  <c r="Z625" i="3"/>
  <c r="Y625" i="3"/>
  <c r="AA618" i="3"/>
  <c r="Z624" i="3"/>
  <c r="Y624" i="3"/>
  <c r="Z623" i="3"/>
  <c r="Y623" i="3"/>
  <c r="Z622" i="3"/>
  <c r="Y622" i="3"/>
  <c r="Z621" i="3"/>
  <c r="Y621" i="3"/>
  <c r="Z620" i="3"/>
  <c r="Y620" i="3"/>
  <c r="Z619" i="3"/>
  <c r="Y619" i="3"/>
  <c r="Z618" i="3"/>
  <c r="Y618" i="3"/>
  <c r="AA611" i="3"/>
  <c r="Z617" i="3"/>
  <c r="Y617" i="3"/>
  <c r="Z616" i="3"/>
  <c r="Y616" i="3"/>
  <c r="Z615" i="3"/>
  <c r="Y615" i="3"/>
  <c r="Z614" i="3"/>
  <c r="Y614" i="3"/>
  <c r="Z613" i="3"/>
  <c r="Y613" i="3"/>
  <c r="Z612" i="3"/>
  <c r="Y612" i="3"/>
  <c r="Z611" i="3"/>
  <c r="Y611" i="3"/>
  <c r="AA604" i="3"/>
  <c r="Z610" i="3"/>
  <c r="Y610" i="3"/>
  <c r="Z609" i="3"/>
  <c r="Y609" i="3"/>
  <c r="Z608" i="3"/>
  <c r="Y608" i="3"/>
  <c r="Z607" i="3"/>
  <c r="Y607" i="3"/>
  <c r="Z606" i="3"/>
  <c r="Y606" i="3"/>
  <c r="Z605" i="3"/>
  <c r="Y605" i="3"/>
  <c r="Z604" i="3"/>
  <c r="Y604" i="3"/>
  <c r="AA597" i="3"/>
  <c r="Z603" i="3"/>
  <c r="Y603" i="3"/>
  <c r="Z602" i="3"/>
  <c r="Y602" i="3"/>
  <c r="Z601" i="3"/>
  <c r="Y601" i="3"/>
  <c r="Z600" i="3"/>
  <c r="Y600" i="3"/>
  <c r="Z599" i="3"/>
  <c r="Y599" i="3"/>
  <c r="Z598" i="3"/>
  <c r="Y598" i="3"/>
  <c r="Z597" i="3"/>
  <c r="Y597" i="3"/>
  <c r="AA590" i="3"/>
  <c r="Z596" i="3"/>
  <c r="Y596" i="3"/>
  <c r="Z595" i="3"/>
  <c r="Y595" i="3"/>
  <c r="Z594" i="3"/>
  <c r="Y594" i="3"/>
  <c r="Z593" i="3"/>
  <c r="Y593" i="3"/>
  <c r="Z592" i="3"/>
  <c r="Y592" i="3"/>
  <c r="Z591" i="3"/>
  <c r="Y591" i="3"/>
  <c r="Z590" i="3"/>
  <c r="Y590" i="3"/>
  <c r="AA583" i="3"/>
  <c r="Z589" i="3"/>
  <c r="Y589" i="3"/>
  <c r="Z588" i="3"/>
  <c r="Y588" i="3"/>
  <c r="Z587" i="3"/>
  <c r="Y587" i="3"/>
  <c r="Z586" i="3"/>
  <c r="Y586" i="3"/>
  <c r="Z585" i="3"/>
  <c r="Y585" i="3"/>
  <c r="Z584" i="3"/>
  <c r="Y584" i="3"/>
  <c r="Z583" i="3"/>
  <c r="Y583" i="3"/>
  <c r="AA576" i="3"/>
  <c r="Z582" i="3"/>
  <c r="Y582" i="3"/>
  <c r="Z581" i="3"/>
  <c r="Y581" i="3"/>
  <c r="Z580" i="3"/>
  <c r="Y580" i="3"/>
  <c r="Z579" i="3"/>
  <c r="Y579" i="3"/>
  <c r="Z578" i="3"/>
  <c r="Y578" i="3"/>
  <c r="Z577" i="3"/>
  <c r="Y577" i="3"/>
  <c r="Z576" i="3"/>
  <c r="Y576" i="3"/>
  <c r="AA569" i="3"/>
  <c r="Z575" i="3"/>
  <c r="Y575" i="3"/>
  <c r="Z574" i="3"/>
  <c r="Y574" i="3"/>
  <c r="Z573" i="3"/>
  <c r="Y573" i="3"/>
  <c r="Z572" i="3"/>
  <c r="Y572" i="3"/>
  <c r="Z571" i="3"/>
  <c r="Y571" i="3"/>
  <c r="Z570" i="3"/>
  <c r="Y570" i="3"/>
  <c r="Z569" i="3"/>
  <c r="Y569" i="3"/>
  <c r="X625" i="3"/>
  <c r="X618" i="3"/>
  <c r="X611" i="3"/>
  <c r="X604" i="3"/>
  <c r="X597" i="3"/>
  <c r="X590" i="3"/>
  <c r="X583" i="3"/>
  <c r="X576" i="3"/>
  <c r="X569" i="3"/>
  <c r="AF506" i="3"/>
  <c r="AE506" i="3"/>
  <c r="AE527" i="3"/>
  <c r="AE526" i="3"/>
  <c r="AE525" i="3"/>
  <c r="AE524" i="3"/>
  <c r="AE523" i="3"/>
  <c r="AE522" i="3"/>
  <c r="AE521" i="3"/>
  <c r="AE520" i="3"/>
  <c r="AE519" i="3"/>
  <c r="AE518" i="3"/>
  <c r="AE517" i="3"/>
  <c r="AE516" i="3"/>
  <c r="AE515" i="3"/>
  <c r="AE514" i="3"/>
  <c r="AE513" i="3"/>
  <c r="AE512" i="3"/>
  <c r="AE511" i="3"/>
  <c r="AE510" i="3"/>
  <c r="AE509" i="3"/>
  <c r="AE508" i="3"/>
  <c r="AE507" i="3"/>
  <c r="AD506" i="3"/>
  <c r="AD508" i="3"/>
  <c r="AD507" i="3"/>
  <c r="AC562" i="3"/>
  <c r="AB563" i="3"/>
  <c r="AB562" i="3"/>
  <c r="AC555" i="3"/>
  <c r="AB556" i="3"/>
  <c r="AB555" i="3"/>
  <c r="AC548" i="3"/>
  <c r="AB549" i="3"/>
  <c r="AB548" i="3"/>
  <c r="AC541" i="3"/>
  <c r="AB542" i="3"/>
  <c r="AB541" i="3"/>
  <c r="AC534" i="3"/>
  <c r="AB535" i="3"/>
  <c r="AB534" i="3"/>
  <c r="AC527" i="3"/>
  <c r="AB528" i="3"/>
  <c r="AB527" i="3"/>
  <c r="AC520" i="3"/>
  <c r="AB521" i="3"/>
  <c r="AB520" i="3"/>
  <c r="AC513" i="3"/>
  <c r="AB514" i="3"/>
  <c r="AB513" i="3"/>
  <c r="AC506" i="3"/>
  <c r="AB507" i="3"/>
  <c r="AB506" i="3"/>
  <c r="AA562" i="3"/>
  <c r="Z568" i="3"/>
  <c r="Y568" i="3"/>
  <c r="Z567" i="3"/>
  <c r="Y567" i="3"/>
  <c r="Z566" i="3"/>
  <c r="Y566" i="3"/>
  <c r="Z565" i="3"/>
  <c r="Y565" i="3"/>
  <c r="Z564" i="3"/>
  <c r="Y564" i="3"/>
  <c r="Z563" i="3"/>
  <c r="Y563" i="3"/>
  <c r="Z562" i="3"/>
  <c r="Y562" i="3"/>
  <c r="AA555" i="3"/>
  <c r="Z561" i="3"/>
  <c r="Y561" i="3"/>
  <c r="Z560" i="3"/>
  <c r="Y560" i="3"/>
  <c r="Z559" i="3"/>
  <c r="Y559" i="3"/>
  <c r="Z558" i="3"/>
  <c r="Y558" i="3"/>
  <c r="Z557" i="3"/>
  <c r="Y557" i="3"/>
  <c r="Z556" i="3"/>
  <c r="Y556" i="3"/>
  <c r="Z555" i="3"/>
  <c r="Y555" i="3"/>
  <c r="AA548" i="3"/>
  <c r="Z554" i="3"/>
  <c r="Y554" i="3"/>
  <c r="Z553" i="3"/>
  <c r="Y553" i="3"/>
  <c r="Z552" i="3"/>
  <c r="Y552" i="3"/>
  <c r="Z551" i="3"/>
  <c r="Y551" i="3"/>
  <c r="Z550" i="3"/>
  <c r="Y550" i="3"/>
  <c r="Z549" i="3"/>
  <c r="Y549" i="3"/>
  <c r="Z548" i="3"/>
  <c r="Y548" i="3"/>
  <c r="AA541" i="3"/>
  <c r="Z547" i="3"/>
  <c r="Y547" i="3"/>
  <c r="Z546" i="3"/>
  <c r="Y546" i="3"/>
  <c r="Z545" i="3"/>
  <c r="Y545" i="3"/>
  <c r="Z544" i="3"/>
  <c r="Y544" i="3"/>
  <c r="Z543" i="3"/>
  <c r="Y543" i="3"/>
  <c r="Z542" i="3"/>
  <c r="Y542" i="3"/>
  <c r="Z541" i="3"/>
  <c r="Y541" i="3"/>
  <c r="AA534" i="3"/>
  <c r="Z540" i="3"/>
  <c r="Y540" i="3"/>
  <c r="Z539" i="3"/>
  <c r="Y539" i="3"/>
  <c r="Z538" i="3"/>
  <c r="Y538" i="3"/>
  <c r="Z537" i="3"/>
  <c r="Y537" i="3"/>
  <c r="Z536" i="3"/>
  <c r="Y536" i="3"/>
  <c r="Z535" i="3"/>
  <c r="Y535" i="3"/>
  <c r="Z534" i="3"/>
  <c r="Y534" i="3"/>
  <c r="AA527" i="3"/>
  <c r="Z533" i="3"/>
  <c r="Y533" i="3"/>
  <c r="Z532" i="3"/>
  <c r="Y532" i="3"/>
  <c r="Z531" i="3"/>
  <c r="Y531" i="3"/>
  <c r="Z530" i="3"/>
  <c r="Y530" i="3"/>
  <c r="Z529" i="3"/>
  <c r="Y529" i="3"/>
  <c r="Z528" i="3"/>
  <c r="Y528" i="3"/>
  <c r="Z527" i="3"/>
  <c r="Y527" i="3"/>
  <c r="AA520" i="3"/>
  <c r="Z526" i="3"/>
  <c r="Y526" i="3"/>
  <c r="Z525" i="3"/>
  <c r="Y525" i="3"/>
  <c r="Z524" i="3"/>
  <c r="Y524" i="3"/>
  <c r="Z523" i="3"/>
  <c r="Y523" i="3"/>
  <c r="Z522" i="3"/>
  <c r="Y522" i="3"/>
  <c r="Z521" i="3"/>
  <c r="Y521" i="3"/>
  <c r="Z520" i="3"/>
  <c r="Y520" i="3"/>
  <c r="AA513" i="3"/>
  <c r="Z519" i="3"/>
  <c r="Y519" i="3"/>
  <c r="Z518" i="3"/>
  <c r="Y518" i="3"/>
  <c r="Z517" i="3"/>
  <c r="Y517" i="3"/>
  <c r="Z516" i="3"/>
  <c r="Y516" i="3"/>
  <c r="Z515" i="3"/>
  <c r="Y515" i="3"/>
  <c r="Z514" i="3"/>
  <c r="Y514" i="3"/>
  <c r="Z513" i="3"/>
  <c r="Y513" i="3"/>
  <c r="AA506" i="3"/>
  <c r="Z512" i="3"/>
  <c r="Y512" i="3"/>
  <c r="Z511" i="3"/>
  <c r="Y511" i="3"/>
  <c r="Z510" i="3"/>
  <c r="Y510" i="3"/>
  <c r="Z509" i="3"/>
  <c r="Y509" i="3"/>
  <c r="Z508" i="3"/>
  <c r="Y508" i="3"/>
  <c r="Z507" i="3"/>
  <c r="Y507" i="3"/>
  <c r="Z506" i="3"/>
  <c r="Y506" i="3"/>
  <c r="X562" i="3"/>
  <c r="X555" i="3"/>
  <c r="X548" i="3"/>
  <c r="X541" i="3"/>
  <c r="X534" i="3"/>
  <c r="X527" i="3"/>
  <c r="X520" i="3"/>
  <c r="X513" i="3"/>
  <c r="X506" i="3"/>
  <c r="AF443" i="3"/>
  <c r="AE443" i="3"/>
  <c r="AE464" i="3"/>
  <c r="AE463" i="3"/>
  <c r="AE462" i="3"/>
  <c r="AE461" i="3"/>
  <c r="AE460" i="3"/>
  <c r="AE459" i="3"/>
  <c r="AE458" i="3"/>
  <c r="AE457" i="3"/>
  <c r="AE456" i="3"/>
  <c r="AE455" i="3"/>
  <c r="AE454" i="3"/>
  <c r="AE453" i="3"/>
  <c r="AE452" i="3"/>
  <c r="AE451" i="3"/>
  <c r="AE450" i="3"/>
  <c r="AE449" i="3"/>
  <c r="AE448" i="3"/>
  <c r="AE447" i="3"/>
  <c r="AE446" i="3"/>
  <c r="AE445" i="3"/>
  <c r="AE444" i="3"/>
  <c r="AD443" i="3"/>
  <c r="AD445" i="3"/>
  <c r="AD444" i="3"/>
  <c r="AC499" i="3"/>
  <c r="AB500" i="3"/>
  <c r="AB499" i="3"/>
  <c r="AC492" i="3"/>
  <c r="AB493" i="3"/>
  <c r="AB492" i="3"/>
  <c r="AC485" i="3"/>
  <c r="AB486" i="3"/>
  <c r="AB485" i="3"/>
  <c r="AC478" i="3"/>
  <c r="AB479" i="3"/>
  <c r="AB478" i="3"/>
  <c r="AC471" i="3"/>
  <c r="AB472" i="3"/>
  <c r="AB471" i="3"/>
  <c r="AC464" i="3"/>
  <c r="AB465" i="3"/>
  <c r="AB464" i="3"/>
  <c r="AC457" i="3"/>
  <c r="AB458" i="3"/>
  <c r="AB457" i="3"/>
  <c r="AC450" i="3"/>
  <c r="AB451" i="3"/>
  <c r="AB450" i="3"/>
  <c r="AC443" i="3"/>
  <c r="AB444" i="3"/>
  <c r="AB443" i="3"/>
  <c r="AA499" i="3"/>
  <c r="Z505" i="3"/>
  <c r="Y505" i="3"/>
  <c r="Z504" i="3"/>
  <c r="Y504" i="3"/>
  <c r="Z503" i="3"/>
  <c r="Y503" i="3"/>
  <c r="Z502" i="3"/>
  <c r="Y502" i="3"/>
  <c r="Z501" i="3"/>
  <c r="Y501" i="3"/>
  <c r="Z500" i="3"/>
  <c r="Y500" i="3"/>
  <c r="Z499" i="3"/>
  <c r="Y499" i="3"/>
  <c r="AA492" i="3"/>
  <c r="Z498" i="3"/>
  <c r="Y498" i="3"/>
  <c r="Z497" i="3"/>
  <c r="Y497" i="3"/>
  <c r="Z496" i="3"/>
  <c r="Y496" i="3"/>
  <c r="Z495" i="3"/>
  <c r="Y495" i="3"/>
  <c r="Z494" i="3"/>
  <c r="Y494" i="3"/>
  <c r="Z493" i="3"/>
  <c r="Y493" i="3"/>
  <c r="Z492" i="3"/>
  <c r="Y492" i="3"/>
  <c r="AA485" i="3"/>
  <c r="Z491" i="3"/>
  <c r="Y491" i="3"/>
  <c r="Z490" i="3"/>
  <c r="Y490" i="3"/>
  <c r="Z489" i="3"/>
  <c r="Y489" i="3"/>
  <c r="Z488" i="3"/>
  <c r="Y488" i="3"/>
  <c r="Z487" i="3"/>
  <c r="Y487" i="3"/>
  <c r="Z486" i="3"/>
  <c r="Y486" i="3"/>
  <c r="Z485" i="3"/>
  <c r="Y485" i="3"/>
  <c r="AA478" i="3"/>
  <c r="Z484" i="3"/>
  <c r="Y484" i="3"/>
  <c r="Z483" i="3"/>
  <c r="Y483" i="3"/>
  <c r="Z482" i="3"/>
  <c r="Y482" i="3"/>
  <c r="Z481" i="3"/>
  <c r="Y481" i="3"/>
  <c r="Z480" i="3"/>
  <c r="Y480" i="3"/>
  <c r="Z479" i="3"/>
  <c r="Y479" i="3"/>
  <c r="Z478" i="3"/>
  <c r="Y478" i="3"/>
  <c r="AA471" i="3"/>
  <c r="Z477" i="3"/>
  <c r="Y477" i="3"/>
  <c r="Z476" i="3"/>
  <c r="Y476" i="3"/>
  <c r="Z475" i="3"/>
  <c r="Y475" i="3"/>
  <c r="Z474" i="3"/>
  <c r="Y474" i="3"/>
  <c r="Z473" i="3"/>
  <c r="Y473" i="3"/>
  <c r="Z472" i="3"/>
  <c r="Y472" i="3"/>
  <c r="Z471" i="3"/>
  <c r="Y471" i="3"/>
  <c r="AA464" i="3"/>
  <c r="Z470" i="3"/>
  <c r="Y470" i="3"/>
  <c r="Z469" i="3"/>
  <c r="Y469" i="3"/>
  <c r="Z468" i="3"/>
  <c r="Y468" i="3"/>
  <c r="Z467" i="3"/>
  <c r="Y467" i="3"/>
  <c r="Z466" i="3"/>
  <c r="Y466" i="3"/>
  <c r="Z465" i="3"/>
  <c r="Y465" i="3"/>
  <c r="Z464" i="3"/>
  <c r="Y464" i="3"/>
  <c r="AA457" i="3"/>
  <c r="Z463" i="3"/>
  <c r="Y463" i="3"/>
  <c r="Z462" i="3"/>
  <c r="Y462" i="3"/>
  <c r="Z461" i="3"/>
  <c r="Y461" i="3"/>
  <c r="Z460" i="3"/>
  <c r="Y460" i="3"/>
  <c r="Z459" i="3"/>
  <c r="Y459" i="3"/>
  <c r="Z458" i="3"/>
  <c r="Y458" i="3"/>
  <c r="Z457" i="3"/>
  <c r="Y457" i="3"/>
  <c r="AA450" i="3"/>
  <c r="Z456" i="3"/>
  <c r="Y456" i="3"/>
  <c r="Z455" i="3"/>
  <c r="Y455" i="3"/>
  <c r="Z454" i="3"/>
  <c r="Y454" i="3"/>
  <c r="Z453" i="3"/>
  <c r="Y453" i="3"/>
  <c r="Z452" i="3"/>
  <c r="Y452" i="3"/>
  <c r="Z451" i="3"/>
  <c r="Y451" i="3"/>
  <c r="Z450" i="3"/>
  <c r="Y450" i="3"/>
  <c r="AA443" i="3"/>
  <c r="Z449" i="3"/>
  <c r="Y449" i="3"/>
  <c r="Z448" i="3"/>
  <c r="Y448" i="3"/>
  <c r="Z447" i="3"/>
  <c r="Y447" i="3"/>
  <c r="Z446" i="3"/>
  <c r="Y446" i="3"/>
  <c r="Z445" i="3"/>
  <c r="Y445" i="3"/>
  <c r="Z444" i="3"/>
  <c r="Y444" i="3"/>
  <c r="Z443" i="3"/>
  <c r="Y443" i="3"/>
  <c r="X499" i="3"/>
  <c r="X492" i="3"/>
  <c r="X485" i="3"/>
  <c r="X478" i="3"/>
  <c r="X471" i="3"/>
  <c r="X464" i="3"/>
  <c r="X457" i="3"/>
  <c r="X450" i="3"/>
  <c r="X443" i="3"/>
  <c r="AF380" i="3"/>
  <c r="AE380" i="3"/>
  <c r="AE401" i="3"/>
  <c r="AE400" i="3"/>
  <c r="AE399" i="3"/>
  <c r="AE398" i="3"/>
  <c r="AE397" i="3"/>
  <c r="AE396" i="3"/>
  <c r="AE395" i="3"/>
  <c r="AE394" i="3"/>
  <c r="AE393" i="3"/>
  <c r="AE392" i="3"/>
  <c r="AE391" i="3"/>
  <c r="AE390" i="3"/>
  <c r="AE389" i="3"/>
  <c r="AE388" i="3"/>
  <c r="AE387" i="3"/>
  <c r="AE386" i="3"/>
  <c r="AE385" i="3"/>
  <c r="AE384" i="3"/>
  <c r="AE383" i="3"/>
  <c r="AE382" i="3"/>
  <c r="AE381" i="3"/>
  <c r="AD380" i="3"/>
  <c r="AD382" i="3"/>
  <c r="AD381" i="3"/>
  <c r="AC436" i="3"/>
  <c r="AB437" i="3"/>
  <c r="AB436" i="3"/>
  <c r="AC429" i="3"/>
  <c r="AB430" i="3"/>
  <c r="AB429" i="3"/>
  <c r="AC422" i="3"/>
  <c r="AB423" i="3"/>
  <c r="AB422" i="3"/>
  <c r="AC415" i="3"/>
  <c r="AB416" i="3"/>
  <c r="AB415" i="3"/>
  <c r="AC408" i="3"/>
  <c r="AB409" i="3"/>
  <c r="AB408" i="3"/>
  <c r="AC401" i="3"/>
  <c r="AB402" i="3"/>
  <c r="AB401" i="3"/>
  <c r="AC394" i="3"/>
  <c r="AB395" i="3"/>
  <c r="AB394" i="3"/>
  <c r="AC387" i="3"/>
  <c r="AB388" i="3"/>
  <c r="AB387" i="3"/>
  <c r="AC380" i="3"/>
  <c r="AB381" i="3"/>
  <c r="AB380" i="3"/>
  <c r="AA436" i="3"/>
  <c r="Z442" i="3"/>
  <c r="Y442" i="3"/>
  <c r="Z441" i="3"/>
  <c r="Y441" i="3"/>
  <c r="Z440" i="3"/>
  <c r="Y440" i="3"/>
  <c r="Z439" i="3"/>
  <c r="Y439" i="3"/>
  <c r="Z438" i="3"/>
  <c r="Y438" i="3"/>
  <c r="Z437" i="3"/>
  <c r="Y437" i="3"/>
  <c r="Z436" i="3"/>
  <c r="Y436" i="3"/>
  <c r="AA429" i="3"/>
  <c r="Z435" i="3"/>
  <c r="Y435" i="3"/>
  <c r="Z434" i="3"/>
  <c r="Y434" i="3"/>
  <c r="Z433" i="3"/>
  <c r="Y433" i="3"/>
  <c r="Z432" i="3"/>
  <c r="Y432" i="3"/>
  <c r="Z431" i="3"/>
  <c r="Y431" i="3"/>
  <c r="Z430" i="3"/>
  <c r="Y430" i="3"/>
  <c r="Z429" i="3"/>
  <c r="Y429" i="3"/>
  <c r="AA422" i="3"/>
  <c r="Z428" i="3"/>
  <c r="Y428" i="3"/>
  <c r="Z427" i="3"/>
  <c r="Y427" i="3"/>
  <c r="Z426" i="3"/>
  <c r="Y426" i="3"/>
  <c r="Z425" i="3"/>
  <c r="Y425" i="3"/>
  <c r="Z424" i="3"/>
  <c r="Y424" i="3"/>
  <c r="Z423" i="3"/>
  <c r="Y423" i="3"/>
  <c r="Z422" i="3"/>
  <c r="Y422" i="3"/>
  <c r="AA415" i="3"/>
  <c r="Z421" i="3"/>
  <c r="Y421" i="3"/>
  <c r="Z420" i="3"/>
  <c r="Y420" i="3"/>
  <c r="Z419" i="3"/>
  <c r="Y419" i="3"/>
  <c r="Z418" i="3"/>
  <c r="Y418" i="3"/>
  <c r="Z417" i="3"/>
  <c r="Y417" i="3"/>
  <c r="Z416" i="3"/>
  <c r="Y416" i="3"/>
  <c r="Z415" i="3"/>
  <c r="Y415" i="3"/>
  <c r="AA408" i="3"/>
  <c r="Z414" i="3"/>
  <c r="Y414" i="3"/>
  <c r="Z413" i="3"/>
  <c r="Y413" i="3"/>
  <c r="Z412" i="3"/>
  <c r="Y412" i="3"/>
  <c r="Z411" i="3"/>
  <c r="Y411" i="3"/>
  <c r="Z410" i="3"/>
  <c r="Y410" i="3"/>
  <c r="Z409" i="3"/>
  <c r="Y409" i="3"/>
  <c r="Z408" i="3"/>
  <c r="Y408" i="3"/>
  <c r="AA401" i="3"/>
  <c r="Z407" i="3"/>
  <c r="Y407" i="3"/>
  <c r="Z406" i="3"/>
  <c r="Y406" i="3"/>
  <c r="Z405" i="3"/>
  <c r="Y405" i="3"/>
  <c r="Z404" i="3"/>
  <c r="Y404" i="3"/>
  <c r="Z403" i="3"/>
  <c r="Y403" i="3"/>
  <c r="Z402" i="3"/>
  <c r="Y402" i="3"/>
  <c r="Z401" i="3"/>
  <c r="Y401" i="3"/>
  <c r="AA394" i="3"/>
  <c r="Z400" i="3"/>
  <c r="Y400" i="3"/>
  <c r="Z399" i="3"/>
  <c r="Y399" i="3"/>
  <c r="Z398" i="3"/>
  <c r="Y398" i="3"/>
  <c r="Z397" i="3"/>
  <c r="Y397" i="3"/>
  <c r="Z396" i="3"/>
  <c r="Y396" i="3"/>
  <c r="Z395" i="3"/>
  <c r="Y395" i="3"/>
  <c r="Z394" i="3"/>
  <c r="Y394" i="3"/>
  <c r="AA387" i="3"/>
  <c r="Z393" i="3"/>
  <c r="Y393" i="3"/>
  <c r="Z392" i="3"/>
  <c r="Y392" i="3"/>
  <c r="Z391" i="3"/>
  <c r="Y391" i="3"/>
  <c r="Z390" i="3"/>
  <c r="Y390" i="3"/>
  <c r="Z389" i="3"/>
  <c r="Y389" i="3"/>
  <c r="Z388" i="3"/>
  <c r="Y388" i="3"/>
  <c r="Z387" i="3"/>
  <c r="Y387" i="3"/>
  <c r="AA380" i="3"/>
  <c r="Z386" i="3"/>
  <c r="Y386" i="3"/>
  <c r="Z385" i="3"/>
  <c r="Y385" i="3"/>
  <c r="Z384" i="3"/>
  <c r="Y384" i="3"/>
  <c r="Z383" i="3"/>
  <c r="Y383" i="3"/>
  <c r="Z382" i="3"/>
  <c r="Y382" i="3"/>
  <c r="Z381" i="3"/>
  <c r="Y381" i="3"/>
  <c r="Z380" i="3"/>
  <c r="Y380" i="3"/>
  <c r="X436" i="3"/>
  <c r="X429" i="3"/>
  <c r="X422" i="3"/>
  <c r="X415" i="3"/>
  <c r="X408" i="3"/>
  <c r="X401" i="3"/>
  <c r="X394" i="3"/>
  <c r="X387" i="3"/>
  <c r="X380" i="3"/>
  <c r="AF317" i="3"/>
  <c r="AE317" i="3"/>
  <c r="AE338" i="3"/>
  <c r="AE337" i="3"/>
  <c r="AE336" i="3"/>
  <c r="AE335" i="3"/>
  <c r="AE334" i="3"/>
  <c r="AE333" i="3"/>
  <c r="AE332" i="3"/>
  <c r="AE331" i="3"/>
  <c r="AE330" i="3"/>
  <c r="AE329" i="3"/>
  <c r="AE328" i="3"/>
  <c r="AE327" i="3"/>
  <c r="AE326" i="3"/>
  <c r="AE325" i="3"/>
  <c r="AE324" i="3"/>
  <c r="AE323" i="3"/>
  <c r="AE322" i="3"/>
  <c r="AE321" i="3"/>
  <c r="AE320" i="3"/>
  <c r="AE319" i="3"/>
  <c r="AE318" i="3"/>
  <c r="AD317" i="3"/>
  <c r="AD319" i="3"/>
  <c r="AD318" i="3"/>
  <c r="AC373" i="3"/>
  <c r="AB374" i="3"/>
  <c r="AB373" i="3"/>
  <c r="AC366" i="3"/>
  <c r="AB367" i="3"/>
  <c r="AB366" i="3"/>
  <c r="AC359" i="3"/>
  <c r="AB360" i="3"/>
  <c r="AB359" i="3"/>
  <c r="AC352" i="3"/>
  <c r="AB353" i="3"/>
  <c r="AB352" i="3"/>
  <c r="AC345" i="3"/>
  <c r="AB346" i="3"/>
  <c r="AB345" i="3"/>
  <c r="AC338" i="3"/>
  <c r="AB339" i="3"/>
  <c r="AB338" i="3"/>
  <c r="AC331" i="3"/>
  <c r="AB332" i="3"/>
  <c r="AB331" i="3"/>
  <c r="AC324" i="3"/>
  <c r="AB325" i="3"/>
  <c r="AB324" i="3"/>
  <c r="AC317" i="3"/>
  <c r="AB318" i="3"/>
  <c r="AB317" i="3"/>
  <c r="AA373" i="3"/>
  <c r="Z379" i="3"/>
  <c r="Y379" i="3"/>
  <c r="Z378" i="3"/>
  <c r="Y378" i="3"/>
  <c r="Z377" i="3"/>
  <c r="Y377" i="3"/>
  <c r="Z376" i="3"/>
  <c r="Y376" i="3"/>
  <c r="Z375" i="3"/>
  <c r="Y375" i="3"/>
  <c r="Z374" i="3"/>
  <c r="Y374" i="3"/>
  <c r="Z373" i="3"/>
  <c r="Y373" i="3"/>
  <c r="AA366" i="3"/>
  <c r="Z372" i="3"/>
  <c r="Y372" i="3"/>
  <c r="Z371" i="3"/>
  <c r="Y371" i="3"/>
  <c r="Z370" i="3"/>
  <c r="Y370" i="3"/>
  <c r="Z369" i="3"/>
  <c r="Y369" i="3"/>
  <c r="Z368" i="3"/>
  <c r="Y368" i="3"/>
  <c r="Z367" i="3"/>
  <c r="Y367" i="3"/>
  <c r="Z366" i="3"/>
  <c r="Y366" i="3"/>
  <c r="AA359" i="3"/>
  <c r="Z365" i="3"/>
  <c r="Y365" i="3"/>
  <c r="Z364" i="3"/>
  <c r="Y364" i="3"/>
  <c r="Z363" i="3"/>
  <c r="Y363" i="3"/>
  <c r="Z362" i="3"/>
  <c r="Y362" i="3"/>
  <c r="Z361" i="3"/>
  <c r="Y361" i="3"/>
  <c r="Z360" i="3"/>
  <c r="Y360" i="3"/>
  <c r="Z359" i="3"/>
  <c r="Y359" i="3"/>
  <c r="AA352" i="3"/>
  <c r="Z358" i="3"/>
  <c r="Y358" i="3"/>
  <c r="Z357" i="3"/>
  <c r="Y357" i="3"/>
  <c r="Z356" i="3"/>
  <c r="Y356" i="3"/>
  <c r="Z355" i="3"/>
  <c r="Y355" i="3"/>
  <c r="Z354" i="3"/>
  <c r="Y354" i="3"/>
  <c r="Z353" i="3"/>
  <c r="Y353" i="3"/>
  <c r="Z352" i="3"/>
  <c r="Y352" i="3"/>
  <c r="AA345" i="3"/>
  <c r="Z351" i="3"/>
  <c r="Y351" i="3"/>
  <c r="Z350" i="3"/>
  <c r="Y350" i="3"/>
  <c r="Z349" i="3"/>
  <c r="Y349" i="3"/>
  <c r="Z348" i="3"/>
  <c r="Y348" i="3"/>
  <c r="Z347" i="3"/>
  <c r="Y347" i="3"/>
  <c r="Z346" i="3"/>
  <c r="Y346" i="3"/>
  <c r="Z345" i="3"/>
  <c r="Y345" i="3"/>
  <c r="AA338" i="3"/>
  <c r="Z344" i="3"/>
  <c r="Y344" i="3"/>
  <c r="Z343" i="3"/>
  <c r="Y343" i="3"/>
  <c r="Z342" i="3"/>
  <c r="Y342" i="3"/>
  <c r="Z341" i="3"/>
  <c r="Y341" i="3"/>
  <c r="Z340" i="3"/>
  <c r="Y340" i="3"/>
  <c r="Z339" i="3"/>
  <c r="Y339" i="3"/>
  <c r="Z338" i="3"/>
  <c r="Y338" i="3"/>
  <c r="AA331" i="3"/>
  <c r="Z337" i="3"/>
  <c r="Y337" i="3"/>
  <c r="Z336" i="3"/>
  <c r="Y336" i="3"/>
  <c r="Z335" i="3"/>
  <c r="Y335" i="3"/>
  <c r="Z334" i="3"/>
  <c r="Y334" i="3"/>
  <c r="Z333" i="3"/>
  <c r="Y333" i="3"/>
  <c r="Z332" i="3"/>
  <c r="Y332" i="3"/>
  <c r="Z331" i="3"/>
  <c r="Y331" i="3"/>
  <c r="AA324" i="3"/>
  <c r="Z330" i="3"/>
  <c r="Y330" i="3"/>
  <c r="Z329" i="3"/>
  <c r="Y329" i="3"/>
  <c r="Z328" i="3"/>
  <c r="Y328" i="3"/>
  <c r="Z327" i="3"/>
  <c r="Y327" i="3"/>
  <c r="Z326" i="3"/>
  <c r="Y326" i="3"/>
  <c r="Z325" i="3"/>
  <c r="Y325" i="3"/>
  <c r="Z324" i="3"/>
  <c r="Y324" i="3"/>
  <c r="AA317" i="3"/>
  <c r="Z323" i="3"/>
  <c r="Y323" i="3"/>
  <c r="Z322" i="3"/>
  <c r="Y322" i="3"/>
  <c r="Z321" i="3"/>
  <c r="Y321" i="3"/>
  <c r="Z320" i="3"/>
  <c r="Y320" i="3"/>
  <c r="Z319" i="3"/>
  <c r="Y319" i="3"/>
  <c r="Z318" i="3"/>
  <c r="Y318" i="3"/>
  <c r="Z317" i="3"/>
  <c r="Y317" i="3"/>
  <c r="X373" i="3"/>
  <c r="X366" i="3"/>
  <c r="X359" i="3"/>
  <c r="X352" i="3"/>
  <c r="X345" i="3"/>
  <c r="X338" i="3"/>
  <c r="X331" i="3"/>
  <c r="X324" i="3"/>
  <c r="X317" i="3"/>
  <c r="AF254" i="3"/>
  <c r="AE254" i="3"/>
  <c r="AE275" i="3"/>
  <c r="AE274" i="3"/>
  <c r="AE273" i="3"/>
  <c r="AE272" i="3"/>
  <c r="AE271" i="3"/>
  <c r="AE270" i="3"/>
  <c r="AE269" i="3"/>
  <c r="AE268" i="3"/>
  <c r="AE267" i="3"/>
  <c r="AE266" i="3"/>
  <c r="AE265" i="3"/>
  <c r="AE264" i="3"/>
  <c r="AE263" i="3"/>
  <c r="AE262" i="3"/>
  <c r="AE261" i="3"/>
  <c r="AE260" i="3"/>
  <c r="AE259" i="3"/>
  <c r="AE258" i="3"/>
  <c r="AE257" i="3"/>
  <c r="AE256" i="3"/>
  <c r="AE255" i="3"/>
  <c r="AD254" i="3"/>
  <c r="AD256" i="3"/>
  <c r="AD255" i="3"/>
  <c r="AC310" i="3"/>
  <c r="AB311" i="3"/>
  <c r="AB310" i="3"/>
  <c r="AC303" i="3"/>
  <c r="AB304" i="3"/>
  <c r="AB303" i="3"/>
  <c r="AC296" i="3"/>
  <c r="AB297" i="3"/>
  <c r="AB296" i="3"/>
  <c r="AC289" i="3"/>
  <c r="AB290" i="3"/>
  <c r="AB289" i="3"/>
  <c r="AC282" i="3"/>
  <c r="AB283" i="3"/>
  <c r="AB282" i="3"/>
  <c r="AC275" i="3"/>
  <c r="AB276" i="3"/>
  <c r="AB275" i="3"/>
  <c r="AC268" i="3"/>
  <c r="AB269" i="3"/>
  <c r="AB268" i="3"/>
  <c r="AC261" i="3"/>
  <c r="AB262" i="3"/>
  <c r="AB261" i="3"/>
  <c r="AC254" i="3"/>
  <c r="AB255" i="3"/>
  <c r="AB254" i="3"/>
  <c r="AA310" i="3"/>
  <c r="Z316" i="3"/>
  <c r="Y316" i="3"/>
  <c r="Z315" i="3"/>
  <c r="Y315" i="3"/>
  <c r="Z314" i="3"/>
  <c r="Y314" i="3"/>
  <c r="Z313" i="3"/>
  <c r="Y313" i="3"/>
  <c r="Z312" i="3"/>
  <c r="Y312" i="3"/>
  <c r="Z311" i="3"/>
  <c r="Y311" i="3"/>
  <c r="Z310" i="3"/>
  <c r="Y310" i="3"/>
  <c r="AA303" i="3"/>
  <c r="Z309" i="3"/>
  <c r="Y309" i="3"/>
  <c r="Z308" i="3"/>
  <c r="Y308" i="3"/>
  <c r="Z307" i="3"/>
  <c r="Y307" i="3"/>
  <c r="Z306" i="3"/>
  <c r="Y306" i="3"/>
  <c r="Z305" i="3"/>
  <c r="Y305" i="3"/>
  <c r="Z304" i="3"/>
  <c r="Y304" i="3"/>
  <c r="Z303" i="3"/>
  <c r="Y303" i="3"/>
  <c r="AA296" i="3"/>
  <c r="Z302" i="3"/>
  <c r="Y302" i="3"/>
  <c r="Z301" i="3"/>
  <c r="Y301" i="3"/>
  <c r="Z300" i="3"/>
  <c r="Y300" i="3"/>
  <c r="Z299" i="3"/>
  <c r="Y299" i="3"/>
  <c r="Z298" i="3"/>
  <c r="Y298" i="3"/>
  <c r="Z297" i="3"/>
  <c r="Y297" i="3"/>
  <c r="Z296" i="3"/>
  <c r="Y296" i="3"/>
  <c r="AA289" i="3"/>
  <c r="Z295" i="3"/>
  <c r="Y295" i="3"/>
  <c r="Z294" i="3"/>
  <c r="Y294" i="3"/>
  <c r="Z293" i="3"/>
  <c r="Y293" i="3"/>
  <c r="Z292" i="3"/>
  <c r="Y292" i="3"/>
  <c r="Z291" i="3"/>
  <c r="Y291" i="3"/>
  <c r="Z290" i="3"/>
  <c r="Y290" i="3"/>
  <c r="Z289" i="3"/>
  <c r="Y289" i="3"/>
  <c r="AA282" i="3"/>
  <c r="Z288" i="3"/>
  <c r="Y288" i="3"/>
  <c r="Z287" i="3"/>
  <c r="Y287" i="3"/>
  <c r="Z286" i="3"/>
  <c r="Y286" i="3"/>
  <c r="Z285" i="3"/>
  <c r="Y285" i="3"/>
  <c r="Z284" i="3"/>
  <c r="Y284" i="3"/>
  <c r="Z283" i="3"/>
  <c r="Y283" i="3"/>
  <c r="Z282" i="3"/>
  <c r="Y282" i="3"/>
  <c r="AA275" i="3"/>
  <c r="Z281" i="3"/>
  <c r="Y281" i="3"/>
  <c r="Z280" i="3"/>
  <c r="Y280" i="3"/>
  <c r="Z279" i="3"/>
  <c r="Y279" i="3"/>
  <c r="Z278" i="3"/>
  <c r="Y278" i="3"/>
  <c r="Z277" i="3"/>
  <c r="Y277" i="3"/>
  <c r="Z276" i="3"/>
  <c r="Y276" i="3"/>
  <c r="Z275" i="3"/>
  <c r="Y275" i="3"/>
  <c r="AA268" i="3"/>
  <c r="Z274" i="3"/>
  <c r="Y274" i="3"/>
  <c r="Z273" i="3"/>
  <c r="Y273" i="3"/>
  <c r="Z272" i="3"/>
  <c r="Y272" i="3"/>
  <c r="Z271" i="3"/>
  <c r="Y271" i="3"/>
  <c r="Z270" i="3"/>
  <c r="Y270" i="3"/>
  <c r="Z269" i="3"/>
  <c r="Y269" i="3"/>
  <c r="Z268" i="3"/>
  <c r="Y268" i="3"/>
  <c r="AA261" i="3"/>
  <c r="Z267" i="3"/>
  <c r="Y267" i="3"/>
  <c r="Z266" i="3"/>
  <c r="Y266" i="3"/>
  <c r="Z265" i="3"/>
  <c r="Y265" i="3"/>
  <c r="Z264" i="3"/>
  <c r="Y264" i="3"/>
  <c r="Z263" i="3"/>
  <c r="Y263" i="3"/>
  <c r="Z262" i="3"/>
  <c r="Y262" i="3"/>
  <c r="Z261" i="3"/>
  <c r="Y261" i="3"/>
  <c r="AA254" i="3"/>
  <c r="Z260" i="3"/>
  <c r="Y260" i="3"/>
  <c r="Z259" i="3"/>
  <c r="Y259" i="3"/>
  <c r="Z258" i="3"/>
  <c r="Y258" i="3"/>
  <c r="Z257" i="3"/>
  <c r="Y257" i="3"/>
  <c r="Z256" i="3"/>
  <c r="Y256" i="3"/>
  <c r="Z255" i="3"/>
  <c r="Y255" i="3"/>
  <c r="Z254" i="3"/>
  <c r="Y254" i="3"/>
  <c r="X310" i="3"/>
  <c r="X303" i="3"/>
  <c r="X296" i="3"/>
  <c r="X289" i="3"/>
  <c r="X282" i="3"/>
  <c r="X275" i="3"/>
  <c r="X268" i="3"/>
  <c r="X261" i="3"/>
  <c r="X254" i="3"/>
  <c r="AF191" i="3"/>
  <c r="AE191" i="3"/>
  <c r="AE212" i="3"/>
  <c r="AE211" i="3"/>
  <c r="AE210" i="3"/>
  <c r="AE209" i="3"/>
  <c r="AE208" i="3"/>
  <c r="AE207" i="3"/>
  <c r="AE206" i="3"/>
  <c r="AE205" i="3"/>
  <c r="AE204" i="3"/>
  <c r="AE203" i="3"/>
  <c r="AE202" i="3"/>
  <c r="AE201" i="3"/>
  <c r="AE200" i="3"/>
  <c r="AE199" i="3"/>
  <c r="AE198" i="3"/>
  <c r="AE197" i="3"/>
  <c r="AE196" i="3"/>
  <c r="AE195" i="3"/>
  <c r="AE194" i="3"/>
  <c r="AE193" i="3"/>
  <c r="AE192" i="3"/>
  <c r="AD191" i="3"/>
  <c r="AD193" i="3"/>
  <c r="AD192" i="3"/>
  <c r="AC247" i="3"/>
  <c r="AB248" i="3"/>
  <c r="AB247" i="3"/>
  <c r="AC240" i="3"/>
  <c r="AB241" i="3"/>
  <c r="AB240" i="3"/>
  <c r="AC233" i="3"/>
  <c r="AB234" i="3"/>
  <c r="AB233" i="3"/>
  <c r="AC226" i="3"/>
  <c r="AB227" i="3"/>
  <c r="AB226" i="3"/>
  <c r="AC219" i="3"/>
  <c r="AB220" i="3"/>
  <c r="AB219" i="3"/>
  <c r="AC212" i="3"/>
  <c r="AB213" i="3"/>
  <c r="AB212" i="3"/>
  <c r="AC205" i="3"/>
  <c r="AB206" i="3"/>
  <c r="AB205" i="3"/>
  <c r="AC198" i="3"/>
  <c r="AB199" i="3"/>
  <c r="AB198" i="3"/>
  <c r="AC191" i="3"/>
  <c r="AB192" i="3"/>
  <c r="AB191" i="3"/>
  <c r="AA247" i="3"/>
  <c r="Z253" i="3"/>
  <c r="Y253" i="3"/>
  <c r="Z252" i="3"/>
  <c r="Y252" i="3"/>
  <c r="Z251" i="3"/>
  <c r="Y251" i="3"/>
  <c r="Z250" i="3"/>
  <c r="Y250" i="3"/>
  <c r="Z249" i="3"/>
  <c r="Y249" i="3"/>
  <c r="Z248" i="3"/>
  <c r="Y248" i="3"/>
  <c r="Z247" i="3"/>
  <c r="Y247" i="3"/>
  <c r="AA240" i="3"/>
  <c r="Z246" i="3"/>
  <c r="Y246" i="3"/>
  <c r="Z245" i="3"/>
  <c r="Y245" i="3"/>
  <c r="Z244" i="3"/>
  <c r="Y244" i="3"/>
  <c r="Z243" i="3"/>
  <c r="Y243" i="3"/>
  <c r="Z242" i="3"/>
  <c r="Y242" i="3"/>
  <c r="Z241" i="3"/>
  <c r="Y241" i="3"/>
  <c r="Z240" i="3"/>
  <c r="Y240" i="3"/>
  <c r="AA233" i="3"/>
  <c r="Z239" i="3"/>
  <c r="Y239" i="3"/>
  <c r="Z238" i="3"/>
  <c r="Y238" i="3"/>
  <c r="Z237" i="3"/>
  <c r="Y237" i="3"/>
  <c r="Z236" i="3"/>
  <c r="Y236" i="3"/>
  <c r="Z235" i="3"/>
  <c r="Y235" i="3"/>
  <c r="Z234" i="3"/>
  <c r="Y234" i="3"/>
  <c r="Z233" i="3"/>
  <c r="Y233" i="3"/>
  <c r="AA226" i="3"/>
  <c r="Z232" i="3"/>
  <c r="Y232" i="3"/>
  <c r="Z231" i="3"/>
  <c r="Y231" i="3"/>
  <c r="Z230" i="3"/>
  <c r="Y230" i="3"/>
  <c r="Z229" i="3"/>
  <c r="Y229" i="3"/>
  <c r="Z228" i="3"/>
  <c r="Y228" i="3"/>
  <c r="Z227" i="3"/>
  <c r="Y227" i="3"/>
  <c r="Z226" i="3"/>
  <c r="Y226" i="3"/>
  <c r="AA219" i="3"/>
  <c r="Z225" i="3"/>
  <c r="Y225" i="3"/>
  <c r="Z224" i="3"/>
  <c r="Y224" i="3"/>
  <c r="Z223" i="3"/>
  <c r="Y223" i="3"/>
  <c r="Z222" i="3"/>
  <c r="Y222" i="3"/>
  <c r="Z221" i="3"/>
  <c r="Y221" i="3"/>
  <c r="Z220" i="3"/>
  <c r="Y220" i="3"/>
  <c r="Z219" i="3"/>
  <c r="Y219" i="3"/>
  <c r="AA212" i="3"/>
  <c r="Z218" i="3"/>
  <c r="Y218" i="3"/>
  <c r="Z217" i="3"/>
  <c r="Y217" i="3"/>
  <c r="Z216" i="3"/>
  <c r="Y216" i="3"/>
  <c r="Z215" i="3"/>
  <c r="Y215" i="3"/>
  <c r="Z214" i="3"/>
  <c r="Y214" i="3"/>
  <c r="Z213" i="3"/>
  <c r="Y213" i="3"/>
  <c r="Z212" i="3"/>
  <c r="Y212" i="3"/>
  <c r="AA205" i="3"/>
  <c r="Z211" i="3"/>
  <c r="Y211" i="3"/>
  <c r="Z210" i="3"/>
  <c r="Y210" i="3"/>
  <c r="Z209" i="3"/>
  <c r="Y209" i="3"/>
  <c r="Z208" i="3"/>
  <c r="Y208" i="3"/>
  <c r="Z207" i="3"/>
  <c r="Y207" i="3"/>
  <c r="Z206" i="3"/>
  <c r="Y206" i="3"/>
  <c r="Z205" i="3"/>
  <c r="Y205" i="3"/>
  <c r="AA198" i="3"/>
  <c r="Z204" i="3"/>
  <c r="Y204" i="3"/>
  <c r="Z203" i="3"/>
  <c r="Y203" i="3"/>
  <c r="Z202" i="3"/>
  <c r="Y202" i="3"/>
  <c r="Z201" i="3"/>
  <c r="Y201" i="3"/>
  <c r="Z200" i="3"/>
  <c r="Y200" i="3"/>
  <c r="Z199" i="3"/>
  <c r="Y199" i="3"/>
  <c r="Z198" i="3"/>
  <c r="Y198" i="3"/>
  <c r="AA191" i="3"/>
  <c r="Z197" i="3"/>
  <c r="Y197" i="3"/>
  <c r="Z196" i="3"/>
  <c r="Y196" i="3"/>
  <c r="Z195" i="3"/>
  <c r="Y195" i="3"/>
  <c r="Z194" i="3"/>
  <c r="Y194" i="3"/>
  <c r="Z193" i="3"/>
  <c r="Y193" i="3"/>
  <c r="Z192" i="3"/>
  <c r="Y192" i="3"/>
  <c r="Z191" i="3"/>
  <c r="Y191" i="3"/>
  <c r="X247" i="3"/>
  <c r="X240" i="3"/>
  <c r="X233" i="3"/>
  <c r="X226" i="3"/>
  <c r="X219" i="3"/>
  <c r="X212" i="3"/>
  <c r="X205" i="3"/>
  <c r="X198" i="3"/>
  <c r="X191" i="3"/>
  <c r="AF128" i="3"/>
  <c r="AE128" i="3"/>
  <c r="AE149" i="3"/>
  <c r="AE148" i="3"/>
  <c r="AE147" i="3"/>
  <c r="AE146" i="3"/>
  <c r="AE145" i="3"/>
  <c r="AE144" i="3"/>
  <c r="AE143" i="3"/>
  <c r="AE142" i="3"/>
  <c r="AE141" i="3"/>
  <c r="AE140" i="3"/>
  <c r="AE139" i="3"/>
  <c r="AE138" i="3"/>
  <c r="AE137" i="3"/>
  <c r="AE136" i="3"/>
  <c r="AE135" i="3"/>
  <c r="AE134" i="3"/>
  <c r="AE133" i="3"/>
  <c r="AE132" i="3"/>
  <c r="AE131" i="3"/>
  <c r="AE130" i="3"/>
  <c r="AE129" i="3"/>
  <c r="AD128" i="3"/>
  <c r="AD130" i="3"/>
  <c r="AD129" i="3"/>
  <c r="AC184" i="3"/>
  <c r="AB185" i="3"/>
  <c r="AB184" i="3"/>
  <c r="AC177" i="3"/>
  <c r="AB178" i="3"/>
  <c r="AB177" i="3"/>
  <c r="AC170" i="3"/>
  <c r="AB171" i="3"/>
  <c r="AB170" i="3"/>
  <c r="AC163" i="3"/>
  <c r="AB164" i="3"/>
  <c r="AB163" i="3"/>
  <c r="AC156" i="3"/>
  <c r="AB157" i="3"/>
  <c r="AB156" i="3"/>
  <c r="AC149" i="3"/>
  <c r="AB150" i="3"/>
  <c r="AB149" i="3"/>
  <c r="AC142" i="3"/>
  <c r="AB143" i="3"/>
  <c r="AB142" i="3"/>
  <c r="AC135" i="3"/>
  <c r="AB136" i="3"/>
  <c r="AB135" i="3"/>
  <c r="AC128" i="3"/>
  <c r="AB129" i="3"/>
  <c r="AB128" i="3"/>
  <c r="AA184" i="3"/>
  <c r="Z190" i="3"/>
  <c r="Y190" i="3"/>
  <c r="Z189" i="3"/>
  <c r="Y189" i="3"/>
  <c r="Z188" i="3"/>
  <c r="Y188" i="3"/>
  <c r="Z187" i="3"/>
  <c r="Y187" i="3"/>
  <c r="Z186" i="3"/>
  <c r="Y186" i="3"/>
  <c r="Z185" i="3"/>
  <c r="Y185" i="3"/>
  <c r="Z184" i="3"/>
  <c r="Y184" i="3"/>
  <c r="AA177" i="3"/>
  <c r="Z183" i="3"/>
  <c r="Y183" i="3"/>
  <c r="Z182" i="3"/>
  <c r="Y182" i="3"/>
  <c r="Z181" i="3"/>
  <c r="Y181" i="3"/>
  <c r="Z180" i="3"/>
  <c r="Y180" i="3"/>
  <c r="Z179" i="3"/>
  <c r="Y179" i="3"/>
  <c r="Z178" i="3"/>
  <c r="Y178" i="3"/>
  <c r="Z177" i="3"/>
  <c r="Y177" i="3"/>
  <c r="AA170" i="3"/>
  <c r="Z176" i="3"/>
  <c r="Y176" i="3"/>
  <c r="Z175" i="3"/>
  <c r="Y175" i="3"/>
  <c r="Z174" i="3"/>
  <c r="Y174" i="3"/>
  <c r="Z173" i="3"/>
  <c r="Y173" i="3"/>
  <c r="Z172" i="3"/>
  <c r="Y172" i="3"/>
  <c r="Z171" i="3"/>
  <c r="Y171" i="3"/>
  <c r="Z170" i="3"/>
  <c r="Y170" i="3"/>
  <c r="AA163" i="3"/>
  <c r="Z169" i="3"/>
  <c r="Y169" i="3"/>
  <c r="Z168" i="3"/>
  <c r="Y168" i="3"/>
  <c r="Z167" i="3"/>
  <c r="Y167" i="3"/>
  <c r="Z166" i="3"/>
  <c r="Y166" i="3"/>
  <c r="Z165" i="3"/>
  <c r="Y165" i="3"/>
  <c r="Z164" i="3"/>
  <c r="Y164" i="3"/>
  <c r="Z163" i="3"/>
  <c r="Y163" i="3"/>
  <c r="AA156" i="3"/>
  <c r="Z162" i="3"/>
  <c r="Y162" i="3"/>
  <c r="Z161" i="3"/>
  <c r="Y161" i="3"/>
  <c r="Z160" i="3"/>
  <c r="Y160" i="3"/>
  <c r="Z159" i="3"/>
  <c r="Y159" i="3"/>
  <c r="Z158" i="3"/>
  <c r="Y158" i="3"/>
  <c r="Z157" i="3"/>
  <c r="Y157" i="3"/>
  <c r="Z156" i="3"/>
  <c r="Y156" i="3"/>
  <c r="AA149" i="3"/>
  <c r="Z155" i="3"/>
  <c r="Y155" i="3"/>
  <c r="Z154" i="3"/>
  <c r="Y154" i="3"/>
  <c r="Z153" i="3"/>
  <c r="Y153" i="3"/>
  <c r="Z152" i="3"/>
  <c r="Y152" i="3"/>
  <c r="Z151" i="3"/>
  <c r="Y151" i="3"/>
  <c r="Z150" i="3"/>
  <c r="Y150" i="3"/>
  <c r="Z149" i="3"/>
  <c r="Y149" i="3"/>
  <c r="AA142" i="3"/>
  <c r="Z148" i="3"/>
  <c r="Y148" i="3"/>
  <c r="Z147" i="3"/>
  <c r="Y147" i="3"/>
  <c r="Z146" i="3"/>
  <c r="Y146" i="3"/>
  <c r="Z145" i="3"/>
  <c r="Y145" i="3"/>
  <c r="Z144" i="3"/>
  <c r="Y144" i="3"/>
  <c r="Z143" i="3"/>
  <c r="Y143" i="3"/>
  <c r="Z142" i="3"/>
  <c r="Y142" i="3"/>
  <c r="AA135" i="3"/>
  <c r="Z141" i="3"/>
  <c r="Y141" i="3"/>
  <c r="Z140" i="3"/>
  <c r="Y140" i="3"/>
  <c r="Z139" i="3"/>
  <c r="Y139" i="3"/>
  <c r="Z138" i="3"/>
  <c r="Y138" i="3"/>
  <c r="Z137" i="3"/>
  <c r="Y137" i="3"/>
  <c r="Z136" i="3"/>
  <c r="Y136" i="3"/>
  <c r="Z135" i="3"/>
  <c r="Y135" i="3"/>
  <c r="AA128" i="3"/>
  <c r="Z134" i="3"/>
  <c r="Y134" i="3"/>
  <c r="Z133" i="3"/>
  <c r="Y133" i="3"/>
  <c r="Z132" i="3"/>
  <c r="Y132" i="3"/>
  <c r="Z131" i="3"/>
  <c r="Y131" i="3"/>
  <c r="Z130" i="3"/>
  <c r="Y130" i="3"/>
  <c r="Z129" i="3"/>
  <c r="Y129" i="3"/>
  <c r="Z128" i="3"/>
  <c r="Y128" i="3"/>
  <c r="X184" i="3"/>
  <c r="X177" i="3"/>
  <c r="X170" i="3"/>
  <c r="X163" i="3"/>
  <c r="X156" i="3"/>
  <c r="X149" i="3"/>
  <c r="X142" i="3"/>
  <c r="X135" i="3"/>
  <c r="X128" i="3"/>
  <c r="AF65" i="3"/>
  <c r="AE65" i="3"/>
  <c r="AE86" i="3"/>
  <c r="AE85" i="3"/>
  <c r="AE84" i="3"/>
  <c r="AE83" i="3"/>
  <c r="AE82" i="3"/>
  <c r="AE81" i="3"/>
  <c r="AE80" i="3"/>
  <c r="AE79" i="3"/>
  <c r="AE78" i="3"/>
  <c r="AE77" i="3"/>
  <c r="AE76" i="3"/>
  <c r="AE75" i="3"/>
  <c r="AE74" i="3"/>
  <c r="AE73" i="3"/>
  <c r="AE72" i="3"/>
  <c r="AE71" i="3"/>
  <c r="AE70" i="3"/>
  <c r="AE69" i="3"/>
  <c r="AE68" i="3"/>
  <c r="AE67" i="3"/>
  <c r="AE66" i="3"/>
  <c r="AD65" i="3"/>
  <c r="AD67" i="3"/>
  <c r="AD66" i="3"/>
  <c r="AC121" i="3"/>
  <c r="AB122" i="3"/>
  <c r="AB121" i="3"/>
  <c r="AC114" i="3"/>
  <c r="AB115" i="3"/>
  <c r="AB114" i="3"/>
  <c r="AC107" i="3"/>
  <c r="AB108" i="3"/>
  <c r="AB107" i="3"/>
  <c r="AC100" i="3"/>
  <c r="AB101" i="3"/>
  <c r="AB100" i="3"/>
  <c r="AC93" i="3"/>
  <c r="AB94" i="3"/>
  <c r="AB93" i="3"/>
  <c r="AC86" i="3"/>
  <c r="AB87" i="3"/>
  <c r="AB86" i="3"/>
  <c r="AC79" i="3"/>
  <c r="AB80" i="3"/>
  <c r="AB79" i="3"/>
  <c r="AC72" i="3"/>
  <c r="AB73" i="3"/>
  <c r="AB72" i="3"/>
  <c r="AC65" i="3"/>
  <c r="AB66" i="3"/>
  <c r="AB65" i="3"/>
  <c r="AA121" i="3"/>
  <c r="Z127" i="3"/>
  <c r="Y127" i="3"/>
  <c r="Z126" i="3"/>
  <c r="Y126" i="3"/>
  <c r="Z125" i="3"/>
  <c r="Y125" i="3"/>
  <c r="Z124" i="3"/>
  <c r="Y124" i="3"/>
  <c r="Z123" i="3"/>
  <c r="Y123" i="3"/>
  <c r="Z122" i="3"/>
  <c r="Y122" i="3"/>
  <c r="Z121" i="3"/>
  <c r="Y121" i="3"/>
  <c r="AA114" i="3"/>
  <c r="Z120" i="3"/>
  <c r="Y120" i="3"/>
  <c r="Z119" i="3"/>
  <c r="Y119" i="3"/>
  <c r="Z118" i="3"/>
  <c r="Y118" i="3"/>
  <c r="Z117" i="3"/>
  <c r="Y117" i="3"/>
  <c r="Z116" i="3"/>
  <c r="Y116" i="3"/>
  <c r="Z115" i="3"/>
  <c r="Y115" i="3"/>
  <c r="Z114" i="3"/>
  <c r="Y114" i="3"/>
  <c r="AA107" i="3"/>
  <c r="Z113" i="3"/>
  <c r="Y113" i="3"/>
  <c r="Z112" i="3"/>
  <c r="Y112" i="3"/>
  <c r="Z111" i="3"/>
  <c r="Y111" i="3"/>
  <c r="Z110" i="3"/>
  <c r="Y110" i="3"/>
  <c r="Z109" i="3"/>
  <c r="Y109" i="3"/>
  <c r="Z108" i="3"/>
  <c r="Y108" i="3"/>
  <c r="Z107" i="3"/>
  <c r="Y107" i="3"/>
  <c r="AA100" i="3"/>
  <c r="Z106" i="3"/>
  <c r="Y106" i="3"/>
  <c r="Z105" i="3"/>
  <c r="Y105" i="3"/>
  <c r="Z104" i="3"/>
  <c r="Y104" i="3"/>
  <c r="Z103" i="3"/>
  <c r="Y103" i="3"/>
  <c r="Z102" i="3"/>
  <c r="Y102" i="3"/>
  <c r="Z101" i="3"/>
  <c r="Y101" i="3"/>
  <c r="Z100" i="3"/>
  <c r="Y100" i="3"/>
  <c r="AA93" i="3"/>
  <c r="Z99" i="3"/>
  <c r="Y99" i="3"/>
  <c r="Z98" i="3"/>
  <c r="Y98" i="3"/>
  <c r="Z97" i="3"/>
  <c r="Y97" i="3"/>
  <c r="Z96" i="3"/>
  <c r="Y96" i="3"/>
  <c r="Z95" i="3"/>
  <c r="Y95" i="3"/>
  <c r="Z94" i="3"/>
  <c r="Y94" i="3"/>
  <c r="Z93" i="3"/>
  <c r="Y93" i="3"/>
  <c r="AA86" i="3"/>
  <c r="Z92" i="3"/>
  <c r="Y92" i="3"/>
  <c r="Z91" i="3"/>
  <c r="Y91" i="3"/>
  <c r="Z90" i="3"/>
  <c r="Y90" i="3"/>
  <c r="Z89" i="3"/>
  <c r="Y89" i="3"/>
  <c r="Z88" i="3"/>
  <c r="Y88" i="3"/>
  <c r="Z87" i="3"/>
  <c r="Y87" i="3"/>
  <c r="Z86" i="3"/>
  <c r="Y86" i="3"/>
  <c r="AA79" i="3"/>
  <c r="Z85" i="3"/>
  <c r="Y85" i="3"/>
  <c r="Z84" i="3"/>
  <c r="Y84" i="3"/>
  <c r="Z83" i="3"/>
  <c r="Y83" i="3"/>
  <c r="Z82" i="3"/>
  <c r="Y82" i="3"/>
  <c r="Z81" i="3"/>
  <c r="Y81" i="3"/>
  <c r="Z80" i="3"/>
  <c r="Y80" i="3"/>
  <c r="Z79" i="3"/>
  <c r="Y79" i="3"/>
  <c r="AA72" i="3"/>
  <c r="Z78" i="3"/>
  <c r="Y78" i="3"/>
  <c r="Z77" i="3"/>
  <c r="Y77" i="3"/>
  <c r="Z76" i="3"/>
  <c r="Y76" i="3"/>
  <c r="Z75" i="3"/>
  <c r="Y75" i="3"/>
  <c r="Z74" i="3"/>
  <c r="Y74" i="3"/>
  <c r="Z73" i="3"/>
  <c r="Y73" i="3"/>
  <c r="Z72" i="3"/>
  <c r="Y72" i="3"/>
  <c r="AA65" i="3"/>
  <c r="Z71" i="3"/>
  <c r="Y71" i="3"/>
  <c r="Z70" i="3"/>
  <c r="Y70" i="3"/>
  <c r="Z69" i="3"/>
  <c r="Y69" i="3"/>
  <c r="Z68" i="3"/>
  <c r="Y68" i="3"/>
  <c r="Z67" i="3"/>
  <c r="Y67" i="3"/>
  <c r="Z66" i="3"/>
  <c r="Y66" i="3"/>
  <c r="Z65" i="3"/>
  <c r="Y65" i="3"/>
  <c r="X121" i="3"/>
  <c r="X114" i="3"/>
  <c r="X107" i="3"/>
  <c r="X100" i="3"/>
  <c r="X93" i="3"/>
  <c r="X86" i="3"/>
  <c r="X79" i="3"/>
  <c r="X72" i="3"/>
  <c r="X65" i="3"/>
  <c r="AF2" i="3"/>
  <c r="AE2" i="3"/>
  <c r="AE23" i="3"/>
  <c r="AE22" i="3"/>
  <c r="AE21" i="3"/>
  <c r="AE20" i="3"/>
  <c r="AE19" i="3"/>
  <c r="AE18" i="3"/>
  <c r="AE17" i="3"/>
  <c r="AE16" i="3"/>
  <c r="AE15" i="3"/>
  <c r="AE14" i="3"/>
  <c r="AE13" i="3"/>
  <c r="AE12" i="3"/>
  <c r="AE11" i="3"/>
  <c r="AE10" i="3"/>
  <c r="AE9" i="3"/>
  <c r="AE8" i="3"/>
  <c r="AE7" i="3"/>
  <c r="AE6" i="3"/>
  <c r="AE5" i="3"/>
  <c r="AE4" i="3"/>
  <c r="AE3" i="3"/>
  <c r="AD2" i="3"/>
  <c r="AD4" i="3"/>
  <c r="AD3" i="3"/>
  <c r="AC58" i="3"/>
  <c r="AB59" i="3"/>
  <c r="AB58" i="3"/>
  <c r="AC51" i="3"/>
  <c r="AB52" i="3"/>
  <c r="AB51" i="3"/>
  <c r="AC44" i="3"/>
  <c r="AB45" i="3"/>
  <c r="AB44" i="3"/>
  <c r="AC37" i="3"/>
  <c r="AB38" i="3"/>
  <c r="AB37" i="3"/>
  <c r="AC30" i="3"/>
  <c r="AB31" i="3"/>
  <c r="AB30" i="3"/>
  <c r="AC23" i="3"/>
  <c r="AB24" i="3"/>
  <c r="AB23" i="3"/>
  <c r="AC16" i="3"/>
  <c r="AB17" i="3"/>
  <c r="AB16" i="3"/>
  <c r="AC9" i="3"/>
  <c r="AB10" i="3"/>
  <c r="AB9" i="3"/>
  <c r="AC2" i="3"/>
  <c r="AB3" i="3"/>
  <c r="AB2" i="3"/>
  <c r="AA58" i="3"/>
  <c r="Z64" i="3"/>
  <c r="Y64" i="3"/>
  <c r="Z63" i="3"/>
  <c r="Y63" i="3"/>
  <c r="Z62" i="3"/>
  <c r="Y62" i="3"/>
  <c r="Z61" i="3"/>
  <c r="Y61" i="3"/>
  <c r="Z60" i="3"/>
  <c r="Y60" i="3"/>
  <c r="Z59" i="3"/>
  <c r="Y59" i="3"/>
  <c r="Z58" i="3"/>
  <c r="Y58" i="3"/>
  <c r="AA51" i="3"/>
  <c r="Z57" i="3"/>
  <c r="Y57" i="3"/>
  <c r="Z56" i="3"/>
  <c r="Y56" i="3"/>
  <c r="Z55" i="3"/>
  <c r="Y55" i="3"/>
  <c r="Z54" i="3"/>
  <c r="Y54" i="3"/>
  <c r="Z53" i="3"/>
  <c r="Y53" i="3"/>
  <c r="Z52" i="3"/>
  <c r="Y52" i="3"/>
  <c r="Z51" i="3"/>
  <c r="Y51" i="3"/>
  <c r="AA44" i="3"/>
  <c r="Z50" i="3"/>
  <c r="Y50" i="3"/>
  <c r="Z49" i="3"/>
  <c r="Y49" i="3"/>
  <c r="Z48" i="3"/>
  <c r="Y48" i="3"/>
  <c r="Z47" i="3"/>
  <c r="Y47" i="3"/>
  <c r="Z46" i="3"/>
  <c r="Y46" i="3"/>
  <c r="Z45" i="3"/>
  <c r="Y45" i="3"/>
  <c r="Z44" i="3"/>
  <c r="Y44" i="3"/>
  <c r="AA37" i="3"/>
  <c r="Z43" i="3"/>
  <c r="Y43" i="3"/>
  <c r="Z42" i="3"/>
  <c r="Y42" i="3"/>
  <c r="Z41" i="3"/>
  <c r="Y41" i="3"/>
  <c r="Z40" i="3"/>
  <c r="Y40" i="3"/>
  <c r="Z39" i="3"/>
  <c r="Y39" i="3"/>
  <c r="Z38" i="3"/>
  <c r="Y38" i="3"/>
  <c r="Z37" i="3"/>
  <c r="Y37" i="3"/>
  <c r="AA30" i="3"/>
  <c r="Z36" i="3"/>
  <c r="Y36" i="3"/>
  <c r="Z35" i="3"/>
  <c r="Y35" i="3"/>
  <c r="Z34" i="3"/>
  <c r="Y34" i="3"/>
  <c r="Z33" i="3"/>
  <c r="Y33" i="3"/>
  <c r="Z32" i="3"/>
  <c r="Y32" i="3"/>
  <c r="Z31" i="3"/>
  <c r="Y31" i="3"/>
  <c r="Z30" i="3"/>
  <c r="Y30" i="3"/>
  <c r="AA23" i="3"/>
  <c r="Z29" i="3"/>
  <c r="Y29" i="3"/>
  <c r="Z28" i="3"/>
  <c r="Y28" i="3"/>
  <c r="Z27" i="3"/>
  <c r="Y27" i="3"/>
  <c r="Z26" i="3"/>
  <c r="Y26" i="3"/>
  <c r="Z25" i="3"/>
  <c r="Y25" i="3"/>
  <c r="Z24" i="3"/>
  <c r="Y24" i="3"/>
  <c r="Z23" i="3"/>
  <c r="Y23" i="3"/>
  <c r="AA16" i="3"/>
  <c r="Z22" i="3"/>
  <c r="Y22" i="3"/>
  <c r="Z21" i="3"/>
  <c r="Y21" i="3"/>
  <c r="Z20" i="3"/>
  <c r="Y20" i="3"/>
  <c r="Z19" i="3"/>
  <c r="Y19" i="3"/>
  <c r="Z18" i="3"/>
  <c r="Y18" i="3"/>
  <c r="Z17" i="3"/>
  <c r="Y17" i="3"/>
  <c r="Z16" i="3"/>
  <c r="Y16" i="3"/>
  <c r="AA9" i="3"/>
  <c r="Z15" i="3"/>
  <c r="Y15" i="3"/>
  <c r="Z14" i="3"/>
  <c r="Y14" i="3"/>
  <c r="Z13" i="3"/>
  <c r="Y13" i="3"/>
  <c r="Z12" i="3"/>
  <c r="Y12" i="3"/>
  <c r="Z11" i="3"/>
  <c r="Y11" i="3"/>
  <c r="Z10" i="3"/>
  <c r="Y10" i="3"/>
  <c r="Z9" i="3"/>
  <c r="Y9" i="3"/>
  <c r="AA2" i="3"/>
  <c r="Z8" i="3"/>
  <c r="Y8" i="3"/>
  <c r="Z7" i="3"/>
  <c r="Y7" i="3"/>
  <c r="Z6" i="3"/>
  <c r="Y6" i="3"/>
  <c r="Z5" i="3"/>
  <c r="Y5" i="3"/>
  <c r="Z4" i="3"/>
  <c r="Y4" i="3"/>
  <c r="Z3" i="3"/>
  <c r="Y3" i="3"/>
  <c r="Z2" i="3"/>
  <c r="Y2" i="3"/>
  <c r="X58" i="3"/>
  <c r="X51" i="3"/>
  <c r="X44" i="3"/>
  <c r="X37" i="3"/>
  <c r="X30" i="3"/>
  <c r="X23" i="3"/>
  <c r="X16" i="3"/>
  <c r="X9" i="3"/>
  <c r="X2" i="3"/>
  <c r="O2521" i="3"/>
  <c r="P2521" i="3" s="1"/>
  <c r="Q2521" i="3" s="1"/>
  <c r="O2520" i="3"/>
  <c r="P2520" i="3" s="1"/>
  <c r="Q2520" i="3" s="1"/>
  <c r="Q2519" i="3"/>
  <c r="O2519" i="3"/>
  <c r="P2519" i="3" s="1"/>
  <c r="Q2518" i="3"/>
  <c r="P2518" i="3"/>
  <c r="O2518" i="3"/>
  <c r="Q2517" i="3"/>
  <c r="P2517" i="3"/>
  <c r="O2517" i="3"/>
  <c r="O2516" i="3"/>
  <c r="P2516" i="3" s="1"/>
  <c r="Q2516" i="3" s="1"/>
  <c r="P2515" i="3"/>
  <c r="Q2515" i="3" s="1"/>
  <c r="O2515" i="3"/>
  <c r="O2514" i="3"/>
  <c r="P2514" i="3" s="1"/>
  <c r="Q2514" i="3" s="1"/>
  <c r="O2513" i="3"/>
  <c r="P2513" i="3" s="1"/>
  <c r="Q2513" i="3" s="1"/>
  <c r="Q2512" i="3"/>
  <c r="O2512" i="3"/>
  <c r="P2512" i="3" s="1"/>
  <c r="Q2511" i="3"/>
  <c r="P2511" i="3"/>
  <c r="O2511" i="3"/>
  <c r="Q2510" i="3"/>
  <c r="P2510" i="3"/>
  <c r="O2510" i="3"/>
  <c r="O2509" i="3"/>
  <c r="P2509" i="3" s="1"/>
  <c r="Q2509" i="3" s="1"/>
  <c r="O2508" i="3"/>
  <c r="P2508" i="3" s="1"/>
  <c r="Q2508" i="3" s="1"/>
  <c r="O2507" i="3"/>
  <c r="P2507" i="3" s="1"/>
  <c r="Q2507" i="3" s="1"/>
  <c r="O2506" i="3"/>
  <c r="P2506" i="3" s="1"/>
  <c r="Q2506" i="3" s="1"/>
  <c r="O2505" i="3"/>
  <c r="P2505" i="3" s="1"/>
  <c r="Q2505" i="3" s="1"/>
  <c r="P2504" i="3"/>
  <c r="Q2504" i="3" s="1"/>
  <c r="O2504" i="3"/>
  <c r="Q2503" i="3"/>
  <c r="P2503" i="3"/>
  <c r="O2503" i="3"/>
  <c r="P2502" i="3"/>
  <c r="Q2502" i="3" s="1"/>
  <c r="O2502" i="3"/>
  <c r="O2501" i="3"/>
  <c r="P2501" i="3" s="1"/>
  <c r="Q2501" i="3" s="1"/>
  <c r="O2500" i="3"/>
  <c r="P2500" i="3" s="1"/>
  <c r="Q2500" i="3" s="1"/>
  <c r="P2499" i="3"/>
  <c r="Q2499" i="3" s="1"/>
  <c r="O2499" i="3"/>
  <c r="O2498" i="3"/>
  <c r="P2498" i="3" s="1"/>
  <c r="Q2498" i="3" s="1"/>
  <c r="Q2497" i="3"/>
  <c r="P2497" i="3"/>
  <c r="O2497" i="3"/>
  <c r="Q2496" i="3"/>
  <c r="P2496" i="3"/>
  <c r="O2496" i="3"/>
  <c r="O2495" i="3"/>
  <c r="P2495" i="3" s="1"/>
  <c r="Q2495" i="3" s="1"/>
  <c r="O2494" i="3"/>
  <c r="P2494" i="3" s="1"/>
  <c r="Q2494" i="3" s="1"/>
  <c r="O2493" i="3"/>
  <c r="P2493" i="3" s="1"/>
  <c r="Q2493" i="3" s="1"/>
  <c r="Q2492" i="3"/>
  <c r="O2492" i="3"/>
  <c r="P2492" i="3" s="1"/>
  <c r="O2491" i="3"/>
  <c r="P2491" i="3" s="1"/>
  <c r="Q2491" i="3" s="1"/>
  <c r="O2490" i="3"/>
  <c r="P2490" i="3" s="1"/>
  <c r="Q2490" i="3" s="1"/>
  <c r="Q2489" i="3"/>
  <c r="P2489" i="3"/>
  <c r="O2489" i="3"/>
  <c r="P2488" i="3"/>
  <c r="Q2488" i="3" s="1"/>
  <c r="O2488" i="3"/>
  <c r="P2487" i="3"/>
  <c r="Q2487" i="3" s="1"/>
  <c r="O2487" i="3"/>
  <c r="P2486" i="3"/>
  <c r="Q2486" i="3" s="1"/>
  <c r="O2486" i="3"/>
  <c r="O2485" i="3"/>
  <c r="P2485" i="3" s="1"/>
  <c r="Q2485" i="3" s="1"/>
  <c r="O2484" i="3"/>
  <c r="P2484" i="3" s="1"/>
  <c r="Q2484" i="3" s="1"/>
  <c r="Q2483" i="3"/>
  <c r="P2483" i="3"/>
  <c r="O2483" i="3"/>
  <c r="Q2482" i="3"/>
  <c r="P2482" i="3"/>
  <c r="O2482" i="3"/>
  <c r="Q2481" i="3"/>
  <c r="P2481" i="3"/>
  <c r="O2481" i="3"/>
  <c r="O2480" i="3"/>
  <c r="P2480" i="3" s="1"/>
  <c r="Q2480" i="3" s="1"/>
  <c r="O2479" i="3"/>
  <c r="P2479" i="3" s="1"/>
  <c r="Q2479" i="3" s="1"/>
  <c r="Q2478" i="3"/>
  <c r="O2478" i="3"/>
  <c r="P2478" i="3" s="1"/>
  <c r="O2477" i="3"/>
  <c r="P2477" i="3" s="1"/>
  <c r="Q2477" i="3" s="1"/>
  <c r="O2476" i="3"/>
  <c r="P2476" i="3" s="1"/>
  <c r="Q2476" i="3" s="1"/>
  <c r="P2475" i="3"/>
  <c r="Q2475" i="3" s="1"/>
  <c r="O2475" i="3"/>
  <c r="O2474" i="3"/>
  <c r="P2474" i="3" s="1"/>
  <c r="Q2474" i="3" s="1"/>
  <c r="P2473" i="3"/>
  <c r="Q2473" i="3" s="1"/>
  <c r="O2473" i="3"/>
  <c r="O2472" i="3"/>
  <c r="P2472" i="3" s="1"/>
  <c r="Q2472" i="3" s="1"/>
  <c r="P2471" i="3"/>
  <c r="Q2471" i="3" s="1"/>
  <c r="O2471" i="3"/>
  <c r="Q2470" i="3"/>
  <c r="O2470" i="3"/>
  <c r="P2470" i="3" s="1"/>
  <c r="Q2469" i="3"/>
  <c r="P2469" i="3"/>
  <c r="O2469" i="3"/>
  <c r="P2468" i="3"/>
  <c r="Q2468" i="3" s="1"/>
  <c r="O2468" i="3"/>
  <c r="O2467" i="3"/>
  <c r="P2467" i="3" s="1"/>
  <c r="Q2467" i="3" s="1"/>
  <c r="O2466" i="3"/>
  <c r="P2466" i="3" s="1"/>
  <c r="Q2466" i="3" s="1"/>
  <c r="O2465" i="3"/>
  <c r="P2465" i="3" s="1"/>
  <c r="Q2465" i="3" s="1"/>
  <c r="Q2464" i="3"/>
  <c r="O2464" i="3"/>
  <c r="P2464" i="3" s="1"/>
  <c r="Q2463" i="3"/>
  <c r="O2463" i="3"/>
  <c r="P2463" i="3" s="1"/>
  <c r="O2462" i="3"/>
  <c r="P2462" i="3" s="1"/>
  <c r="Q2462" i="3" s="1"/>
  <c r="P2461" i="3"/>
  <c r="Q2461" i="3" s="1"/>
  <c r="O2461" i="3"/>
  <c r="O2460" i="3"/>
  <c r="P2460" i="3" s="1"/>
  <c r="Q2460" i="3" s="1"/>
  <c r="O2459" i="3"/>
  <c r="P2459" i="3" s="1"/>
  <c r="Q2459" i="3" s="1"/>
  <c r="P2458" i="3"/>
  <c r="Q2458" i="3" s="1"/>
  <c r="O2458" i="3"/>
  <c r="Q2457" i="3"/>
  <c r="P2457" i="3"/>
  <c r="O2457" i="3"/>
  <c r="O2456" i="3"/>
  <c r="P2456" i="3" s="1"/>
  <c r="Q2456" i="3" s="1"/>
  <c r="P2455" i="3"/>
  <c r="Q2455" i="3" s="1"/>
  <c r="O2455" i="3"/>
  <c r="P2454" i="3"/>
  <c r="Q2454" i="3" s="1"/>
  <c r="O2454" i="3"/>
  <c r="O2453" i="3"/>
  <c r="P2453" i="3" s="1"/>
  <c r="Q2453" i="3" s="1"/>
  <c r="Q2452" i="3"/>
  <c r="P2452" i="3"/>
  <c r="O2452" i="3"/>
  <c r="O2451" i="3"/>
  <c r="P2451" i="3" s="1"/>
  <c r="Q2451" i="3" s="1"/>
  <c r="Q2450" i="3"/>
  <c r="O2450" i="3"/>
  <c r="P2450" i="3" s="1"/>
  <c r="O2449" i="3"/>
  <c r="P2449" i="3" s="1"/>
  <c r="Q2449" i="3" s="1"/>
  <c r="O2448" i="3"/>
  <c r="P2448" i="3" s="1"/>
  <c r="Q2448" i="3" s="1"/>
  <c r="P2447" i="3"/>
  <c r="Q2447" i="3" s="1"/>
  <c r="O2447" i="3"/>
  <c r="P2446" i="3"/>
  <c r="Q2446" i="3" s="1"/>
  <c r="O2446" i="3"/>
  <c r="O2445" i="3"/>
  <c r="P2445" i="3" s="1"/>
  <c r="Q2445" i="3" s="1"/>
  <c r="P2444" i="3"/>
  <c r="Q2444" i="3" s="1"/>
  <c r="O2444" i="3"/>
  <c r="P2443" i="3"/>
  <c r="Q2443" i="3" s="1"/>
  <c r="O2443" i="3"/>
  <c r="Q2442" i="3"/>
  <c r="O2442" i="3"/>
  <c r="P2442" i="3" s="1"/>
  <c r="P2441" i="3"/>
  <c r="Q2441" i="3" s="1"/>
  <c r="O2441" i="3"/>
  <c r="Q2440" i="3"/>
  <c r="P2440" i="3"/>
  <c r="O2440" i="3"/>
  <c r="P2439" i="3"/>
  <c r="Q2439" i="3" s="1"/>
  <c r="O2439" i="3"/>
  <c r="P2438" i="3"/>
  <c r="Q2438" i="3" s="1"/>
  <c r="O2438" i="3"/>
  <c r="O2437" i="3"/>
  <c r="P2437" i="3" s="1"/>
  <c r="Q2437" i="3" s="1"/>
  <c r="Q2436" i="3"/>
  <c r="O2436" i="3"/>
  <c r="P2436" i="3" s="1"/>
  <c r="Q2435" i="3"/>
  <c r="O2435" i="3"/>
  <c r="P2435" i="3" s="1"/>
  <c r="Q2434" i="3"/>
  <c r="P2434" i="3"/>
  <c r="O2434" i="3"/>
  <c r="P2433" i="3"/>
  <c r="Q2433" i="3" s="1"/>
  <c r="O2433" i="3"/>
  <c r="P2432" i="3"/>
  <c r="Q2432" i="3" s="1"/>
  <c r="O2432" i="3"/>
  <c r="O2431" i="3"/>
  <c r="P2431" i="3" s="1"/>
  <c r="Q2431" i="3" s="1"/>
  <c r="P2430" i="3"/>
  <c r="Q2430" i="3" s="1"/>
  <c r="O2430" i="3"/>
  <c r="Q2429" i="3"/>
  <c r="O2429" i="3"/>
  <c r="P2429" i="3" s="1"/>
  <c r="Q2428" i="3"/>
  <c r="O2428" i="3"/>
  <c r="P2428" i="3" s="1"/>
  <c r="P2427" i="3"/>
  <c r="Q2427" i="3" s="1"/>
  <c r="O2427" i="3"/>
  <c r="Q2426" i="3"/>
  <c r="P2426" i="3"/>
  <c r="O2426" i="3"/>
  <c r="O2425" i="3"/>
  <c r="P2425" i="3" s="1"/>
  <c r="Q2425" i="3" s="1"/>
  <c r="P2424" i="3"/>
  <c r="Q2424" i="3" s="1"/>
  <c r="O2424" i="3"/>
  <c r="O2423" i="3"/>
  <c r="P2423" i="3" s="1"/>
  <c r="Q2423" i="3" s="1"/>
  <c r="O2422" i="3"/>
  <c r="P2422" i="3" s="1"/>
  <c r="Q2422" i="3" s="1"/>
  <c r="Q2421" i="3"/>
  <c r="O2421" i="3"/>
  <c r="P2421" i="3" s="1"/>
  <c r="P2420" i="3"/>
  <c r="Q2420" i="3" s="1"/>
  <c r="O2420" i="3"/>
  <c r="Q2419" i="3"/>
  <c r="P2419" i="3"/>
  <c r="O2419" i="3"/>
  <c r="P2418" i="3"/>
  <c r="Q2418" i="3" s="1"/>
  <c r="O2418" i="3"/>
  <c r="P2417" i="3"/>
  <c r="Q2417" i="3" s="1"/>
  <c r="O2417" i="3"/>
  <c r="O2416" i="3"/>
  <c r="P2416" i="3" s="1"/>
  <c r="Q2416" i="3" s="1"/>
  <c r="Q2415" i="3"/>
  <c r="O2415" i="3"/>
  <c r="P2415" i="3" s="1"/>
  <c r="Q2414" i="3"/>
  <c r="O2414" i="3"/>
  <c r="P2414" i="3" s="1"/>
  <c r="P2413" i="3"/>
  <c r="Q2413" i="3" s="1"/>
  <c r="O2413" i="3"/>
  <c r="P2412" i="3"/>
  <c r="Q2412" i="3" s="1"/>
  <c r="O2412" i="3"/>
  <c r="O2411" i="3"/>
  <c r="P2411" i="3" s="1"/>
  <c r="Q2411" i="3" s="1"/>
  <c r="Q2410" i="3"/>
  <c r="O2410" i="3"/>
  <c r="P2410" i="3" s="1"/>
  <c r="O2409" i="3"/>
  <c r="P2409" i="3" s="1"/>
  <c r="Q2409" i="3" s="1"/>
  <c r="O2408" i="3"/>
  <c r="P2408" i="3" s="1"/>
  <c r="Q2408" i="3" s="1"/>
  <c r="Q2407" i="3"/>
  <c r="O2407" i="3"/>
  <c r="P2407" i="3" s="1"/>
  <c r="O2406" i="3"/>
  <c r="P2406" i="3" s="1"/>
  <c r="Q2406" i="3" s="1"/>
  <c r="Q2405" i="3"/>
  <c r="P2405" i="3"/>
  <c r="O2405" i="3"/>
  <c r="P2404" i="3"/>
  <c r="Q2404" i="3" s="1"/>
  <c r="O2404" i="3"/>
  <c r="P2403" i="3"/>
  <c r="Q2403" i="3" s="1"/>
  <c r="O2403" i="3"/>
  <c r="O2402" i="3"/>
  <c r="P2402" i="3" s="1"/>
  <c r="Q2402" i="3" s="1"/>
  <c r="Q2401" i="3"/>
  <c r="P2401" i="3"/>
  <c r="O2401" i="3"/>
  <c r="Q2400" i="3"/>
  <c r="O2400" i="3"/>
  <c r="P2400" i="3" s="1"/>
  <c r="Q2399" i="3"/>
  <c r="P2399" i="3"/>
  <c r="O2399" i="3"/>
  <c r="Q2398" i="3"/>
  <c r="P2398" i="3"/>
  <c r="O2398" i="3"/>
  <c r="Q2397" i="3"/>
  <c r="O2397" i="3"/>
  <c r="P2397" i="3" s="1"/>
  <c r="O2396" i="3"/>
  <c r="P2396" i="3" s="1"/>
  <c r="Q2396" i="3" s="1"/>
  <c r="O2395" i="3"/>
  <c r="P2395" i="3" s="1"/>
  <c r="Q2395" i="3" s="1"/>
  <c r="Q2394" i="3"/>
  <c r="O2394" i="3"/>
  <c r="P2394" i="3" s="1"/>
  <c r="O2393" i="3"/>
  <c r="P2393" i="3" s="1"/>
  <c r="Q2393" i="3" s="1"/>
  <c r="Q2392" i="3"/>
  <c r="O2392" i="3"/>
  <c r="P2392" i="3" s="1"/>
  <c r="Q2391" i="3"/>
  <c r="P2391" i="3"/>
  <c r="O2391" i="3"/>
  <c r="P2390" i="3"/>
  <c r="Q2390" i="3" s="1"/>
  <c r="O2390" i="3"/>
  <c r="O2389" i="3"/>
  <c r="P2389" i="3" s="1"/>
  <c r="Q2389" i="3" s="1"/>
  <c r="P2388" i="3"/>
  <c r="Q2388" i="3" s="1"/>
  <c r="O2388" i="3"/>
  <c r="O2387" i="3"/>
  <c r="P2387" i="3" s="1"/>
  <c r="Q2387" i="3" s="1"/>
  <c r="O2386" i="3"/>
  <c r="P2386" i="3" s="1"/>
  <c r="Q2386" i="3" s="1"/>
  <c r="Q2385" i="3"/>
  <c r="P2385" i="3"/>
  <c r="O2385" i="3"/>
  <c r="P2384" i="3"/>
  <c r="Q2384" i="3" s="1"/>
  <c r="O2384" i="3"/>
  <c r="Q2383" i="3"/>
  <c r="P2383" i="3"/>
  <c r="O2383" i="3"/>
  <c r="O2382" i="3"/>
  <c r="P2382" i="3" s="1"/>
  <c r="Q2382" i="3" s="1"/>
  <c r="O2381" i="3"/>
  <c r="P2381" i="3" s="1"/>
  <c r="Q2381" i="3" s="1"/>
  <c r="O2380" i="3"/>
  <c r="P2380" i="3" s="1"/>
  <c r="Q2380" i="3" s="1"/>
  <c r="O2379" i="3"/>
  <c r="P2379" i="3" s="1"/>
  <c r="Q2379" i="3" s="1"/>
  <c r="Q2378" i="3"/>
  <c r="O2378" i="3"/>
  <c r="P2378" i="3" s="1"/>
  <c r="Q2377" i="3"/>
  <c r="P2377" i="3"/>
  <c r="O2377" i="3"/>
  <c r="O2376" i="3"/>
  <c r="P2376" i="3" s="1"/>
  <c r="Q2376" i="3" s="1"/>
  <c r="P2375" i="3"/>
  <c r="Q2375" i="3" s="1"/>
  <c r="O2375" i="3"/>
  <c r="O2374" i="3"/>
  <c r="P2374" i="3" s="1"/>
  <c r="Q2374" i="3" s="1"/>
  <c r="P2373" i="3"/>
  <c r="Q2373" i="3" s="1"/>
  <c r="O2373" i="3"/>
  <c r="O2372" i="3"/>
  <c r="P2372" i="3" s="1"/>
  <c r="Q2372" i="3" s="1"/>
  <c r="P2371" i="3"/>
  <c r="Q2371" i="3" s="1"/>
  <c r="O2371" i="3"/>
  <c r="P2370" i="3"/>
  <c r="Q2370" i="3" s="1"/>
  <c r="O2370" i="3"/>
  <c r="P2369" i="3"/>
  <c r="Q2369" i="3" s="1"/>
  <c r="O2369" i="3"/>
  <c r="P2368" i="3"/>
  <c r="Q2368" i="3" s="1"/>
  <c r="O2368" i="3"/>
  <c r="O2367" i="3"/>
  <c r="P2367" i="3" s="1"/>
  <c r="Q2367" i="3" s="1"/>
  <c r="O2366" i="3"/>
  <c r="P2366" i="3" s="1"/>
  <c r="Q2366" i="3" s="1"/>
  <c r="Q2365" i="3"/>
  <c r="O2365" i="3"/>
  <c r="P2365" i="3" s="1"/>
  <c r="O2364" i="3"/>
  <c r="P2364" i="3" s="1"/>
  <c r="Q2364" i="3" s="1"/>
  <c r="P2363" i="3"/>
  <c r="Q2363" i="3" s="1"/>
  <c r="O2363" i="3"/>
  <c r="O2362" i="3"/>
  <c r="P2362" i="3" s="1"/>
  <c r="Q2362" i="3" s="1"/>
  <c r="O2361" i="3"/>
  <c r="P2361" i="3" s="1"/>
  <c r="Q2361" i="3" s="1"/>
  <c r="O2360" i="3"/>
  <c r="P2360" i="3" s="1"/>
  <c r="Q2360" i="3" s="1"/>
  <c r="Q2359" i="3"/>
  <c r="P2359" i="3"/>
  <c r="O2359" i="3"/>
  <c r="O2358" i="3"/>
  <c r="P2358" i="3" s="1"/>
  <c r="Q2358" i="3" s="1"/>
  <c r="P2357" i="3"/>
  <c r="Q2357" i="3" s="1"/>
  <c r="O2357" i="3"/>
  <c r="P2356" i="3"/>
  <c r="Q2356" i="3" s="1"/>
  <c r="O2356" i="3"/>
  <c r="Q2355" i="3"/>
  <c r="P2355" i="3"/>
  <c r="O2355" i="3"/>
  <c r="Q2354" i="3"/>
  <c r="P2354" i="3"/>
  <c r="O2354" i="3"/>
  <c r="O2353" i="3"/>
  <c r="P2353" i="3" s="1"/>
  <c r="Q2353" i="3" s="1"/>
  <c r="Q2352" i="3"/>
  <c r="O2352" i="3"/>
  <c r="P2352" i="3" s="1"/>
  <c r="O2351" i="3"/>
  <c r="P2351" i="3" s="1"/>
  <c r="Q2351" i="3" s="1"/>
  <c r="P2350" i="3"/>
  <c r="Q2350" i="3" s="1"/>
  <c r="O2350" i="3"/>
  <c r="P2349" i="3"/>
  <c r="Q2349" i="3" s="1"/>
  <c r="O2349" i="3"/>
  <c r="P2348" i="3"/>
  <c r="Q2348" i="3" s="1"/>
  <c r="O2348" i="3"/>
  <c r="O2347" i="3"/>
  <c r="P2347" i="3" s="1"/>
  <c r="Q2347" i="3" s="1"/>
  <c r="P2346" i="3"/>
  <c r="Q2346" i="3" s="1"/>
  <c r="O2346" i="3"/>
  <c r="Q2345" i="3"/>
  <c r="P2345" i="3"/>
  <c r="O2345" i="3"/>
  <c r="O2344" i="3"/>
  <c r="P2344" i="3" s="1"/>
  <c r="Q2344" i="3" s="1"/>
  <c r="P2343" i="3"/>
  <c r="Q2343" i="3" s="1"/>
  <c r="O2343" i="3"/>
  <c r="Q2342" i="3"/>
  <c r="P2342" i="3"/>
  <c r="O2342" i="3"/>
  <c r="P2341" i="3"/>
  <c r="Q2341" i="3" s="1"/>
  <c r="O2341" i="3"/>
  <c r="P2340" i="3"/>
  <c r="Q2340" i="3" s="1"/>
  <c r="O2340" i="3"/>
  <c r="O2339" i="3"/>
  <c r="P2339" i="3" s="1"/>
  <c r="Q2339" i="3" s="1"/>
  <c r="Q2338" i="3"/>
  <c r="O2338" i="3"/>
  <c r="P2338" i="3" s="1"/>
  <c r="O2337" i="3"/>
  <c r="P2337" i="3" s="1"/>
  <c r="Q2337" i="3" s="1"/>
  <c r="Q2336" i="3"/>
  <c r="P2336" i="3"/>
  <c r="O2336" i="3"/>
  <c r="P2335" i="3"/>
  <c r="Q2335" i="3" s="1"/>
  <c r="O2335" i="3"/>
  <c r="P2334" i="3"/>
  <c r="Q2334" i="3" s="1"/>
  <c r="O2334" i="3"/>
  <c r="O2333" i="3"/>
  <c r="P2333" i="3" s="1"/>
  <c r="Q2333" i="3" s="1"/>
  <c r="O2332" i="3"/>
  <c r="P2332" i="3" s="1"/>
  <c r="Q2332" i="3" s="1"/>
  <c r="P2331" i="3"/>
  <c r="Q2331" i="3" s="1"/>
  <c r="O2331" i="3"/>
  <c r="Q2330" i="3"/>
  <c r="O2330" i="3"/>
  <c r="P2330" i="3" s="1"/>
  <c r="P2329" i="3"/>
  <c r="Q2329" i="3" s="1"/>
  <c r="O2329" i="3"/>
  <c r="Q2328" i="3"/>
  <c r="P2328" i="3"/>
  <c r="O2328" i="3"/>
  <c r="O2327" i="3"/>
  <c r="P2327" i="3" s="1"/>
  <c r="Q2327" i="3" s="1"/>
  <c r="O2326" i="3"/>
  <c r="P2326" i="3" s="1"/>
  <c r="Q2326" i="3" s="1"/>
  <c r="O2325" i="3"/>
  <c r="P2325" i="3" s="1"/>
  <c r="Q2325" i="3" s="1"/>
  <c r="O2324" i="3"/>
  <c r="P2324" i="3" s="1"/>
  <c r="Q2324" i="3" s="1"/>
  <c r="Q2323" i="3"/>
  <c r="O2323" i="3"/>
  <c r="P2323" i="3" s="1"/>
  <c r="P2322" i="3"/>
  <c r="Q2322" i="3" s="1"/>
  <c r="O2322" i="3"/>
  <c r="P2321" i="3"/>
  <c r="Q2321" i="3" s="1"/>
  <c r="O2321" i="3"/>
  <c r="O2320" i="3"/>
  <c r="P2320" i="3" s="1"/>
  <c r="Q2320" i="3" s="1"/>
  <c r="P2319" i="3"/>
  <c r="Q2319" i="3" s="1"/>
  <c r="O2319" i="3"/>
  <c r="O2318" i="3"/>
  <c r="P2318" i="3" s="1"/>
  <c r="Q2318" i="3" s="1"/>
  <c r="Q2317" i="3"/>
  <c r="O2317" i="3"/>
  <c r="P2317" i="3" s="1"/>
  <c r="Q2316" i="3"/>
  <c r="O2316" i="3"/>
  <c r="P2316" i="3" s="1"/>
  <c r="Q2315" i="3"/>
  <c r="P2315" i="3"/>
  <c r="O2315" i="3"/>
  <c r="Q2314" i="3"/>
  <c r="P2314" i="3"/>
  <c r="O2314" i="3"/>
  <c r="O2313" i="3"/>
  <c r="P2313" i="3" s="1"/>
  <c r="Q2313" i="3" s="1"/>
  <c r="Q2312" i="3"/>
  <c r="O2312" i="3"/>
  <c r="P2312" i="3" s="1"/>
  <c r="O2311" i="3"/>
  <c r="P2311" i="3" s="1"/>
  <c r="Q2311" i="3" s="1"/>
  <c r="O2310" i="3"/>
  <c r="P2310" i="3" s="1"/>
  <c r="Q2310" i="3" s="1"/>
  <c r="Q2309" i="3"/>
  <c r="O2309" i="3"/>
  <c r="P2309" i="3" s="1"/>
  <c r="Q2308" i="3"/>
  <c r="O2308" i="3"/>
  <c r="P2308" i="3" s="1"/>
  <c r="Q2307" i="3"/>
  <c r="P2307" i="3"/>
  <c r="O2307" i="3"/>
  <c r="P2306" i="3"/>
  <c r="Q2306" i="3" s="1"/>
  <c r="O2306" i="3"/>
  <c r="P2305" i="3"/>
  <c r="Q2305" i="3" s="1"/>
  <c r="O2305" i="3"/>
  <c r="O2304" i="3"/>
  <c r="P2304" i="3" s="1"/>
  <c r="Q2304" i="3" s="1"/>
  <c r="Q2303" i="3"/>
  <c r="P2303" i="3"/>
  <c r="O2303" i="3"/>
  <c r="Q2302" i="3"/>
  <c r="O2302" i="3"/>
  <c r="P2302" i="3" s="1"/>
  <c r="Q2301" i="3"/>
  <c r="P2301" i="3"/>
  <c r="O2301" i="3"/>
  <c r="Q2300" i="3"/>
  <c r="P2300" i="3"/>
  <c r="O2300" i="3"/>
  <c r="Q2299" i="3"/>
  <c r="O2299" i="3"/>
  <c r="P2299" i="3" s="1"/>
  <c r="P2298" i="3"/>
  <c r="Q2298" i="3" s="1"/>
  <c r="O2298" i="3"/>
  <c r="O2297" i="3"/>
  <c r="P2297" i="3" s="1"/>
  <c r="Q2297" i="3" s="1"/>
  <c r="Q2296" i="3"/>
  <c r="O2296" i="3"/>
  <c r="P2296" i="3" s="1"/>
  <c r="O2295" i="3"/>
  <c r="P2295" i="3" s="1"/>
  <c r="Q2295" i="3" s="1"/>
  <c r="Q2294" i="3"/>
  <c r="O2294" i="3"/>
  <c r="P2294" i="3" s="1"/>
  <c r="Q2293" i="3"/>
  <c r="P2293" i="3"/>
  <c r="O2293" i="3"/>
  <c r="P2292" i="3"/>
  <c r="Q2292" i="3" s="1"/>
  <c r="O2292" i="3"/>
  <c r="O2291" i="3"/>
  <c r="P2291" i="3" s="1"/>
  <c r="Q2291" i="3" s="1"/>
  <c r="P2290" i="3"/>
  <c r="Q2290" i="3" s="1"/>
  <c r="O2290" i="3"/>
  <c r="O2289" i="3"/>
  <c r="P2289" i="3" s="1"/>
  <c r="Q2289" i="3" s="1"/>
  <c r="O2288" i="3"/>
  <c r="P2288" i="3" s="1"/>
  <c r="Q2288" i="3" s="1"/>
  <c r="Q2287" i="3"/>
  <c r="P2287" i="3"/>
  <c r="O2287" i="3"/>
  <c r="P2286" i="3"/>
  <c r="Q2286" i="3" s="1"/>
  <c r="O2286" i="3"/>
  <c r="Q2285" i="3"/>
  <c r="O2285" i="3"/>
  <c r="P2285" i="3" s="1"/>
  <c r="O2284" i="3"/>
  <c r="P2284" i="3" s="1"/>
  <c r="Q2284" i="3" s="1"/>
  <c r="O2283" i="3"/>
  <c r="P2283" i="3" s="1"/>
  <c r="Q2283" i="3" s="1"/>
  <c r="O2282" i="3"/>
  <c r="P2282" i="3" s="1"/>
  <c r="Q2282" i="3" s="1"/>
  <c r="O2281" i="3"/>
  <c r="P2281" i="3" s="1"/>
  <c r="Q2281" i="3" s="1"/>
  <c r="O2280" i="3"/>
  <c r="P2280" i="3" s="1"/>
  <c r="Q2280" i="3" s="1"/>
  <c r="P2279" i="3"/>
  <c r="Q2279" i="3" s="1"/>
  <c r="O2279" i="3"/>
  <c r="O2278" i="3"/>
  <c r="P2278" i="3" s="1"/>
  <c r="Q2278" i="3" s="1"/>
  <c r="P2277" i="3"/>
  <c r="Q2277" i="3" s="1"/>
  <c r="O2277" i="3"/>
  <c r="O2276" i="3"/>
  <c r="P2276" i="3" s="1"/>
  <c r="Q2276" i="3" s="1"/>
  <c r="O2275" i="3"/>
  <c r="P2275" i="3" s="1"/>
  <c r="Q2275" i="3" s="1"/>
  <c r="Q2274" i="3"/>
  <c r="P2274" i="3"/>
  <c r="O2274" i="3"/>
  <c r="P2273" i="3"/>
  <c r="Q2273" i="3" s="1"/>
  <c r="O2273" i="3"/>
  <c r="P2272" i="3"/>
  <c r="Q2272" i="3" s="1"/>
  <c r="O2272" i="3"/>
  <c r="P2271" i="3"/>
  <c r="Q2271" i="3" s="1"/>
  <c r="O2271" i="3"/>
  <c r="Q2270" i="3"/>
  <c r="O2270" i="3"/>
  <c r="P2270" i="3" s="1"/>
  <c r="O2269" i="3"/>
  <c r="P2269" i="3" s="1"/>
  <c r="Q2269" i="3" s="1"/>
  <c r="Q2268" i="3"/>
  <c r="O2268" i="3"/>
  <c r="P2268" i="3" s="1"/>
  <c r="Q2267" i="3"/>
  <c r="O2267" i="3"/>
  <c r="P2267" i="3" s="1"/>
  <c r="P2266" i="3"/>
  <c r="Q2266" i="3" s="1"/>
  <c r="O2266" i="3"/>
  <c r="Q2265" i="3"/>
  <c r="P2265" i="3"/>
  <c r="O2265" i="3"/>
  <c r="O2264" i="3"/>
  <c r="P2264" i="3" s="1"/>
  <c r="Q2264" i="3" s="1"/>
  <c r="O2263" i="3"/>
  <c r="P2263" i="3" s="1"/>
  <c r="Q2263" i="3" s="1"/>
  <c r="O2262" i="3"/>
  <c r="P2262" i="3" s="1"/>
  <c r="Q2262" i="3" s="1"/>
  <c r="Q2261" i="3"/>
  <c r="O2261" i="3"/>
  <c r="P2261" i="3" s="1"/>
  <c r="Q2260" i="3"/>
  <c r="P2260" i="3"/>
  <c r="O2260" i="3"/>
  <c r="Q2259" i="3"/>
  <c r="P2259" i="3"/>
  <c r="O2259" i="3"/>
  <c r="Q2258" i="3"/>
  <c r="P2258" i="3"/>
  <c r="O2258" i="3"/>
  <c r="O2257" i="3"/>
  <c r="P2257" i="3" s="1"/>
  <c r="Q2257" i="3" s="1"/>
  <c r="O2256" i="3"/>
  <c r="P2256" i="3" s="1"/>
  <c r="Q2256" i="3" s="1"/>
  <c r="O2255" i="3"/>
  <c r="P2255" i="3" s="1"/>
  <c r="Q2255" i="3" s="1"/>
  <c r="Q2254" i="3"/>
  <c r="O2254" i="3"/>
  <c r="P2254" i="3" s="1"/>
  <c r="O2253" i="3"/>
  <c r="P2253" i="3" s="1"/>
  <c r="Q2253" i="3" s="1"/>
  <c r="O2252" i="3"/>
  <c r="P2252" i="3" s="1"/>
  <c r="Q2252" i="3" s="1"/>
  <c r="Q2251" i="3"/>
  <c r="P2251" i="3"/>
  <c r="O2251" i="3"/>
  <c r="O2250" i="3"/>
  <c r="P2250" i="3" s="1"/>
  <c r="Q2250" i="3" s="1"/>
  <c r="P2249" i="3"/>
  <c r="Q2249" i="3" s="1"/>
  <c r="O2249" i="3"/>
  <c r="P2248" i="3"/>
  <c r="Q2248" i="3" s="1"/>
  <c r="O2248" i="3"/>
  <c r="O2247" i="3"/>
  <c r="P2247" i="3" s="1"/>
  <c r="Q2247" i="3" s="1"/>
  <c r="Q2246" i="3"/>
  <c r="P2246" i="3"/>
  <c r="O2246" i="3"/>
  <c r="Q2245" i="3"/>
  <c r="P2245" i="3"/>
  <c r="O2245" i="3"/>
  <c r="P2244" i="3"/>
  <c r="Q2244" i="3" s="1"/>
  <c r="O2244" i="3"/>
  <c r="P2243" i="3"/>
  <c r="Q2243" i="3" s="1"/>
  <c r="O2243" i="3"/>
  <c r="O2242" i="3"/>
  <c r="P2242" i="3" s="1"/>
  <c r="Q2242" i="3" s="1"/>
  <c r="O2241" i="3"/>
  <c r="P2241" i="3" s="1"/>
  <c r="Q2241" i="3" s="1"/>
  <c r="Q2240" i="3"/>
  <c r="O2240" i="3"/>
  <c r="P2240" i="3" s="1"/>
  <c r="Q2239" i="3"/>
  <c r="O2239" i="3"/>
  <c r="P2239" i="3" s="1"/>
  <c r="P2238" i="3"/>
  <c r="Q2238" i="3" s="1"/>
  <c r="O2238" i="3"/>
  <c r="Q2237" i="3"/>
  <c r="P2237" i="3"/>
  <c r="O2237" i="3"/>
  <c r="O2236" i="3"/>
  <c r="P2236" i="3" s="1"/>
  <c r="Q2236" i="3" s="1"/>
  <c r="O2235" i="3"/>
  <c r="P2235" i="3" s="1"/>
  <c r="Q2235" i="3" s="1"/>
  <c r="P2234" i="3"/>
  <c r="Q2234" i="3" s="1"/>
  <c r="O2234" i="3"/>
  <c r="O2233" i="3"/>
  <c r="P2233" i="3" s="1"/>
  <c r="Q2233" i="3" s="1"/>
  <c r="Q2232" i="3"/>
  <c r="P2232" i="3"/>
  <c r="O2232" i="3"/>
  <c r="Q2231" i="3"/>
  <c r="P2231" i="3"/>
  <c r="O2231" i="3"/>
  <c r="P2230" i="3"/>
  <c r="Q2230" i="3" s="1"/>
  <c r="O2230" i="3"/>
  <c r="O2229" i="3"/>
  <c r="P2229" i="3" s="1"/>
  <c r="Q2229" i="3" s="1"/>
  <c r="O2228" i="3"/>
  <c r="P2228" i="3" s="1"/>
  <c r="Q2228" i="3" s="1"/>
  <c r="O2227" i="3"/>
  <c r="P2227" i="3" s="1"/>
  <c r="Q2227" i="3" s="1"/>
  <c r="Q2226" i="3"/>
  <c r="O2226" i="3"/>
  <c r="P2226" i="3" s="1"/>
  <c r="O2225" i="3"/>
  <c r="P2225" i="3" s="1"/>
  <c r="Q2225" i="3" s="1"/>
  <c r="O2224" i="3"/>
  <c r="P2224" i="3" s="1"/>
  <c r="Q2224" i="3" s="1"/>
  <c r="P2223" i="3"/>
  <c r="Q2223" i="3" s="1"/>
  <c r="O2223" i="3"/>
  <c r="O2222" i="3"/>
  <c r="P2222" i="3" s="1"/>
  <c r="Q2222" i="3" s="1"/>
  <c r="P2221" i="3"/>
  <c r="Q2221" i="3" s="1"/>
  <c r="O2221" i="3"/>
  <c r="O2220" i="3"/>
  <c r="P2220" i="3" s="1"/>
  <c r="Q2220" i="3" s="1"/>
  <c r="P2219" i="3"/>
  <c r="Q2219" i="3" s="1"/>
  <c r="O2219" i="3"/>
  <c r="Q2218" i="3"/>
  <c r="P2218" i="3"/>
  <c r="O2218" i="3"/>
  <c r="P2217" i="3"/>
  <c r="Q2217" i="3" s="1"/>
  <c r="O2217" i="3"/>
  <c r="P2216" i="3"/>
  <c r="Q2216" i="3" s="1"/>
  <c r="O2216" i="3"/>
  <c r="Q2215" i="3"/>
  <c r="P2215" i="3"/>
  <c r="O2215" i="3"/>
  <c r="P2214" i="3"/>
  <c r="Q2214" i="3" s="1"/>
  <c r="O2214" i="3"/>
  <c r="O2213" i="3"/>
  <c r="P2213" i="3" s="1"/>
  <c r="Q2213" i="3" s="1"/>
  <c r="Q2212" i="3"/>
  <c r="O2212" i="3"/>
  <c r="P2212" i="3" s="1"/>
  <c r="Q2211" i="3"/>
  <c r="O2211" i="3"/>
  <c r="P2211" i="3" s="1"/>
  <c r="P2210" i="3"/>
  <c r="Q2210" i="3" s="1"/>
  <c r="O2210" i="3"/>
  <c r="P2209" i="3"/>
  <c r="Q2209" i="3" s="1"/>
  <c r="O2209" i="3"/>
  <c r="O2208" i="3"/>
  <c r="P2208" i="3" s="1"/>
  <c r="Q2208" i="3" s="1"/>
  <c r="O2207" i="3"/>
  <c r="P2207" i="3" s="1"/>
  <c r="Q2207" i="3" s="1"/>
  <c r="O2206" i="3"/>
  <c r="P2206" i="3" s="1"/>
  <c r="Q2206" i="3" s="1"/>
  <c r="O2205" i="3"/>
  <c r="P2205" i="3" s="1"/>
  <c r="Q2205" i="3" s="1"/>
  <c r="Q2204" i="3"/>
  <c r="P2204" i="3"/>
  <c r="O2204" i="3"/>
  <c r="Q2203" i="3"/>
  <c r="P2203" i="3"/>
  <c r="O2203" i="3"/>
  <c r="P2202" i="3"/>
  <c r="Q2202" i="3" s="1"/>
  <c r="O2202" i="3"/>
  <c r="O2201" i="3"/>
  <c r="P2201" i="3" s="1"/>
  <c r="Q2201" i="3" s="1"/>
  <c r="O2200" i="3"/>
  <c r="P2200" i="3" s="1"/>
  <c r="Q2200" i="3" s="1"/>
  <c r="O2199" i="3"/>
  <c r="P2199" i="3" s="1"/>
  <c r="Q2199" i="3" s="1"/>
  <c r="O2198" i="3"/>
  <c r="P2198" i="3" s="1"/>
  <c r="Q2198" i="3" s="1"/>
  <c r="O2197" i="3"/>
  <c r="P2197" i="3" s="1"/>
  <c r="Q2197" i="3" s="1"/>
  <c r="Q2196" i="3"/>
  <c r="P2196" i="3"/>
  <c r="O2196" i="3"/>
  <c r="P2195" i="3"/>
  <c r="Q2195" i="3" s="1"/>
  <c r="O2195" i="3"/>
  <c r="O2194" i="3"/>
  <c r="P2194" i="3" s="1"/>
  <c r="Q2194" i="3" s="1"/>
  <c r="P2193" i="3"/>
  <c r="Q2193" i="3" s="1"/>
  <c r="O2193" i="3"/>
  <c r="O2192" i="3"/>
  <c r="P2192" i="3" s="1"/>
  <c r="Q2192" i="3" s="1"/>
  <c r="P2191" i="3"/>
  <c r="Q2191" i="3" s="1"/>
  <c r="O2191" i="3"/>
  <c r="Q2190" i="3"/>
  <c r="P2190" i="3"/>
  <c r="O2190" i="3"/>
  <c r="Q2189" i="3"/>
  <c r="P2189" i="3"/>
  <c r="O2189" i="3"/>
  <c r="P2188" i="3"/>
  <c r="Q2188" i="3" s="1"/>
  <c r="O2188" i="3"/>
  <c r="P2187" i="3"/>
  <c r="Q2187" i="3" s="1"/>
  <c r="O2187" i="3"/>
  <c r="O2186" i="3"/>
  <c r="P2186" i="3" s="1"/>
  <c r="Q2186" i="3" s="1"/>
  <c r="O2185" i="3"/>
  <c r="P2185" i="3" s="1"/>
  <c r="Q2185" i="3" s="1"/>
  <c r="O2184" i="3"/>
  <c r="P2184" i="3" s="1"/>
  <c r="Q2184" i="3" s="1"/>
  <c r="Q2183" i="3"/>
  <c r="O2183" i="3"/>
  <c r="P2183" i="3" s="1"/>
  <c r="P2182" i="3"/>
  <c r="Q2182" i="3" s="1"/>
  <c r="O2182" i="3"/>
  <c r="Q2181" i="3"/>
  <c r="P2181" i="3"/>
  <c r="O2181" i="3"/>
  <c r="O2180" i="3"/>
  <c r="P2180" i="3" s="1"/>
  <c r="Q2180" i="3" s="1"/>
  <c r="O2179" i="3"/>
  <c r="P2179" i="3" s="1"/>
  <c r="Q2179" i="3" s="1"/>
  <c r="O2178" i="3"/>
  <c r="P2178" i="3" s="1"/>
  <c r="Q2178" i="3" s="1"/>
  <c r="Q2177" i="3"/>
  <c r="O2177" i="3"/>
  <c r="P2177" i="3" s="1"/>
  <c r="Q2176" i="3"/>
  <c r="P2176" i="3"/>
  <c r="O2176" i="3"/>
  <c r="Q2175" i="3"/>
  <c r="P2175" i="3"/>
  <c r="O2175" i="3"/>
  <c r="P2174" i="3"/>
  <c r="Q2174" i="3" s="1"/>
  <c r="O2174" i="3"/>
  <c r="O2173" i="3"/>
  <c r="P2173" i="3" s="1"/>
  <c r="Q2173" i="3" s="1"/>
  <c r="O2172" i="3"/>
  <c r="P2172" i="3" s="1"/>
  <c r="Q2172" i="3" s="1"/>
  <c r="O2171" i="3"/>
  <c r="P2171" i="3" s="1"/>
  <c r="Q2171" i="3" s="1"/>
  <c r="O2170" i="3"/>
  <c r="P2170" i="3" s="1"/>
  <c r="Q2170" i="3" s="1"/>
  <c r="O2169" i="3"/>
  <c r="P2169" i="3" s="1"/>
  <c r="Q2169" i="3" s="1"/>
  <c r="O2168" i="3"/>
  <c r="P2168" i="3" s="1"/>
  <c r="Q2168" i="3" s="1"/>
  <c r="P2167" i="3"/>
  <c r="Q2167" i="3" s="1"/>
  <c r="O2167" i="3"/>
  <c r="O2166" i="3"/>
  <c r="P2166" i="3" s="1"/>
  <c r="Q2166" i="3" s="1"/>
  <c r="P2165" i="3"/>
  <c r="Q2165" i="3" s="1"/>
  <c r="O2165" i="3"/>
  <c r="O2164" i="3"/>
  <c r="P2164" i="3" s="1"/>
  <c r="Q2164" i="3" s="1"/>
  <c r="O2163" i="3"/>
  <c r="P2163" i="3" s="1"/>
  <c r="Q2163" i="3" s="1"/>
  <c r="Q2162" i="3"/>
  <c r="P2162" i="3"/>
  <c r="O2162" i="3"/>
  <c r="Q2161" i="3"/>
  <c r="P2161" i="3"/>
  <c r="O2161" i="3"/>
  <c r="P2160" i="3"/>
  <c r="Q2160" i="3" s="1"/>
  <c r="O2160" i="3"/>
  <c r="P2159" i="3"/>
  <c r="Q2159" i="3" s="1"/>
  <c r="O2159" i="3"/>
  <c r="O2158" i="3"/>
  <c r="P2158" i="3" s="1"/>
  <c r="Q2158" i="3" s="1"/>
  <c r="O2157" i="3"/>
  <c r="P2157" i="3" s="1"/>
  <c r="Q2157" i="3" s="1"/>
  <c r="Q2156" i="3"/>
  <c r="O2156" i="3"/>
  <c r="P2156" i="3" s="1"/>
  <c r="Q2155" i="3"/>
  <c r="O2155" i="3"/>
  <c r="P2155" i="3" s="1"/>
  <c r="P2154" i="3"/>
  <c r="Q2154" i="3" s="1"/>
  <c r="O2154" i="3"/>
  <c r="Q2153" i="3"/>
  <c r="P2153" i="3"/>
  <c r="O2153" i="3"/>
  <c r="O2152" i="3"/>
  <c r="P2152" i="3" s="1"/>
  <c r="Q2152" i="3" s="1"/>
  <c r="O2151" i="3"/>
  <c r="P2151" i="3" s="1"/>
  <c r="Q2151" i="3" s="1"/>
  <c r="P2150" i="3"/>
  <c r="Q2150" i="3" s="1"/>
  <c r="O2150" i="3"/>
  <c r="O2149" i="3"/>
  <c r="P2149" i="3" s="1"/>
  <c r="Q2149" i="3" s="1"/>
  <c r="Q2148" i="3"/>
  <c r="P2148" i="3"/>
  <c r="O2148" i="3"/>
  <c r="Q2147" i="3"/>
  <c r="P2147" i="3"/>
  <c r="O2147" i="3"/>
  <c r="P2146" i="3"/>
  <c r="Q2146" i="3" s="1"/>
  <c r="O2146" i="3"/>
  <c r="O2145" i="3"/>
  <c r="P2145" i="3" s="1"/>
  <c r="Q2145" i="3" s="1"/>
  <c r="O2144" i="3"/>
  <c r="P2144" i="3" s="1"/>
  <c r="Q2144" i="3" s="1"/>
  <c r="O2143" i="3"/>
  <c r="P2143" i="3" s="1"/>
  <c r="Q2143" i="3" s="1"/>
  <c r="O2142" i="3"/>
  <c r="P2142" i="3" s="1"/>
  <c r="Q2142" i="3" s="1"/>
  <c r="O2141" i="3"/>
  <c r="P2141" i="3" s="1"/>
  <c r="Q2141" i="3" s="1"/>
  <c r="O2140" i="3"/>
  <c r="P2140" i="3" s="1"/>
  <c r="Q2140" i="3" s="1"/>
  <c r="Q2139" i="3"/>
  <c r="P2139" i="3"/>
  <c r="O2139" i="3"/>
  <c r="O2138" i="3"/>
  <c r="P2138" i="3" s="1"/>
  <c r="Q2138" i="3" s="1"/>
  <c r="P2137" i="3"/>
  <c r="Q2137" i="3" s="1"/>
  <c r="O2137" i="3"/>
  <c r="O2136" i="3"/>
  <c r="P2136" i="3" s="1"/>
  <c r="Q2136" i="3" s="1"/>
  <c r="O2135" i="3"/>
  <c r="P2135" i="3" s="1"/>
  <c r="Q2135" i="3" s="1"/>
  <c r="Q2134" i="3"/>
  <c r="P2134" i="3"/>
  <c r="O2134" i="3"/>
  <c r="P2133" i="3"/>
  <c r="Q2133" i="3" s="1"/>
  <c r="O2133" i="3"/>
  <c r="P2132" i="3"/>
  <c r="Q2132" i="3" s="1"/>
  <c r="O2132" i="3"/>
  <c r="P2131" i="3"/>
  <c r="Q2131" i="3" s="1"/>
  <c r="O2131" i="3"/>
  <c r="O2130" i="3"/>
  <c r="P2130" i="3" s="1"/>
  <c r="Q2130" i="3" s="1"/>
  <c r="O2129" i="3"/>
  <c r="P2129" i="3" s="1"/>
  <c r="Q2129" i="3" s="1"/>
  <c r="Q2128" i="3"/>
  <c r="O2128" i="3"/>
  <c r="P2128" i="3" s="1"/>
  <c r="Q2127" i="3"/>
  <c r="O2127" i="3"/>
  <c r="P2127" i="3" s="1"/>
  <c r="P2126" i="3"/>
  <c r="Q2126" i="3" s="1"/>
  <c r="O2126" i="3"/>
  <c r="Q2125" i="3"/>
  <c r="P2125" i="3"/>
  <c r="O2125" i="3"/>
  <c r="O2124" i="3"/>
  <c r="P2124" i="3" s="1"/>
  <c r="Q2124" i="3" s="1"/>
  <c r="O2123" i="3"/>
  <c r="P2123" i="3" s="1"/>
  <c r="Q2123" i="3" s="1"/>
  <c r="O2122" i="3"/>
  <c r="P2122" i="3" s="1"/>
  <c r="Q2122" i="3" s="1"/>
  <c r="O2121" i="3"/>
  <c r="P2121" i="3" s="1"/>
  <c r="Q2121" i="3" s="1"/>
  <c r="Q2120" i="3"/>
  <c r="P2120" i="3"/>
  <c r="O2120" i="3"/>
  <c r="Q2119" i="3"/>
  <c r="P2119" i="3"/>
  <c r="O2119" i="3"/>
  <c r="P2118" i="3"/>
  <c r="Q2118" i="3" s="1"/>
  <c r="O2118" i="3"/>
  <c r="P2117" i="3"/>
  <c r="Q2117" i="3" s="1"/>
  <c r="O2117" i="3"/>
  <c r="O2116" i="3"/>
  <c r="P2116" i="3" s="1"/>
  <c r="Q2116" i="3" s="1"/>
  <c r="O2115" i="3"/>
  <c r="P2115" i="3" s="1"/>
  <c r="Q2115" i="3" s="1"/>
  <c r="O2114" i="3"/>
  <c r="P2114" i="3" s="1"/>
  <c r="Q2114" i="3" s="1"/>
  <c r="O2113" i="3"/>
  <c r="P2113" i="3" s="1"/>
  <c r="Q2113" i="3" s="1"/>
  <c r="P2112" i="3"/>
  <c r="Q2112" i="3" s="1"/>
  <c r="O2112" i="3"/>
  <c r="P2111" i="3"/>
  <c r="Q2111" i="3" s="1"/>
  <c r="O2111" i="3"/>
  <c r="O2110" i="3"/>
  <c r="P2110" i="3" s="1"/>
  <c r="Q2110" i="3" s="1"/>
  <c r="P2109" i="3"/>
  <c r="Q2109" i="3" s="1"/>
  <c r="O2109" i="3"/>
  <c r="O2108" i="3"/>
  <c r="P2108" i="3" s="1"/>
  <c r="Q2108" i="3" s="1"/>
  <c r="P2107" i="3"/>
  <c r="Q2107" i="3" s="1"/>
  <c r="O2107" i="3"/>
  <c r="Q2106" i="3"/>
  <c r="P2106" i="3"/>
  <c r="O2106" i="3"/>
  <c r="Q2105" i="3"/>
  <c r="P2105" i="3"/>
  <c r="O2105" i="3"/>
  <c r="P2104" i="3"/>
  <c r="Q2104" i="3" s="1"/>
  <c r="O2104" i="3"/>
  <c r="P2103" i="3"/>
  <c r="Q2103" i="3" s="1"/>
  <c r="O2103" i="3"/>
  <c r="O2102" i="3"/>
  <c r="P2102" i="3" s="1"/>
  <c r="Q2102" i="3" s="1"/>
  <c r="O2101" i="3"/>
  <c r="P2101" i="3" s="1"/>
  <c r="Q2101" i="3" s="1"/>
  <c r="O2100" i="3"/>
  <c r="P2100" i="3" s="1"/>
  <c r="Q2100" i="3" s="1"/>
  <c r="Q2099" i="3"/>
  <c r="O2099" i="3"/>
  <c r="P2099" i="3" s="1"/>
  <c r="P2098" i="3"/>
  <c r="Q2098" i="3" s="1"/>
  <c r="O2098" i="3"/>
  <c r="P2097" i="3"/>
  <c r="Q2097" i="3" s="1"/>
  <c r="O2097" i="3"/>
  <c r="O2096" i="3"/>
  <c r="P2096" i="3" s="1"/>
  <c r="Q2096" i="3" s="1"/>
  <c r="O2095" i="3"/>
  <c r="P2095" i="3" s="1"/>
  <c r="Q2095" i="3" s="1"/>
  <c r="O2094" i="3"/>
  <c r="P2094" i="3" s="1"/>
  <c r="Q2094" i="3" s="1"/>
  <c r="Q2093" i="3"/>
  <c r="O2093" i="3"/>
  <c r="P2093" i="3" s="1"/>
  <c r="Q2092" i="3"/>
  <c r="P2092" i="3"/>
  <c r="O2092" i="3"/>
  <c r="Q2091" i="3"/>
  <c r="P2091" i="3"/>
  <c r="O2091" i="3"/>
  <c r="Q2090" i="3"/>
  <c r="P2090" i="3"/>
  <c r="O2090" i="3"/>
  <c r="O2089" i="3"/>
  <c r="P2089" i="3" s="1"/>
  <c r="Q2089" i="3" s="1"/>
  <c r="O2088" i="3"/>
  <c r="P2088" i="3" s="1"/>
  <c r="Q2088" i="3" s="1"/>
  <c r="O2087" i="3"/>
  <c r="P2087" i="3" s="1"/>
  <c r="Q2087" i="3" s="1"/>
  <c r="O2086" i="3"/>
  <c r="P2086" i="3" s="1"/>
  <c r="Q2086" i="3" s="1"/>
  <c r="O2085" i="3"/>
  <c r="P2085" i="3" s="1"/>
  <c r="Q2085" i="3" s="1"/>
  <c r="P2084" i="3"/>
  <c r="Q2084" i="3" s="1"/>
  <c r="O2084" i="3"/>
  <c r="P2083" i="3"/>
  <c r="Q2083" i="3" s="1"/>
  <c r="O2083" i="3"/>
  <c r="O2082" i="3"/>
  <c r="P2082" i="3" s="1"/>
  <c r="Q2082" i="3" s="1"/>
  <c r="P2081" i="3"/>
  <c r="Q2081" i="3" s="1"/>
  <c r="O2081" i="3"/>
  <c r="O2080" i="3"/>
  <c r="P2080" i="3" s="1"/>
  <c r="Q2080" i="3" s="1"/>
  <c r="O2079" i="3"/>
  <c r="P2079" i="3" s="1"/>
  <c r="Q2079" i="3" s="1"/>
  <c r="Q2078" i="3"/>
  <c r="P2078" i="3"/>
  <c r="O2078" i="3"/>
  <c r="Q2077" i="3"/>
  <c r="P2077" i="3"/>
  <c r="O2077" i="3"/>
  <c r="P2076" i="3"/>
  <c r="Q2076" i="3" s="1"/>
  <c r="O2076" i="3"/>
  <c r="P2075" i="3"/>
  <c r="Q2075" i="3" s="1"/>
  <c r="O2075" i="3"/>
  <c r="O2074" i="3"/>
  <c r="P2074" i="3" s="1"/>
  <c r="Q2074" i="3" s="1"/>
  <c r="O2073" i="3"/>
  <c r="P2073" i="3" s="1"/>
  <c r="Q2073" i="3" s="1"/>
  <c r="Q2072" i="3"/>
  <c r="O2072" i="3"/>
  <c r="P2072" i="3" s="1"/>
  <c r="Q2071" i="3"/>
  <c r="O2071" i="3"/>
  <c r="P2071" i="3" s="1"/>
  <c r="P2070" i="3"/>
  <c r="Q2070" i="3" s="1"/>
  <c r="O2070" i="3"/>
  <c r="Q2069" i="3"/>
  <c r="P2069" i="3"/>
  <c r="O2069" i="3"/>
  <c r="O2068" i="3"/>
  <c r="P2068" i="3" s="1"/>
  <c r="Q2068" i="3" s="1"/>
  <c r="O2067" i="3"/>
  <c r="P2067" i="3" s="1"/>
  <c r="Q2067" i="3" s="1"/>
  <c r="O2066" i="3"/>
  <c r="P2066" i="3" s="1"/>
  <c r="Q2066" i="3" s="1"/>
  <c r="O2065" i="3"/>
  <c r="P2065" i="3" s="1"/>
  <c r="Q2065" i="3" s="1"/>
  <c r="Q2064" i="3"/>
  <c r="P2064" i="3"/>
  <c r="O2064" i="3"/>
  <c r="Q2063" i="3"/>
  <c r="P2063" i="3"/>
  <c r="O2063" i="3"/>
  <c r="P2062" i="3"/>
  <c r="Q2062" i="3" s="1"/>
  <c r="O2062" i="3"/>
  <c r="Q2061" i="3"/>
  <c r="O2061" i="3"/>
  <c r="P2061" i="3" s="1"/>
  <c r="O2060" i="3"/>
  <c r="P2060" i="3" s="1"/>
  <c r="Q2060" i="3" s="1"/>
  <c r="O2059" i="3"/>
  <c r="P2059" i="3" s="1"/>
  <c r="Q2059" i="3" s="1"/>
  <c r="O2058" i="3"/>
  <c r="P2058" i="3" s="1"/>
  <c r="Q2058" i="3" s="1"/>
  <c r="O2057" i="3"/>
  <c r="P2057" i="3" s="1"/>
  <c r="Q2057" i="3" s="1"/>
  <c r="Q2056" i="3"/>
  <c r="O2056" i="3"/>
  <c r="P2056" i="3" s="1"/>
  <c r="P2055" i="3"/>
  <c r="Q2055" i="3" s="1"/>
  <c r="O2055" i="3"/>
  <c r="O2054" i="3"/>
  <c r="P2054" i="3" s="1"/>
  <c r="Q2054" i="3" s="1"/>
  <c r="P2053" i="3"/>
  <c r="Q2053" i="3" s="1"/>
  <c r="O2053" i="3"/>
  <c r="P2052" i="3"/>
  <c r="Q2052" i="3" s="1"/>
  <c r="O2052" i="3"/>
  <c r="P2051" i="3"/>
  <c r="Q2051" i="3" s="1"/>
  <c r="O2051" i="3"/>
  <c r="Q2050" i="3"/>
  <c r="P2050" i="3"/>
  <c r="O2050" i="3"/>
  <c r="Q2049" i="3"/>
  <c r="P2049" i="3"/>
  <c r="O2049" i="3"/>
  <c r="P2048" i="3"/>
  <c r="Q2048" i="3" s="1"/>
  <c r="O2048" i="3"/>
  <c r="P2047" i="3"/>
  <c r="Q2047" i="3" s="1"/>
  <c r="O2047" i="3"/>
  <c r="O2046" i="3"/>
  <c r="P2046" i="3" s="1"/>
  <c r="Q2046" i="3" s="1"/>
  <c r="O2045" i="3"/>
  <c r="P2045" i="3" s="1"/>
  <c r="Q2045" i="3" s="1"/>
  <c r="Q2044" i="3"/>
  <c r="O2044" i="3"/>
  <c r="P2044" i="3" s="1"/>
  <c r="Q2043" i="3"/>
  <c r="O2043" i="3"/>
  <c r="P2043" i="3" s="1"/>
  <c r="P2042" i="3"/>
  <c r="Q2042" i="3" s="1"/>
  <c r="O2042" i="3"/>
  <c r="Q2041" i="3"/>
  <c r="P2041" i="3"/>
  <c r="O2041" i="3"/>
  <c r="P2040" i="3"/>
  <c r="Q2040" i="3" s="1"/>
  <c r="O2040" i="3"/>
  <c r="O2039" i="3"/>
  <c r="P2039" i="3" s="1"/>
  <c r="Q2039" i="3" s="1"/>
  <c r="O2038" i="3"/>
  <c r="P2038" i="3" s="1"/>
  <c r="Q2038" i="3" s="1"/>
  <c r="O2037" i="3"/>
  <c r="P2037" i="3" s="1"/>
  <c r="Q2037" i="3" s="1"/>
  <c r="Q2036" i="3"/>
  <c r="P2036" i="3"/>
  <c r="O2036" i="3"/>
  <c r="Q2035" i="3"/>
  <c r="O2035" i="3"/>
  <c r="P2035" i="3" s="1"/>
  <c r="Q2034" i="3"/>
  <c r="P2034" i="3"/>
  <c r="O2034" i="3"/>
  <c r="O2033" i="3"/>
  <c r="P2033" i="3" s="1"/>
  <c r="Q2033" i="3" s="1"/>
  <c r="O2032" i="3"/>
  <c r="P2032" i="3" s="1"/>
  <c r="Q2032" i="3" s="1"/>
  <c r="O2031" i="3"/>
  <c r="P2031" i="3" s="1"/>
  <c r="Q2031" i="3" s="1"/>
  <c r="O2030" i="3"/>
  <c r="P2030" i="3" s="1"/>
  <c r="Q2030" i="3" s="1"/>
  <c r="O2029" i="3"/>
  <c r="P2029" i="3" s="1"/>
  <c r="Q2029" i="3" s="1"/>
  <c r="O2028" i="3"/>
  <c r="P2028" i="3" s="1"/>
  <c r="Q2028" i="3" s="1"/>
  <c r="O2027" i="3"/>
  <c r="P2027" i="3" s="1"/>
  <c r="Q2027" i="3" s="1"/>
  <c r="O2026" i="3"/>
  <c r="P2026" i="3" s="1"/>
  <c r="Q2026" i="3" s="1"/>
  <c r="Q2025" i="3"/>
  <c r="P2025" i="3"/>
  <c r="O2025" i="3"/>
  <c r="P2024" i="3"/>
  <c r="Q2024" i="3" s="1"/>
  <c r="O2024" i="3"/>
  <c r="P2023" i="3"/>
  <c r="Q2023" i="3" s="1"/>
  <c r="O2023" i="3"/>
  <c r="Q2022" i="3"/>
  <c r="P2022" i="3"/>
  <c r="O2022" i="3"/>
  <c r="P2021" i="3"/>
  <c r="Q2021" i="3" s="1"/>
  <c r="O2021" i="3"/>
  <c r="Q2020" i="3"/>
  <c r="P2020" i="3"/>
  <c r="O2020" i="3"/>
  <c r="P2019" i="3"/>
  <c r="Q2019" i="3" s="1"/>
  <c r="O2019" i="3"/>
  <c r="O2018" i="3"/>
  <c r="P2018" i="3" s="1"/>
  <c r="Q2018" i="3" s="1"/>
  <c r="Q2017" i="3"/>
  <c r="O2017" i="3"/>
  <c r="P2017" i="3" s="1"/>
  <c r="O2016" i="3"/>
  <c r="P2016" i="3" s="1"/>
  <c r="Q2016" i="3" s="1"/>
  <c r="Q2015" i="3"/>
  <c r="O2015" i="3"/>
  <c r="P2015" i="3" s="1"/>
  <c r="P2014" i="3"/>
  <c r="Q2014" i="3" s="1"/>
  <c r="O2014" i="3"/>
  <c r="O2013" i="3"/>
  <c r="P2013" i="3" s="1"/>
  <c r="Q2013" i="3" s="1"/>
  <c r="O2012" i="3"/>
  <c r="P2012" i="3" s="1"/>
  <c r="Q2012" i="3" s="1"/>
  <c r="O2011" i="3"/>
  <c r="P2011" i="3" s="1"/>
  <c r="Q2011" i="3" s="1"/>
  <c r="P2010" i="3"/>
  <c r="Q2010" i="3" s="1"/>
  <c r="O2010" i="3"/>
  <c r="O2009" i="3"/>
  <c r="P2009" i="3" s="1"/>
  <c r="Q2009" i="3" s="1"/>
  <c r="P2008" i="3"/>
  <c r="Q2008" i="3" s="1"/>
  <c r="O2008" i="3"/>
  <c r="Q2007" i="3"/>
  <c r="O2007" i="3"/>
  <c r="P2007" i="3" s="1"/>
  <c r="P2006" i="3"/>
  <c r="Q2006" i="3" s="1"/>
  <c r="O2006" i="3"/>
  <c r="P2005" i="3"/>
  <c r="Q2005" i="3" s="1"/>
  <c r="O2005" i="3"/>
  <c r="O2004" i="3"/>
  <c r="P2004" i="3" s="1"/>
  <c r="Q2004" i="3" s="1"/>
  <c r="Q2003" i="3"/>
  <c r="O2003" i="3"/>
  <c r="P2003" i="3" s="1"/>
  <c r="P2002" i="3"/>
  <c r="Q2002" i="3" s="1"/>
  <c r="O2002" i="3"/>
  <c r="O2001" i="3"/>
  <c r="P2001" i="3" s="1"/>
  <c r="Q2001" i="3" s="1"/>
  <c r="O2000" i="3"/>
  <c r="P2000" i="3" s="1"/>
  <c r="Q2000" i="3" s="1"/>
  <c r="Q1999" i="3"/>
  <c r="O1999" i="3"/>
  <c r="P1999" i="3" s="1"/>
  <c r="O1998" i="3"/>
  <c r="P1998" i="3" s="1"/>
  <c r="Q1998" i="3" s="1"/>
  <c r="P1997" i="3"/>
  <c r="Q1997" i="3" s="1"/>
  <c r="O1997" i="3"/>
  <c r="P1996" i="3"/>
  <c r="Q1996" i="3" s="1"/>
  <c r="O1996" i="3"/>
  <c r="Q1995" i="3"/>
  <c r="O1995" i="3"/>
  <c r="P1995" i="3" s="1"/>
  <c r="P1994" i="3"/>
  <c r="Q1994" i="3" s="1"/>
  <c r="O1994" i="3"/>
  <c r="Q1993" i="3"/>
  <c r="P1993" i="3"/>
  <c r="O1993" i="3"/>
  <c r="P1992" i="3"/>
  <c r="Q1992" i="3" s="1"/>
  <c r="O1992" i="3"/>
  <c r="Q1991" i="3"/>
  <c r="O1991" i="3"/>
  <c r="P1991" i="3" s="1"/>
  <c r="O1990" i="3"/>
  <c r="P1990" i="3" s="1"/>
  <c r="Q1990" i="3" s="1"/>
  <c r="Q1989" i="3"/>
  <c r="O1989" i="3"/>
  <c r="P1989" i="3" s="1"/>
  <c r="O1988" i="3"/>
  <c r="P1988" i="3" s="1"/>
  <c r="Q1988" i="3" s="1"/>
  <c r="Q1987" i="3"/>
  <c r="O1987" i="3"/>
  <c r="P1987" i="3" s="1"/>
  <c r="Q1986" i="3"/>
  <c r="P1986" i="3"/>
  <c r="O1986" i="3"/>
  <c r="Q1985" i="3"/>
  <c r="P1985" i="3"/>
  <c r="O1985" i="3"/>
  <c r="Q1984" i="3"/>
  <c r="P1984" i="3"/>
  <c r="O1984" i="3"/>
  <c r="Q1983" i="3"/>
  <c r="O1983" i="3"/>
  <c r="P1983" i="3" s="1"/>
  <c r="P1982" i="3"/>
  <c r="Q1982" i="3" s="1"/>
  <c r="O1982" i="3"/>
  <c r="Q1981" i="3"/>
  <c r="P1981" i="3"/>
  <c r="O1981" i="3"/>
  <c r="Q1980" i="3"/>
  <c r="P1980" i="3"/>
  <c r="O1980" i="3"/>
  <c r="Q1979" i="3"/>
  <c r="P1979" i="3"/>
  <c r="O1979" i="3"/>
  <c r="Q1978" i="3"/>
  <c r="P1978" i="3"/>
  <c r="O1978" i="3"/>
  <c r="Q1977" i="3"/>
  <c r="P1977" i="3"/>
  <c r="O1977" i="3"/>
  <c r="O1976" i="3"/>
  <c r="P1976" i="3" s="1"/>
  <c r="Q1976" i="3" s="1"/>
  <c r="Q1975" i="3"/>
  <c r="P1975" i="3"/>
  <c r="O1975" i="3"/>
  <c r="Q1974" i="3"/>
  <c r="O1974" i="3"/>
  <c r="P1974" i="3" s="1"/>
  <c r="Q1973" i="3"/>
  <c r="O1973" i="3"/>
  <c r="P1973" i="3" s="1"/>
  <c r="O1972" i="3"/>
  <c r="P1972" i="3" s="1"/>
  <c r="Q1972" i="3" s="1"/>
  <c r="Q1971" i="3"/>
  <c r="O1971" i="3"/>
  <c r="P1971" i="3" s="1"/>
  <c r="O1970" i="3"/>
  <c r="P1970" i="3" s="1"/>
  <c r="Q1970" i="3" s="1"/>
  <c r="Q1969" i="3"/>
  <c r="O1969" i="3"/>
  <c r="P1969" i="3" s="1"/>
  <c r="P1968" i="3"/>
  <c r="Q1968" i="3" s="1"/>
  <c r="O1968" i="3"/>
  <c r="P1967" i="3"/>
  <c r="Q1967" i="3" s="1"/>
  <c r="O1967" i="3"/>
  <c r="O1966" i="3"/>
  <c r="P1966" i="3" s="1"/>
  <c r="Q1966" i="3" s="1"/>
  <c r="Q1965" i="3"/>
  <c r="P1965" i="3"/>
  <c r="O1965" i="3"/>
  <c r="Q1964" i="3"/>
  <c r="P1964" i="3"/>
  <c r="O1964" i="3"/>
  <c r="P1963" i="3"/>
  <c r="Q1963" i="3" s="1"/>
  <c r="O1963" i="3"/>
  <c r="O1962" i="3"/>
  <c r="P1962" i="3" s="1"/>
  <c r="Q1962" i="3" s="1"/>
  <c r="O1961" i="3"/>
  <c r="P1961" i="3" s="1"/>
  <c r="Q1961" i="3" s="1"/>
  <c r="P1960" i="3"/>
  <c r="Q1960" i="3" s="1"/>
  <c r="O1960" i="3"/>
  <c r="O1959" i="3"/>
  <c r="P1959" i="3" s="1"/>
  <c r="Q1959" i="3" s="1"/>
  <c r="P1958" i="3"/>
  <c r="Q1958" i="3" s="1"/>
  <c r="O1958" i="3"/>
  <c r="Q1957" i="3"/>
  <c r="O1957" i="3"/>
  <c r="P1957" i="3" s="1"/>
  <c r="O1956" i="3"/>
  <c r="P1956" i="3" s="1"/>
  <c r="Q1956" i="3" s="1"/>
  <c r="O1955" i="3"/>
  <c r="P1955" i="3" s="1"/>
  <c r="Q1955" i="3" s="1"/>
  <c r="O1954" i="3"/>
  <c r="P1954" i="3" s="1"/>
  <c r="Q1954" i="3" s="1"/>
  <c r="P1953" i="3"/>
  <c r="Q1953" i="3" s="1"/>
  <c r="O1953" i="3"/>
  <c r="O1952" i="3"/>
  <c r="P1952" i="3" s="1"/>
  <c r="Q1952" i="3" s="1"/>
  <c r="O1951" i="3"/>
  <c r="P1951" i="3" s="1"/>
  <c r="Q1951" i="3" s="1"/>
  <c r="P1950" i="3"/>
  <c r="Q1950" i="3" s="1"/>
  <c r="O1950" i="3"/>
  <c r="O1949" i="3"/>
  <c r="P1949" i="3" s="1"/>
  <c r="Q1949" i="3" s="1"/>
  <c r="Q1948" i="3"/>
  <c r="O1948" i="3"/>
  <c r="P1948" i="3" s="1"/>
  <c r="P1947" i="3"/>
  <c r="Q1947" i="3" s="1"/>
  <c r="O1947" i="3"/>
  <c r="Q1946" i="3"/>
  <c r="O1946" i="3"/>
  <c r="P1946" i="3" s="1"/>
  <c r="O1945" i="3"/>
  <c r="P1945" i="3" s="1"/>
  <c r="Q1945" i="3" s="1"/>
  <c r="P1944" i="3"/>
  <c r="Q1944" i="3" s="1"/>
  <c r="O1944" i="3"/>
  <c r="P1943" i="3"/>
  <c r="Q1943" i="3" s="1"/>
  <c r="O1943" i="3"/>
  <c r="Q1942" i="3"/>
  <c r="P1942" i="3"/>
  <c r="O1942" i="3"/>
  <c r="P1941" i="3"/>
  <c r="Q1941" i="3" s="1"/>
  <c r="O1941" i="3"/>
  <c r="O1940" i="3"/>
  <c r="P1940" i="3" s="1"/>
  <c r="Q1940" i="3" s="1"/>
  <c r="P1939" i="3"/>
  <c r="Q1939" i="3" s="1"/>
  <c r="O1939" i="3"/>
  <c r="P1938" i="3"/>
  <c r="Q1938" i="3" s="1"/>
  <c r="O1938" i="3"/>
  <c r="P1937" i="3"/>
  <c r="Q1937" i="3" s="1"/>
  <c r="O1937" i="3"/>
  <c r="Q1936" i="3"/>
  <c r="P1936" i="3"/>
  <c r="O1936" i="3"/>
  <c r="P1935" i="3"/>
  <c r="Q1935" i="3" s="1"/>
  <c r="O1935" i="3"/>
  <c r="O1934" i="3"/>
  <c r="P1934" i="3" s="1"/>
  <c r="Q1934" i="3" s="1"/>
  <c r="P1933" i="3"/>
  <c r="Q1933" i="3" s="1"/>
  <c r="O1933" i="3"/>
  <c r="O1932" i="3"/>
  <c r="P1932" i="3" s="1"/>
  <c r="Q1932" i="3" s="1"/>
  <c r="Q1931" i="3"/>
  <c r="O1931" i="3"/>
  <c r="P1931" i="3" s="1"/>
  <c r="Q1930" i="3"/>
  <c r="P1930" i="3"/>
  <c r="O1930" i="3"/>
  <c r="P1929" i="3"/>
  <c r="Q1929" i="3" s="1"/>
  <c r="O1929" i="3"/>
  <c r="Q1928" i="3"/>
  <c r="P1928" i="3"/>
  <c r="O1928" i="3"/>
  <c r="O1927" i="3"/>
  <c r="P1927" i="3" s="1"/>
  <c r="Q1927" i="3" s="1"/>
  <c r="O1926" i="3"/>
  <c r="P1926" i="3" s="1"/>
  <c r="Q1926" i="3" s="1"/>
  <c r="Q1925" i="3"/>
  <c r="O1925" i="3"/>
  <c r="P1925" i="3" s="1"/>
  <c r="P1924" i="3"/>
  <c r="Q1924" i="3" s="1"/>
  <c r="O1924" i="3"/>
  <c r="O1923" i="3"/>
  <c r="P1923" i="3" s="1"/>
  <c r="Q1923" i="3" s="1"/>
  <c r="P1922" i="3"/>
  <c r="Q1922" i="3" s="1"/>
  <c r="O1922" i="3"/>
  <c r="Q1921" i="3"/>
  <c r="O1921" i="3"/>
  <c r="P1921" i="3" s="1"/>
  <c r="O1920" i="3"/>
  <c r="P1920" i="3" s="1"/>
  <c r="Q1920" i="3" s="1"/>
  <c r="O1919" i="3"/>
  <c r="P1919" i="3" s="1"/>
  <c r="Q1919" i="3" s="1"/>
  <c r="Q1918" i="3"/>
  <c r="P1918" i="3"/>
  <c r="O1918" i="3"/>
  <c r="Q1917" i="3"/>
  <c r="P1917" i="3"/>
  <c r="O1917" i="3"/>
  <c r="P1916" i="3"/>
  <c r="Q1916" i="3" s="1"/>
  <c r="O1916" i="3"/>
  <c r="P1915" i="3"/>
  <c r="Q1915" i="3" s="1"/>
  <c r="O1915" i="3"/>
  <c r="O1914" i="3"/>
  <c r="P1914" i="3" s="1"/>
  <c r="Q1914" i="3" s="1"/>
  <c r="Q1913" i="3"/>
  <c r="O1913" i="3"/>
  <c r="P1913" i="3" s="1"/>
  <c r="P1912" i="3"/>
  <c r="Q1912" i="3" s="1"/>
  <c r="O1912" i="3"/>
  <c r="Q1911" i="3"/>
  <c r="O1911" i="3"/>
  <c r="P1911" i="3" s="1"/>
  <c r="O1910" i="3"/>
  <c r="P1910" i="3" s="1"/>
  <c r="Q1910" i="3" s="1"/>
  <c r="P1909" i="3"/>
  <c r="Q1909" i="3" s="1"/>
  <c r="O1909" i="3"/>
  <c r="P1908" i="3"/>
  <c r="Q1908" i="3" s="1"/>
  <c r="O1908" i="3"/>
  <c r="O1907" i="3"/>
  <c r="P1907" i="3" s="1"/>
  <c r="Q1907" i="3" s="1"/>
  <c r="O1906" i="3"/>
  <c r="P1906" i="3" s="1"/>
  <c r="Q1906" i="3" s="1"/>
  <c r="P1905" i="3"/>
  <c r="Q1905" i="3" s="1"/>
  <c r="O1905" i="3"/>
  <c r="Q1904" i="3"/>
  <c r="P1904" i="3"/>
  <c r="O1904" i="3"/>
  <c r="Q1903" i="3"/>
  <c r="O1903" i="3"/>
  <c r="P1903" i="3" s="1"/>
  <c r="Q1902" i="3"/>
  <c r="P1902" i="3"/>
  <c r="O1902" i="3"/>
  <c r="O1901" i="3"/>
  <c r="P1901" i="3" s="1"/>
  <c r="Q1901" i="3" s="1"/>
  <c r="O1900" i="3"/>
  <c r="P1900" i="3" s="1"/>
  <c r="Q1900" i="3" s="1"/>
  <c r="O1899" i="3"/>
  <c r="P1899" i="3" s="1"/>
  <c r="Q1899" i="3" s="1"/>
  <c r="O1898" i="3"/>
  <c r="P1898" i="3" s="1"/>
  <c r="Q1898" i="3" s="1"/>
  <c r="O1897" i="3"/>
  <c r="P1897" i="3" s="1"/>
  <c r="Q1897" i="3" s="1"/>
  <c r="O1896" i="3"/>
  <c r="P1896" i="3" s="1"/>
  <c r="Q1896" i="3" s="1"/>
  <c r="P1895" i="3"/>
  <c r="Q1895" i="3" s="1"/>
  <c r="O1895" i="3"/>
  <c r="P1894" i="3"/>
  <c r="Q1894" i="3" s="1"/>
  <c r="O1894" i="3"/>
  <c r="O1893" i="3"/>
  <c r="P1893" i="3" s="1"/>
  <c r="Q1893" i="3" s="1"/>
  <c r="O1892" i="3"/>
  <c r="P1892" i="3" s="1"/>
  <c r="Q1892" i="3" s="1"/>
  <c r="P1891" i="3"/>
  <c r="Q1891" i="3" s="1"/>
  <c r="O1891" i="3"/>
  <c r="Q1890" i="3"/>
  <c r="P1890" i="3"/>
  <c r="O1890" i="3"/>
  <c r="Q1889" i="3"/>
  <c r="P1889" i="3"/>
  <c r="O1889" i="3"/>
  <c r="Q1888" i="3"/>
  <c r="P1888" i="3"/>
  <c r="O1888" i="3"/>
  <c r="P1887" i="3"/>
  <c r="Q1887" i="3" s="1"/>
  <c r="O1887" i="3"/>
  <c r="Q1886" i="3"/>
  <c r="O1886" i="3"/>
  <c r="P1886" i="3" s="1"/>
  <c r="Q1885" i="3"/>
  <c r="O1885" i="3"/>
  <c r="P1885" i="3" s="1"/>
  <c r="P1884" i="3"/>
  <c r="Q1884" i="3" s="1"/>
  <c r="O1884" i="3"/>
  <c r="Q1883" i="3"/>
  <c r="O1883" i="3"/>
  <c r="P1883" i="3" s="1"/>
  <c r="O1882" i="3"/>
  <c r="P1882" i="3" s="1"/>
  <c r="Q1882" i="3" s="1"/>
  <c r="Q1881" i="3"/>
  <c r="P1881" i="3"/>
  <c r="O1881" i="3"/>
  <c r="O1880" i="3"/>
  <c r="P1880" i="3" s="1"/>
  <c r="Q1880" i="3" s="1"/>
  <c r="Q1879" i="3"/>
  <c r="P1879" i="3"/>
  <c r="O1879" i="3"/>
  <c r="O1878" i="3"/>
  <c r="P1878" i="3" s="1"/>
  <c r="Q1878" i="3" s="1"/>
  <c r="Q1877" i="3"/>
  <c r="P1877" i="3"/>
  <c r="O1877" i="3"/>
  <c r="P1876" i="3"/>
  <c r="Q1876" i="3" s="1"/>
  <c r="O1876" i="3"/>
  <c r="O1875" i="3"/>
  <c r="P1875" i="3" s="1"/>
  <c r="Q1875" i="3" s="1"/>
  <c r="Q1874" i="3"/>
  <c r="P1874" i="3"/>
  <c r="O1874" i="3"/>
  <c r="O1873" i="3"/>
  <c r="P1873" i="3" s="1"/>
  <c r="Q1873" i="3" s="1"/>
  <c r="O1872" i="3"/>
  <c r="P1872" i="3" s="1"/>
  <c r="Q1872" i="3" s="1"/>
  <c r="O1871" i="3"/>
  <c r="P1871" i="3" s="1"/>
  <c r="Q1871" i="3" s="1"/>
  <c r="O1870" i="3"/>
  <c r="P1870" i="3" s="1"/>
  <c r="Q1870" i="3" s="1"/>
  <c r="O1869" i="3"/>
  <c r="P1869" i="3" s="1"/>
  <c r="Q1869" i="3" s="1"/>
  <c r="O1868" i="3"/>
  <c r="P1868" i="3" s="1"/>
  <c r="Q1868" i="3" s="1"/>
  <c r="P1867" i="3"/>
  <c r="Q1867" i="3" s="1"/>
  <c r="O1867" i="3"/>
  <c r="O1866" i="3"/>
  <c r="P1866" i="3" s="1"/>
  <c r="Q1866" i="3" s="1"/>
  <c r="Q1865" i="3"/>
  <c r="O1865" i="3"/>
  <c r="P1865" i="3" s="1"/>
  <c r="O1864" i="3"/>
  <c r="P1864" i="3" s="1"/>
  <c r="Q1864" i="3" s="1"/>
  <c r="Q1863" i="3"/>
  <c r="P1863" i="3"/>
  <c r="O1863" i="3"/>
  <c r="Q1862" i="3"/>
  <c r="P1862" i="3"/>
  <c r="O1862" i="3"/>
  <c r="P1861" i="3"/>
  <c r="Q1861" i="3" s="1"/>
  <c r="O1861" i="3"/>
  <c r="Q1860" i="3"/>
  <c r="P1860" i="3"/>
  <c r="O1860" i="3"/>
  <c r="O1859" i="3"/>
  <c r="P1859" i="3" s="1"/>
  <c r="Q1859" i="3" s="1"/>
  <c r="Q1858" i="3"/>
  <c r="O1858" i="3"/>
  <c r="P1858" i="3" s="1"/>
  <c r="O1857" i="3"/>
  <c r="P1857" i="3" s="1"/>
  <c r="Q1857" i="3" s="1"/>
  <c r="P1856" i="3"/>
  <c r="Q1856" i="3" s="1"/>
  <c r="O1856" i="3"/>
  <c r="Q1855" i="3"/>
  <c r="O1855" i="3"/>
  <c r="P1855" i="3" s="1"/>
  <c r="O1854" i="3"/>
  <c r="P1854" i="3" s="1"/>
  <c r="Q1854" i="3" s="1"/>
  <c r="Q1853" i="3"/>
  <c r="P1853" i="3"/>
  <c r="O1853" i="3"/>
  <c r="P1852" i="3"/>
  <c r="Q1852" i="3" s="1"/>
  <c r="O1852" i="3"/>
  <c r="Q1851" i="3"/>
  <c r="P1851" i="3"/>
  <c r="O1851" i="3"/>
  <c r="P1850" i="3"/>
  <c r="Q1850" i="3" s="1"/>
  <c r="O1850" i="3"/>
  <c r="O1849" i="3"/>
  <c r="P1849" i="3" s="1"/>
  <c r="Q1849" i="3" s="1"/>
  <c r="P1848" i="3"/>
  <c r="Q1848" i="3" s="1"/>
  <c r="O1848" i="3"/>
  <c r="P1847" i="3"/>
  <c r="Q1847" i="3" s="1"/>
  <c r="O1847" i="3"/>
  <c r="P1846" i="3"/>
  <c r="Q1846" i="3" s="1"/>
  <c r="O1846" i="3"/>
  <c r="P1845" i="3"/>
  <c r="Q1845" i="3" s="1"/>
  <c r="O1845" i="3"/>
  <c r="Q1844" i="3"/>
  <c r="P1844" i="3"/>
  <c r="O1844" i="3"/>
  <c r="O1843" i="3"/>
  <c r="P1843" i="3" s="1"/>
  <c r="Q1843" i="3" s="1"/>
  <c r="O1842" i="3"/>
  <c r="P1842" i="3" s="1"/>
  <c r="Q1842" i="3" s="1"/>
  <c r="Q1841" i="3"/>
  <c r="O1841" i="3"/>
  <c r="P1841" i="3" s="1"/>
  <c r="P1840" i="3"/>
  <c r="Q1840" i="3" s="1"/>
  <c r="O1840" i="3"/>
  <c r="O1839" i="3"/>
  <c r="P1839" i="3" s="1"/>
  <c r="Q1839" i="3" s="1"/>
  <c r="O1838" i="3"/>
  <c r="P1838" i="3" s="1"/>
  <c r="Q1838" i="3" s="1"/>
  <c r="Q1837" i="3"/>
  <c r="O1837" i="3"/>
  <c r="P1837" i="3" s="1"/>
  <c r="O1836" i="3"/>
  <c r="P1836" i="3" s="1"/>
  <c r="Q1836" i="3" s="1"/>
  <c r="P1835" i="3"/>
  <c r="Q1835" i="3" s="1"/>
  <c r="O1835" i="3"/>
  <c r="Q1834" i="3"/>
  <c r="P1834" i="3"/>
  <c r="O1834" i="3"/>
  <c r="P1833" i="3"/>
  <c r="Q1833" i="3" s="1"/>
  <c r="O1833" i="3"/>
  <c r="Q1832" i="3"/>
  <c r="P1832" i="3"/>
  <c r="O1832" i="3"/>
  <c r="O1831" i="3"/>
  <c r="P1831" i="3" s="1"/>
  <c r="Q1831" i="3" s="1"/>
  <c r="Q1830" i="3"/>
  <c r="P1830" i="3"/>
  <c r="O1830" i="3"/>
  <c r="O1829" i="3"/>
  <c r="P1829" i="3" s="1"/>
  <c r="Q1829" i="3" s="1"/>
  <c r="P1828" i="3"/>
  <c r="Q1828" i="3" s="1"/>
  <c r="O1828" i="3"/>
  <c r="Q1827" i="3"/>
  <c r="O1827" i="3"/>
  <c r="P1827" i="3" s="1"/>
  <c r="O1826" i="3"/>
  <c r="P1826" i="3" s="1"/>
  <c r="Q1826" i="3" s="1"/>
  <c r="O1825" i="3"/>
  <c r="P1825" i="3" s="1"/>
  <c r="Q1825" i="3" s="1"/>
  <c r="P1824" i="3"/>
  <c r="Q1824" i="3" s="1"/>
  <c r="O1824" i="3"/>
  <c r="Q1823" i="3"/>
  <c r="P1823" i="3"/>
  <c r="O1823" i="3"/>
  <c r="P1822" i="3"/>
  <c r="Q1822" i="3" s="1"/>
  <c r="O1822" i="3"/>
  <c r="P1821" i="3"/>
  <c r="Q1821" i="3" s="1"/>
  <c r="O1821" i="3"/>
  <c r="P1820" i="3"/>
  <c r="Q1820" i="3" s="1"/>
  <c r="O1820" i="3"/>
  <c r="P1819" i="3"/>
  <c r="Q1819" i="3" s="1"/>
  <c r="O1819" i="3"/>
  <c r="P1818" i="3"/>
  <c r="Q1818" i="3" s="1"/>
  <c r="O1818" i="3"/>
  <c r="Q1817" i="3"/>
  <c r="P1817" i="3"/>
  <c r="O1817" i="3"/>
  <c r="P1816" i="3"/>
  <c r="Q1816" i="3" s="1"/>
  <c r="O1816" i="3"/>
  <c r="O1815" i="3"/>
  <c r="P1815" i="3" s="1"/>
  <c r="Q1815" i="3" s="1"/>
  <c r="Q1814" i="3"/>
  <c r="P1814" i="3"/>
  <c r="O1814" i="3"/>
  <c r="O1813" i="3"/>
  <c r="P1813" i="3" s="1"/>
  <c r="Q1813" i="3" s="1"/>
  <c r="Q1812" i="3"/>
  <c r="P1812" i="3"/>
  <c r="O1812" i="3"/>
  <c r="O1811" i="3"/>
  <c r="P1811" i="3" s="1"/>
  <c r="Q1811" i="3" s="1"/>
  <c r="P1810" i="3"/>
  <c r="Q1810" i="3" s="1"/>
  <c r="O1810" i="3"/>
  <c r="P1809" i="3"/>
  <c r="Q1809" i="3" s="1"/>
  <c r="O1809" i="3"/>
  <c r="O1808" i="3"/>
  <c r="P1808" i="3" s="1"/>
  <c r="Q1808" i="3" s="1"/>
  <c r="O1807" i="3"/>
  <c r="P1807" i="3" s="1"/>
  <c r="Q1807" i="3" s="1"/>
  <c r="Q1806" i="3"/>
  <c r="P1806" i="3"/>
  <c r="O1806" i="3"/>
  <c r="O1805" i="3"/>
  <c r="P1805" i="3" s="1"/>
  <c r="Q1805" i="3" s="1"/>
  <c r="P1804" i="3"/>
  <c r="Q1804" i="3" s="1"/>
  <c r="O1804" i="3"/>
  <c r="P1803" i="3"/>
  <c r="Q1803" i="3" s="1"/>
  <c r="O1803" i="3"/>
  <c r="P1802" i="3"/>
  <c r="Q1802" i="3" s="1"/>
  <c r="O1802" i="3"/>
  <c r="O1801" i="3"/>
  <c r="P1801" i="3" s="1"/>
  <c r="Q1801" i="3" s="1"/>
  <c r="P1800" i="3"/>
  <c r="Q1800" i="3" s="1"/>
  <c r="O1800" i="3"/>
  <c r="O1799" i="3"/>
  <c r="P1799" i="3" s="1"/>
  <c r="Q1799" i="3" s="1"/>
  <c r="O1798" i="3"/>
  <c r="P1798" i="3" s="1"/>
  <c r="Q1798" i="3" s="1"/>
  <c r="O1797" i="3"/>
  <c r="P1797" i="3" s="1"/>
  <c r="Q1797" i="3" s="1"/>
  <c r="P1796" i="3"/>
  <c r="Q1796" i="3" s="1"/>
  <c r="O1796" i="3"/>
  <c r="O1795" i="3"/>
  <c r="P1795" i="3" s="1"/>
  <c r="Q1795" i="3" s="1"/>
  <c r="O1794" i="3"/>
  <c r="P1794" i="3" s="1"/>
  <c r="Q1794" i="3" s="1"/>
  <c r="Q1793" i="3"/>
  <c r="P1793" i="3"/>
  <c r="O1793" i="3"/>
  <c r="Q1792" i="3"/>
  <c r="O1792" i="3"/>
  <c r="P1792" i="3" s="1"/>
  <c r="Q1791" i="3"/>
  <c r="P1791" i="3"/>
  <c r="O1791" i="3"/>
  <c r="Q1790" i="3"/>
  <c r="P1790" i="3"/>
  <c r="O1790" i="3"/>
  <c r="P1789" i="3"/>
  <c r="Q1789" i="3" s="1"/>
  <c r="O1789" i="3"/>
  <c r="Q1788" i="3"/>
  <c r="O1788" i="3"/>
  <c r="P1788" i="3" s="1"/>
  <c r="O1787" i="3"/>
  <c r="P1787" i="3" s="1"/>
  <c r="Q1787" i="3" s="1"/>
  <c r="Q1786" i="3"/>
  <c r="O1786" i="3"/>
  <c r="P1786" i="3" s="1"/>
  <c r="Q1785" i="3"/>
  <c r="O1785" i="3"/>
  <c r="P1785" i="3" s="1"/>
  <c r="P1784" i="3"/>
  <c r="Q1784" i="3" s="1"/>
  <c r="O1784" i="3"/>
  <c r="Q1783" i="3"/>
  <c r="O1783" i="3"/>
  <c r="P1783" i="3" s="1"/>
  <c r="O1782" i="3"/>
  <c r="P1782" i="3" s="1"/>
  <c r="Q1782" i="3" s="1"/>
  <c r="Q1781" i="3"/>
  <c r="O1781" i="3"/>
  <c r="P1781" i="3" s="1"/>
  <c r="O1780" i="3"/>
  <c r="P1780" i="3" s="1"/>
  <c r="Q1780" i="3" s="1"/>
  <c r="O1779" i="3"/>
  <c r="P1779" i="3" s="1"/>
  <c r="Q1779" i="3" s="1"/>
  <c r="Q1778" i="3"/>
  <c r="O1778" i="3"/>
  <c r="P1778" i="3" s="1"/>
  <c r="P1777" i="3"/>
  <c r="Q1777" i="3" s="1"/>
  <c r="O1777" i="3"/>
  <c r="Q1776" i="3"/>
  <c r="P1776" i="3"/>
  <c r="O1776" i="3"/>
  <c r="O1775" i="3"/>
  <c r="P1775" i="3" s="1"/>
  <c r="Q1775" i="3" s="1"/>
  <c r="O1774" i="3"/>
  <c r="P1774" i="3" s="1"/>
  <c r="Q1774" i="3" s="1"/>
  <c r="O1773" i="3"/>
  <c r="P1773" i="3" s="1"/>
  <c r="Q1773" i="3" s="1"/>
  <c r="Q1772" i="3"/>
  <c r="P1772" i="3"/>
  <c r="O1772" i="3"/>
  <c r="O1771" i="3"/>
  <c r="P1771" i="3" s="1"/>
  <c r="Q1771" i="3" s="1"/>
  <c r="P1770" i="3"/>
  <c r="Q1770" i="3" s="1"/>
  <c r="O1770" i="3"/>
  <c r="P1769" i="3"/>
  <c r="Q1769" i="3" s="1"/>
  <c r="O1769" i="3"/>
  <c r="O1768" i="3"/>
  <c r="P1768" i="3" s="1"/>
  <c r="Q1768" i="3" s="1"/>
  <c r="O1767" i="3"/>
  <c r="P1767" i="3" s="1"/>
  <c r="Q1767" i="3" s="1"/>
  <c r="O1766" i="3"/>
  <c r="P1766" i="3" s="1"/>
  <c r="Q1766" i="3" s="1"/>
  <c r="Q1765" i="3"/>
  <c r="O1765" i="3"/>
  <c r="P1765" i="3" s="1"/>
  <c r="P1764" i="3"/>
  <c r="Q1764" i="3" s="1"/>
  <c r="O1764" i="3"/>
  <c r="P1763" i="3"/>
  <c r="Q1763" i="3" s="1"/>
  <c r="O1763" i="3"/>
  <c r="P1762" i="3"/>
  <c r="Q1762" i="3" s="1"/>
  <c r="O1762" i="3"/>
  <c r="O1761" i="3"/>
  <c r="P1761" i="3" s="1"/>
  <c r="Q1761" i="3" s="1"/>
  <c r="Q1760" i="3"/>
  <c r="P1760" i="3"/>
  <c r="O1760" i="3"/>
  <c r="P1759" i="3"/>
  <c r="Q1759" i="3" s="1"/>
  <c r="O1759" i="3"/>
  <c r="O1758" i="3"/>
  <c r="P1758" i="3" s="1"/>
  <c r="Q1758" i="3" s="1"/>
  <c r="O1757" i="3"/>
  <c r="P1757" i="3" s="1"/>
  <c r="Q1757" i="3" s="1"/>
  <c r="O1756" i="3"/>
  <c r="P1756" i="3" s="1"/>
  <c r="Q1756" i="3" s="1"/>
  <c r="O1755" i="3"/>
  <c r="P1755" i="3" s="1"/>
  <c r="Q1755" i="3" s="1"/>
  <c r="P1754" i="3"/>
  <c r="Q1754" i="3" s="1"/>
  <c r="O1754" i="3"/>
  <c r="P1753" i="3"/>
  <c r="Q1753" i="3" s="1"/>
  <c r="O1753" i="3"/>
  <c r="P1752" i="3"/>
  <c r="Q1752" i="3" s="1"/>
  <c r="O1752" i="3"/>
  <c r="O1751" i="3"/>
  <c r="P1751" i="3" s="1"/>
  <c r="Q1751" i="3" s="1"/>
  <c r="O1750" i="3"/>
  <c r="P1750" i="3" s="1"/>
  <c r="Q1750" i="3" s="1"/>
  <c r="Q1749" i="3"/>
  <c r="P1749" i="3"/>
  <c r="O1749" i="3"/>
  <c r="P1748" i="3"/>
  <c r="Q1748" i="3" s="1"/>
  <c r="O1748" i="3"/>
  <c r="P1747" i="3"/>
  <c r="Q1747" i="3" s="1"/>
  <c r="O1747" i="3"/>
  <c r="P1746" i="3"/>
  <c r="Q1746" i="3" s="1"/>
  <c r="O1746" i="3"/>
  <c r="O1745" i="3"/>
  <c r="P1745" i="3" s="1"/>
  <c r="Q1745" i="3" s="1"/>
  <c r="O1744" i="3"/>
  <c r="P1744" i="3" s="1"/>
  <c r="Q1744" i="3" s="1"/>
  <c r="Q1743" i="3"/>
  <c r="O1743" i="3"/>
  <c r="P1743" i="3" s="1"/>
  <c r="P1742" i="3"/>
  <c r="Q1742" i="3" s="1"/>
  <c r="O1742" i="3"/>
  <c r="P1741" i="3"/>
  <c r="Q1741" i="3" s="1"/>
  <c r="O1741" i="3"/>
  <c r="O1740" i="3"/>
  <c r="P1740" i="3" s="1"/>
  <c r="Q1740" i="3" s="1"/>
  <c r="O1739" i="3"/>
  <c r="P1739" i="3" s="1"/>
  <c r="Q1739" i="3" s="1"/>
  <c r="P1738" i="3"/>
  <c r="Q1738" i="3" s="1"/>
  <c r="O1738" i="3"/>
  <c r="P1737" i="3"/>
  <c r="Q1737" i="3" s="1"/>
  <c r="O1737" i="3"/>
  <c r="P1736" i="3"/>
  <c r="Q1736" i="3" s="1"/>
  <c r="O1736" i="3"/>
  <c r="O1735" i="3"/>
  <c r="P1735" i="3" s="1"/>
  <c r="Q1735" i="3" s="1"/>
  <c r="Q1734" i="3"/>
  <c r="P1734" i="3"/>
  <c r="O1734" i="3"/>
  <c r="Q1733" i="3"/>
  <c r="P1733" i="3"/>
  <c r="O1733" i="3"/>
  <c r="O1732" i="3"/>
  <c r="P1732" i="3" s="1"/>
  <c r="Q1732" i="3" s="1"/>
  <c r="P1731" i="3"/>
  <c r="Q1731" i="3" s="1"/>
  <c r="O1731" i="3"/>
  <c r="O1730" i="3"/>
  <c r="P1730" i="3" s="1"/>
  <c r="Q1730" i="3" s="1"/>
  <c r="Q1729" i="3"/>
  <c r="O1729" i="3"/>
  <c r="P1729" i="3" s="1"/>
  <c r="P1728" i="3"/>
  <c r="Q1728" i="3" s="1"/>
  <c r="O1728" i="3"/>
  <c r="O1727" i="3"/>
  <c r="P1727" i="3" s="1"/>
  <c r="Q1727" i="3" s="1"/>
  <c r="Q1726" i="3"/>
  <c r="O1726" i="3"/>
  <c r="P1726" i="3" s="1"/>
  <c r="O1725" i="3"/>
  <c r="P1725" i="3" s="1"/>
  <c r="Q1725" i="3" s="1"/>
  <c r="P1724" i="3"/>
  <c r="Q1724" i="3" s="1"/>
  <c r="O1724" i="3"/>
  <c r="O1723" i="3"/>
  <c r="P1723" i="3" s="1"/>
  <c r="Q1723" i="3" s="1"/>
  <c r="Q1722" i="3"/>
  <c r="O1722" i="3"/>
  <c r="P1722" i="3" s="1"/>
  <c r="O1721" i="3"/>
  <c r="P1721" i="3" s="1"/>
  <c r="Q1721" i="3" s="1"/>
  <c r="P1720" i="3"/>
  <c r="Q1720" i="3" s="1"/>
  <c r="O1720" i="3"/>
  <c r="P1719" i="3"/>
  <c r="Q1719" i="3" s="1"/>
  <c r="O1719" i="3"/>
  <c r="O1718" i="3"/>
  <c r="P1718" i="3" s="1"/>
  <c r="Q1718" i="3" s="1"/>
  <c r="O1717" i="3"/>
  <c r="P1717" i="3" s="1"/>
  <c r="Q1717" i="3" s="1"/>
  <c r="O1716" i="3"/>
  <c r="P1716" i="3" s="1"/>
  <c r="Q1716" i="3" s="1"/>
  <c r="Q1715" i="3"/>
  <c r="O1715" i="3"/>
  <c r="P1715" i="3" s="1"/>
  <c r="P1714" i="3"/>
  <c r="Q1714" i="3" s="1"/>
  <c r="O1714" i="3"/>
  <c r="Q1713" i="3"/>
  <c r="O1713" i="3"/>
  <c r="P1713" i="3" s="1"/>
  <c r="P1712" i="3"/>
  <c r="Q1712" i="3" s="1"/>
  <c r="O1712" i="3"/>
  <c r="P1711" i="3"/>
  <c r="Q1711" i="3" s="1"/>
  <c r="O1711" i="3"/>
  <c r="O1710" i="3"/>
  <c r="P1710" i="3" s="1"/>
  <c r="Q1710" i="3" s="1"/>
  <c r="O1709" i="3"/>
  <c r="P1709" i="3" s="1"/>
  <c r="Q1709" i="3" s="1"/>
  <c r="Q1708" i="3"/>
  <c r="P1708" i="3"/>
  <c r="O1708" i="3"/>
  <c r="O1707" i="3"/>
  <c r="P1707" i="3" s="1"/>
  <c r="Q1707" i="3" s="1"/>
  <c r="P1706" i="3"/>
  <c r="Q1706" i="3" s="1"/>
  <c r="O1706" i="3"/>
  <c r="O1705" i="3"/>
  <c r="P1705" i="3" s="1"/>
  <c r="Q1705" i="3" s="1"/>
  <c r="O1704" i="3"/>
  <c r="P1704" i="3" s="1"/>
  <c r="Q1704" i="3" s="1"/>
  <c r="Q1703" i="3"/>
  <c r="P1703" i="3"/>
  <c r="O1703" i="3"/>
  <c r="O1702" i="3"/>
  <c r="P1702" i="3" s="1"/>
  <c r="Q1702" i="3" s="1"/>
  <c r="O1701" i="3"/>
  <c r="P1701" i="3" s="1"/>
  <c r="Q1701" i="3" s="1"/>
  <c r="O1700" i="3"/>
  <c r="P1700" i="3" s="1"/>
  <c r="Q1700" i="3" s="1"/>
  <c r="O1699" i="3"/>
  <c r="P1699" i="3" s="1"/>
  <c r="Q1699" i="3" s="1"/>
  <c r="Q1698" i="3"/>
  <c r="P1698" i="3"/>
  <c r="O1698" i="3"/>
  <c r="P1697" i="3"/>
  <c r="Q1697" i="3" s="1"/>
  <c r="O1697" i="3"/>
  <c r="P1696" i="3"/>
  <c r="Q1696" i="3" s="1"/>
  <c r="O1696" i="3"/>
  <c r="O1695" i="3"/>
  <c r="P1695" i="3" s="1"/>
  <c r="Q1695" i="3" s="1"/>
  <c r="O1694" i="3"/>
  <c r="P1694" i="3" s="1"/>
  <c r="Q1694" i="3" s="1"/>
  <c r="Q1693" i="3"/>
  <c r="P1693" i="3"/>
  <c r="O1693" i="3"/>
  <c r="P1692" i="3"/>
  <c r="Q1692" i="3" s="1"/>
  <c r="O1692" i="3"/>
  <c r="Q1691" i="3"/>
  <c r="P1691" i="3"/>
  <c r="O1691" i="3"/>
  <c r="O1690" i="3"/>
  <c r="P1690" i="3" s="1"/>
  <c r="Q1690" i="3" s="1"/>
  <c r="O1689" i="3"/>
  <c r="P1689" i="3" s="1"/>
  <c r="Q1689" i="3" s="1"/>
  <c r="Q1688" i="3"/>
  <c r="O1688" i="3"/>
  <c r="P1688" i="3" s="1"/>
  <c r="O1687" i="3"/>
  <c r="P1687" i="3" s="1"/>
  <c r="Q1687" i="3" s="1"/>
  <c r="O1686" i="3"/>
  <c r="P1686" i="3" s="1"/>
  <c r="Q1686" i="3" s="1"/>
  <c r="O1685" i="3"/>
  <c r="P1685" i="3" s="1"/>
  <c r="Q1685" i="3" s="1"/>
  <c r="O1684" i="3"/>
  <c r="P1684" i="3" s="1"/>
  <c r="Q1684" i="3" s="1"/>
  <c r="Q1683" i="3"/>
  <c r="O1683" i="3"/>
  <c r="P1683" i="3" s="1"/>
  <c r="O1682" i="3"/>
  <c r="P1682" i="3" s="1"/>
  <c r="Q1682" i="3" s="1"/>
  <c r="O1681" i="3"/>
  <c r="P1681" i="3" s="1"/>
  <c r="Q1681" i="3" s="1"/>
  <c r="P1680" i="3"/>
  <c r="Q1680" i="3" s="1"/>
  <c r="O1680" i="3"/>
  <c r="O1679" i="3"/>
  <c r="P1679" i="3" s="1"/>
  <c r="Q1679" i="3" s="1"/>
  <c r="Q1678" i="3"/>
  <c r="P1678" i="3"/>
  <c r="O1678" i="3"/>
  <c r="O1677" i="3"/>
  <c r="P1677" i="3" s="1"/>
  <c r="Q1677" i="3" s="1"/>
  <c r="Q1676" i="3"/>
  <c r="P1676" i="3"/>
  <c r="O1676" i="3"/>
  <c r="P1675" i="3"/>
  <c r="Q1675" i="3" s="1"/>
  <c r="O1675" i="3"/>
  <c r="O1674" i="3"/>
  <c r="P1674" i="3" s="1"/>
  <c r="Q1674" i="3" s="1"/>
  <c r="O1673" i="3"/>
  <c r="P1673" i="3" s="1"/>
  <c r="Q1673" i="3" s="1"/>
  <c r="P1672" i="3"/>
  <c r="Q1672" i="3" s="1"/>
  <c r="O1672" i="3"/>
  <c r="O1671" i="3"/>
  <c r="P1671" i="3" s="1"/>
  <c r="Q1671" i="3" s="1"/>
  <c r="P1670" i="3"/>
  <c r="Q1670" i="3" s="1"/>
  <c r="O1670" i="3"/>
  <c r="Q1669" i="3"/>
  <c r="P1669" i="3"/>
  <c r="O1669" i="3"/>
  <c r="Q1668" i="3"/>
  <c r="P1668" i="3"/>
  <c r="O1668" i="3"/>
  <c r="Q1667" i="3"/>
  <c r="O1667" i="3"/>
  <c r="P1667" i="3" s="1"/>
  <c r="O1666" i="3"/>
  <c r="P1666" i="3" s="1"/>
  <c r="Q1666" i="3" s="1"/>
  <c r="P1665" i="3"/>
  <c r="Q1665" i="3" s="1"/>
  <c r="O1665" i="3"/>
  <c r="O1664" i="3"/>
  <c r="P1664" i="3" s="1"/>
  <c r="Q1664" i="3" s="1"/>
  <c r="Q1663" i="3"/>
  <c r="P1663" i="3"/>
  <c r="O1663" i="3"/>
  <c r="O1662" i="3"/>
  <c r="P1662" i="3" s="1"/>
  <c r="Q1662" i="3" s="1"/>
  <c r="Q1661" i="3"/>
  <c r="O1661" i="3"/>
  <c r="P1661" i="3" s="1"/>
  <c r="Q1660" i="3"/>
  <c r="P1660" i="3"/>
  <c r="O1660" i="3"/>
  <c r="O1659" i="3"/>
  <c r="P1659" i="3" s="1"/>
  <c r="Q1659" i="3" s="1"/>
  <c r="Q1658" i="3"/>
  <c r="P1658" i="3"/>
  <c r="O1658" i="3"/>
  <c r="O1657" i="3"/>
  <c r="P1657" i="3" s="1"/>
  <c r="Q1657" i="3" s="1"/>
  <c r="O1656" i="3"/>
  <c r="P1656" i="3" s="1"/>
  <c r="Q1656" i="3" s="1"/>
  <c r="P1655" i="3"/>
  <c r="Q1655" i="3" s="1"/>
  <c r="O1655" i="3"/>
  <c r="O1654" i="3"/>
  <c r="P1654" i="3" s="1"/>
  <c r="Q1654" i="3" s="1"/>
  <c r="O1653" i="3"/>
  <c r="P1653" i="3" s="1"/>
  <c r="Q1653" i="3" s="1"/>
  <c r="Q1652" i="3"/>
  <c r="O1652" i="3"/>
  <c r="P1652" i="3" s="1"/>
  <c r="O1651" i="3"/>
  <c r="P1651" i="3" s="1"/>
  <c r="Q1651" i="3" s="1"/>
  <c r="Q1650" i="3"/>
  <c r="O1650" i="3"/>
  <c r="P1650" i="3" s="1"/>
  <c r="O1649" i="3"/>
  <c r="P1649" i="3" s="1"/>
  <c r="Q1649" i="3" s="1"/>
  <c r="Q1648" i="3"/>
  <c r="O1648" i="3"/>
  <c r="P1648" i="3" s="1"/>
  <c r="P1647" i="3"/>
  <c r="Q1647" i="3" s="1"/>
  <c r="O1647" i="3"/>
  <c r="O1646" i="3"/>
  <c r="P1646" i="3" s="1"/>
  <c r="Q1646" i="3" s="1"/>
  <c r="O1645" i="3"/>
  <c r="P1645" i="3" s="1"/>
  <c r="Q1645" i="3" s="1"/>
  <c r="Q1644" i="3"/>
  <c r="P1644" i="3"/>
  <c r="O1644" i="3"/>
  <c r="O1643" i="3"/>
  <c r="P1643" i="3" s="1"/>
  <c r="Q1643" i="3" s="1"/>
  <c r="P1642" i="3"/>
  <c r="Q1642" i="3" s="1"/>
  <c r="O1642" i="3"/>
  <c r="P1641" i="3"/>
  <c r="Q1641" i="3" s="1"/>
  <c r="O1641" i="3"/>
  <c r="O1640" i="3"/>
  <c r="P1640" i="3" s="1"/>
  <c r="Q1640" i="3" s="1"/>
  <c r="Q1639" i="3"/>
  <c r="P1639" i="3"/>
  <c r="O1639" i="3"/>
  <c r="O1638" i="3"/>
  <c r="P1638" i="3" s="1"/>
  <c r="Q1638" i="3" s="1"/>
  <c r="P1637" i="3"/>
  <c r="Q1637" i="3" s="1"/>
  <c r="O1637" i="3"/>
  <c r="O1636" i="3"/>
  <c r="P1636" i="3" s="1"/>
  <c r="Q1636" i="3" s="1"/>
  <c r="Q1635" i="3"/>
  <c r="O1635" i="3"/>
  <c r="P1635" i="3" s="1"/>
  <c r="P1634" i="3"/>
  <c r="Q1634" i="3" s="1"/>
  <c r="O1634" i="3"/>
  <c r="O1633" i="3"/>
  <c r="P1633" i="3" s="1"/>
  <c r="Q1633" i="3" s="1"/>
  <c r="Q1632" i="3"/>
  <c r="O1632" i="3"/>
  <c r="P1632" i="3" s="1"/>
  <c r="P1631" i="3"/>
  <c r="Q1631" i="3" s="1"/>
  <c r="O1631" i="3"/>
  <c r="O1630" i="3"/>
  <c r="P1630" i="3" s="1"/>
  <c r="Q1630" i="3" s="1"/>
  <c r="O1629" i="3"/>
  <c r="P1629" i="3" s="1"/>
  <c r="Q1629" i="3" s="1"/>
  <c r="P1628" i="3"/>
  <c r="Q1628" i="3" s="1"/>
  <c r="O1628" i="3"/>
  <c r="P1627" i="3"/>
  <c r="Q1627" i="3" s="1"/>
  <c r="O1627" i="3"/>
  <c r="Q1626" i="3"/>
  <c r="P1626" i="3"/>
  <c r="O1626" i="3"/>
  <c r="P1625" i="3"/>
  <c r="Q1625" i="3" s="1"/>
  <c r="O1625" i="3"/>
  <c r="Q1624" i="3"/>
  <c r="P1624" i="3"/>
  <c r="O1624" i="3"/>
  <c r="O1623" i="3"/>
  <c r="P1623" i="3" s="1"/>
  <c r="Q1623" i="3" s="1"/>
  <c r="Q1622" i="3"/>
  <c r="O1622" i="3"/>
  <c r="P1622" i="3" s="1"/>
  <c r="Q1621" i="3"/>
  <c r="P1621" i="3"/>
  <c r="O1621" i="3"/>
  <c r="O1620" i="3"/>
  <c r="P1620" i="3" s="1"/>
  <c r="Q1620" i="3" s="1"/>
  <c r="Q1619" i="3"/>
  <c r="P1619" i="3"/>
  <c r="O1619" i="3"/>
  <c r="O1618" i="3"/>
  <c r="P1618" i="3" s="1"/>
  <c r="Q1618" i="3" s="1"/>
  <c r="P1617" i="3"/>
  <c r="Q1617" i="3" s="1"/>
  <c r="O1617" i="3"/>
  <c r="P1616" i="3"/>
  <c r="Q1616" i="3" s="1"/>
  <c r="O1616" i="3"/>
  <c r="Q1615" i="3"/>
  <c r="P1615" i="3"/>
  <c r="O1615" i="3"/>
  <c r="P1614" i="3"/>
  <c r="Q1614" i="3" s="1"/>
  <c r="O1614" i="3"/>
  <c r="Q1613" i="3"/>
  <c r="P1613" i="3"/>
  <c r="O1613" i="3"/>
  <c r="O1612" i="3"/>
  <c r="P1612" i="3" s="1"/>
  <c r="Q1612" i="3" s="1"/>
  <c r="Q1611" i="3"/>
  <c r="O1611" i="3"/>
  <c r="P1611" i="3" s="1"/>
  <c r="O1610" i="3"/>
  <c r="P1610" i="3" s="1"/>
  <c r="Q1610" i="3" s="1"/>
  <c r="O1609" i="3"/>
  <c r="P1609" i="3" s="1"/>
  <c r="Q1609" i="3" s="1"/>
  <c r="Q1608" i="3"/>
  <c r="O1608" i="3"/>
  <c r="P1608" i="3" s="1"/>
  <c r="P1607" i="3"/>
  <c r="Q1607" i="3" s="1"/>
  <c r="O1607" i="3"/>
  <c r="Q1606" i="3"/>
  <c r="P1606" i="3"/>
  <c r="O1606" i="3"/>
  <c r="Q1605" i="3"/>
  <c r="P1605" i="3"/>
  <c r="O1605" i="3"/>
  <c r="O1604" i="3"/>
  <c r="P1604" i="3" s="1"/>
  <c r="Q1604" i="3" s="1"/>
  <c r="P1603" i="3"/>
  <c r="Q1603" i="3" s="1"/>
  <c r="O1603" i="3"/>
  <c r="O1602" i="3"/>
  <c r="P1602" i="3" s="1"/>
  <c r="Q1602" i="3" s="1"/>
  <c r="P1601" i="3"/>
  <c r="Q1601" i="3" s="1"/>
  <c r="O1601" i="3"/>
  <c r="O1600" i="3"/>
  <c r="P1600" i="3" s="1"/>
  <c r="Q1600" i="3" s="1"/>
  <c r="Q1599" i="3"/>
  <c r="P1599" i="3"/>
  <c r="O1599" i="3"/>
  <c r="Q1598" i="3"/>
  <c r="P1598" i="3"/>
  <c r="O1598" i="3"/>
  <c r="P1597" i="3"/>
  <c r="Q1597" i="3" s="1"/>
  <c r="O1597" i="3"/>
  <c r="P1596" i="3"/>
  <c r="Q1596" i="3" s="1"/>
  <c r="O1596" i="3"/>
  <c r="O1595" i="3"/>
  <c r="P1595" i="3" s="1"/>
  <c r="Q1595" i="3" s="1"/>
  <c r="O1594" i="3"/>
  <c r="P1594" i="3" s="1"/>
  <c r="Q1594" i="3" s="1"/>
  <c r="P1593" i="3"/>
  <c r="Q1593" i="3" s="1"/>
  <c r="O1593" i="3"/>
  <c r="O1592" i="3"/>
  <c r="P1592" i="3" s="1"/>
  <c r="Q1592" i="3" s="1"/>
  <c r="P1591" i="3"/>
  <c r="Q1591" i="3" s="1"/>
  <c r="O1591" i="3"/>
  <c r="O1590" i="3"/>
  <c r="P1590" i="3" s="1"/>
  <c r="Q1590" i="3" s="1"/>
  <c r="O1589" i="3"/>
  <c r="P1589" i="3" s="1"/>
  <c r="Q1589" i="3" s="1"/>
  <c r="O1588" i="3"/>
  <c r="P1588" i="3" s="1"/>
  <c r="Q1588" i="3" s="1"/>
  <c r="Q1587" i="3"/>
  <c r="P1587" i="3"/>
  <c r="O1587" i="3"/>
  <c r="Q1586" i="3"/>
  <c r="O1586" i="3"/>
  <c r="P1586" i="3" s="1"/>
  <c r="Q1585" i="3"/>
  <c r="P1585" i="3"/>
  <c r="O1585" i="3"/>
  <c r="O1584" i="3"/>
  <c r="P1584" i="3" s="1"/>
  <c r="Q1584" i="3" s="1"/>
  <c r="P1583" i="3"/>
  <c r="Q1583" i="3" s="1"/>
  <c r="O1583" i="3"/>
  <c r="Q1582" i="3"/>
  <c r="P1582" i="3"/>
  <c r="O1582" i="3"/>
  <c r="Q1581" i="3"/>
  <c r="O1581" i="3"/>
  <c r="P1581" i="3" s="1"/>
  <c r="Q1580" i="3"/>
  <c r="O1580" i="3"/>
  <c r="P1580" i="3" s="1"/>
  <c r="O1579" i="3"/>
  <c r="P1579" i="3" s="1"/>
  <c r="Q1579" i="3" s="1"/>
  <c r="O1578" i="3"/>
  <c r="P1578" i="3" s="1"/>
  <c r="Q1578" i="3" s="1"/>
  <c r="Q1577" i="3"/>
  <c r="P1577" i="3"/>
  <c r="O1577" i="3"/>
  <c r="P1576" i="3"/>
  <c r="Q1576" i="3" s="1"/>
  <c r="O1576" i="3"/>
  <c r="O1575" i="3"/>
  <c r="P1575" i="3" s="1"/>
  <c r="Q1575" i="3" s="1"/>
  <c r="O1574" i="3"/>
  <c r="P1574" i="3" s="1"/>
  <c r="Q1574" i="3" s="1"/>
  <c r="P1573" i="3"/>
  <c r="Q1573" i="3" s="1"/>
  <c r="O1573" i="3"/>
  <c r="P1572" i="3"/>
  <c r="Q1572" i="3" s="1"/>
  <c r="O1572" i="3"/>
  <c r="Q1571" i="3"/>
  <c r="P1571" i="3"/>
  <c r="O1571" i="3"/>
  <c r="P1570" i="3"/>
  <c r="Q1570" i="3" s="1"/>
  <c r="O1570" i="3"/>
  <c r="O1569" i="3"/>
  <c r="P1569" i="3" s="1"/>
  <c r="Q1569" i="3" s="1"/>
  <c r="Q1568" i="3"/>
  <c r="P1568" i="3"/>
  <c r="O1568" i="3"/>
  <c r="Q1567" i="3"/>
  <c r="P1567" i="3"/>
  <c r="O1567" i="3"/>
  <c r="O1566" i="3"/>
  <c r="P1566" i="3" s="1"/>
  <c r="Q1566" i="3" s="1"/>
  <c r="P1565" i="3"/>
  <c r="Q1565" i="3" s="1"/>
  <c r="O1565" i="3"/>
  <c r="P1564" i="3"/>
  <c r="Q1564" i="3" s="1"/>
  <c r="O1564" i="3"/>
  <c r="O1563" i="3"/>
  <c r="P1563" i="3" s="1"/>
  <c r="Q1563" i="3" s="1"/>
  <c r="Q1562" i="3"/>
  <c r="P1562" i="3"/>
  <c r="O1562" i="3"/>
  <c r="O1561" i="3"/>
  <c r="P1561" i="3" s="1"/>
  <c r="Q1561" i="3" s="1"/>
  <c r="P1560" i="3"/>
  <c r="Q1560" i="3" s="1"/>
  <c r="O1560" i="3"/>
  <c r="O1559" i="3"/>
  <c r="P1559" i="3" s="1"/>
  <c r="Q1559" i="3" s="1"/>
  <c r="O1558" i="3"/>
  <c r="P1558" i="3" s="1"/>
  <c r="Q1558" i="3" s="1"/>
  <c r="Q1557" i="3"/>
  <c r="P1557" i="3"/>
  <c r="O1557" i="3"/>
  <c r="P1556" i="3"/>
  <c r="Q1556" i="3" s="1"/>
  <c r="O1556" i="3"/>
  <c r="O1555" i="3"/>
  <c r="P1555" i="3" s="1"/>
  <c r="Q1555" i="3" s="1"/>
  <c r="O1554" i="3"/>
  <c r="P1554" i="3" s="1"/>
  <c r="Q1554" i="3" s="1"/>
  <c r="P1553" i="3"/>
  <c r="Q1553" i="3" s="1"/>
  <c r="O1553" i="3"/>
  <c r="Q1552" i="3"/>
  <c r="O1552" i="3"/>
  <c r="P1552" i="3" s="1"/>
  <c r="O1551" i="3"/>
  <c r="P1551" i="3" s="1"/>
  <c r="Q1551" i="3" s="1"/>
  <c r="O1550" i="3"/>
  <c r="P1550" i="3" s="1"/>
  <c r="Q1550" i="3" s="1"/>
  <c r="O1549" i="3"/>
  <c r="P1549" i="3" s="1"/>
  <c r="Q1549" i="3" s="1"/>
  <c r="O1548" i="3"/>
  <c r="P1548" i="3" s="1"/>
  <c r="Q1548" i="3" s="1"/>
  <c r="O1547" i="3"/>
  <c r="P1547" i="3" s="1"/>
  <c r="Q1547" i="3" s="1"/>
  <c r="O1546" i="3"/>
  <c r="P1546" i="3" s="1"/>
  <c r="Q1546" i="3" s="1"/>
  <c r="Q1545" i="3"/>
  <c r="O1545" i="3"/>
  <c r="P1545" i="3" s="1"/>
  <c r="P1544" i="3"/>
  <c r="Q1544" i="3" s="1"/>
  <c r="O1544" i="3"/>
  <c r="Q1543" i="3"/>
  <c r="P1543" i="3"/>
  <c r="O1543" i="3"/>
  <c r="O1542" i="3"/>
  <c r="P1542" i="3" s="1"/>
  <c r="Q1542" i="3" s="1"/>
  <c r="Q1541" i="3"/>
  <c r="P1541" i="3"/>
  <c r="O1541" i="3"/>
  <c r="P1540" i="3"/>
  <c r="Q1540" i="3" s="1"/>
  <c r="O1540" i="3"/>
  <c r="P1539" i="3"/>
  <c r="Q1539" i="3" s="1"/>
  <c r="O1539" i="3"/>
  <c r="O1538" i="3"/>
  <c r="P1538" i="3" s="1"/>
  <c r="Q1538" i="3" s="1"/>
  <c r="P1537" i="3"/>
  <c r="Q1537" i="3" s="1"/>
  <c r="O1537" i="3"/>
  <c r="Q1536" i="3"/>
  <c r="P1536" i="3"/>
  <c r="O1536" i="3"/>
  <c r="O1535" i="3"/>
  <c r="P1535" i="3" s="1"/>
  <c r="Q1535" i="3" s="1"/>
  <c r="P1534" i="3"/>
  <c r="Q1534" i="3" s="1"/>
  <c r="O1534" i="3"/>
  <c r="O1533" i="3"/>
  <c r="P1533" i="3" s="1"/>
  <c r="Q1533" i="3" s="1"/>
  <c r="O1532" i="3"/>
  <c r="P1532" i="3" s="1"/>
  <c r="Q1532" i="3" s="1"/>
  <c r="P1531" i="3"/>
  <c r="Q1531" i="3" s="1"/>
  <c r="O1531" i="3"/>
  <c r="P1530" i="3"/>
  <c r="Q1530" i="3" s="1"/>
  <c r="O1530" i="3"/>
  <c r="Q1529" i="3"/>
  <c r="P1529" i="3"/>
  <c r="O1529" i="3"/>
  <c r="Q1528" i="3"/>
  <c r="O1528" i="3"/>
  <c r="P1528" i="3" s="1"/>
  <c r="P1527" i="3"/>
  <c r="Q1527" i="3" s="1"/>
  <c r="O1527" i="3"/>
  <c r="P1526" i="3"/>
  <c r="Q1526" i="3" s="1"/>
  <c r="O1526" i="3"/>
  <c r="O1525" i="3"/>
  <c r="P1525" i="3" s="1"/>
  <c r="Q1525" i="3" s="1"/>
  <c r="O1524" i="3"/>
  <c r="P1524" i="3" s="1"/>
  <c r="Q1524" i="3" s="1"/>
  <c r="Q1523" i="3"/>
  <c r="O1523" i="3"/>
  <c r="P1523" i="3" s="1"/>
  <c r="O1522" i="3"/>
  <c r="P1522" i="3" s="1"/>
  <c r="Q1522" i="3" s="1"/>
  <c r="P1521" i="3"/>
  <c r="Q1521" i="3" s="1"/>
  <c r="O1521" i="3"/>
  <c r="O1520" i="3"/>
  <c r="P1520" i="3" s="1"/>
  <c r="Q1520" i="3" s="1"/>
  <c r="O1519" i="3"/>
  <c r="P1519" i="3" s="1"/>
  <c r="Q1519" i="3" s="1"/>
  <c r="Q1518" i="3"/>
  <c r="O1518" i="3"/>
  <c r="P1518" i="3" s="1"/>
  <c r="P1517" i="3"/>
  <c r="Q1517" i="3" s="1"/>
  <c r="O1517" i="3"/>
  <c r="P1516" i="3"/>
  <c r="Q1516" i="3" s="1"/>
  <c r="O1516" i="3"/>
  <c r="P1515" i="3"/>
  <c r="Q1515" i="3" s="1"/>
  <c r="O1515" i="3"/>
  <c r="O1514" i="3"/>
  <c r="P1514" i="3" s="1"/>
  <c r="Q1514" i="3" s="1"/>
  <c r="O1513" i="3"/>
  <c r="P1513" i="3" s="1"/>
  <c r="Q1513" i="3" s="1"/>
  <c r="O1512" i="3"/>
  <c r="P1512" i="3" s="1"/>
  <c r="Q1512" i="3" s="1"/>
  <c r="Q1511" i="3"/>
  <c r="O1511" i="3"/>
  <c r="P1511" i="3" s="1"/>
  <c r="O1510" i="3"/>
  <c r="P1510" i="3" s="1"/>
  <c r="Q1510" i="3" s="1"/>
  <c r="O1509" i="3"/>
  <c r="P1509" i="3" s="1"/>
  <c r="Q1509" i="3" s="1"/>
  <c r="Q1508" i="3"/>
  <c r="O1508" i="3"/>
  <c r="P1508" i="3" s="1"/>
  <c r="P1507" i="3"/>
  <c r="Q1507" i="3" s="1"/>
  <c r="O1507" i="3"/>
  <c r="O1506" i="3"/>
  <c r="P1506" i="3" s="1"/>
  <c r="Q1506" i="3" s="1"/>
  <c r="P1505" i="3"/>
  <c r="Q1505" i="3" s="1"/>
  <c r="O1505" i="3"/>
  <c r="P1504" i="3"/>
  <c r="Q1504" i="3" s="1"/>
  <c r="O1504" i="3"/>
  <c r="P1503" i="3"/>
  <c r="Q1503" i="3" s="1"/>
  <c r="O1503" i="3"/>
  <c r="Q1502" i="3"/>
  <c r="O1502" i="3"/>
  <c r="P1502" i="3" s="1"/>
  <c r="Q1501" i="3"/>
  <c r="P1501" i="3"/>
  <c r="O1501" i="3"/>
  <c r="O1500" i="3"/>
  <c r="P1500" i="3" s="1"/>
  <c r="Q1500" i="3" s="1"/>
  <c r="O1499" i="3"/>
  <c r="P1499" i="3" s="1"/>
  <c r="Q1499" i="3" s="1"/>
  <c r="Q1498" i="3"/>
  <c r="O1498" i="3"/>
  <c r="P1498" i="3" s="1"/>
  <c r="O1497" i="3"/>
  <c r="P1497" i="3" s="1"/>
  <c r="Q1497" i="3" s="1"/>
  <c r="O1496" i="3"/>
  <c r="P1496" i="3" s="1"/>
  <c r="Q1496" i="3" s="1"/>
  <c r="Q1495" i="3"/>
  <c r="P1495" i="3"/>
  <c r="O1495" i="3"/>
  <c r="P1494" i="3"/>
  <c r="Q1494" i="3" s="1"/>
  <c r="O1494" i="3"/>
  <c r="P1493" i="3"/>
  <c r="Q1493" i="3" s="1"/>
  <c r="O1493" i="3"/>
  <c r="P1492" i="3"/>
  <c r="Q1492" i="3" s="1"/>
  <c r="O1492" i="3"/>
  <c r="O1491" i="3"/>
  <c r="P1491" i="3" s="1"/>
  <c r="Q1491" i="3" s="1"/>
  <c r="P1490" i="3"/>
  <c r="Q1490" i="3" s="1"/>
  <c r="O1490" i="3"/>
  <c r="O1489" i="3"/>
  <c r="P1489" i="3" s="1"/>
  <c r="Q1489" i="3" s="1"/>
  <c r="P1488" i="3"/>
  <c r="Q1488" i="3" s="1"/>
  <c r="O1488" i="3"/>
  <c r="O1487" i="3"/>
  <c r="P1487" i="3" s="1"/>
  <c r="Q1487" i="3" s="1"/>
  <c r="O1486" i="3"/>
  <c r="P1486" i="3" s="1"/>
  <c r="Q1486" i="3" s="1"/>
  <c r="P1485" i="3"/>
  <c r="Q1485" i="3" s="1"/>
  <c r="O1485" i="3"/>
  <c r="O1484" i="3"/>
  <c r="P1484" i="3" s="1"/>
  <c r="Q1484" i="3" s="1"/>
  <c r="O1483" i="3"/>
  <c r="P1483" i="3" s="1"/>
  <c r="Q1483" i="3" s="1"/>
  <c r="P1482" i="3"/>
  <c r="Q1482" i="3" s="1"/>
  <c r="O1482" i="3"/>
  <c r="Q1481" i="3"/>
  <c r="O1481" i="3"/>
  <c r="P1481" i="3" s="1"/>
  <c r="Q1480" i="3"/>
  <c r="P1480" i="3"/>
  <c r="O1480" i="3"/>
  <c r="P1479" i="3"/>
  <c r="Q1479" i="3" s="1"/>
  <c r="O1479" i="3"/>
  <c r="P1478" i="3"/>
  <c r="Q1478" i="3" s="1"/>
  <c r="O1478" i="3"/>
  <c r="Q1477" i="3"/>
  <c r="O1477" i="3"/>
  <c r="P1477" i="3" s="1"/>
  <c r="P1476" i="3"/>
  <c r="Q1476" i="3" s="1"/>
  <c r="O1476" i="3"/>
  <c r="Q1475" i="3"/>
  <c r="P1475" i="3"/>
  <c r="O1475" i="3"/>
  <c r="P1474" i="3"/>
  <c r="Q1474" i="3" s="1"/>
  <c r="O1474" i="3"/>
  <c r="Q1473" i="3"/>
  <c r="P1473" i="3"/>
  <c r="O1473" i="3"/>
  <c r="O1472" i="3"/>
  <c r="P1472" i="3" s="1"/>
  <c r="Q1472" i="3" s="1"/>
  <c r="P1471" i="3"/>
  <c r="Q1471" i="3" s="1"/>
  <c r="O1471" i="3"/>
  <c r="Q1470" i="3"/>
  <c r="P1470" i="3"/>
  <c r="O1470" i="3"/>
  <c r="P1469" i="3"/>
  <c r="Q1469" i="3" s="1"/>
  <c r="O1469" i="3"/>
  <c r="P1468" i="3"/>
  <c r="Q1468" i="3" s="1"/>
  <c r="O1468" i="3"/>
  <c r="O1467" i="3"/>
  <c r="P1467" i="3" s="1"/>
  <c r="Q1467" i="3" s="1"/>
  <c r="O1466" i="3"/>
  <c r="P1466" i="3" s="1"/>
  <c r="Q1466" i="3" s="1"/>
  <c r="Q1465" i="3"/>
  <c r="P1465" i="3"/>
  <c r="O1465" i="3"/>
  <c r="O1464" i="3"/>
  <c r="P1464" i="3" s="1"/>
  <c r="Q1464" i="3" s="1"/>
  <c r="Q1463" i="3"/>
  <c r="O1463" i="3"/>
  <c r="P1463" i="3" s="1"/>
  <c r="O1462" i="3"/>
  <c r="P1462" i="3" s="1"/>
  <c r="Q1462" i="3" s="1"/>
  <c r="O1461" i="3"/>
  <c r="P1461" i="3" s="1"/>
  <c r="Q1461" i="3" s="1"/>
  <c r="Q1460" i="3"/>
  <c r="P1460" i="3"/>
  <c r="O1460" i="3"/>
  <c r="O1459" i="3"/>
  <c r="P1459" i="3" s="1"/>
  <c r="Q1459" i="3" s="1"/>
  <c r="P1458" i="3"/>
  <c r="Q1458" i="3" s="1"/>
  <c r="O1458" i="3"/>
  <c r="O1457" i="3"/>
  <c r="P1457" i="3" s="1"/>
  <c r="Q1457" i="3" s="1"/>
  <c r="P1456" i="3"/>
  <c r="Q1456" i="3" s="1"/>
  <c r="O1456" i="3"/>
  <c r="Q1455" i="3"/>
  <c r="P1455" i="3"/>
  <c r="O1455" i="3"/>
  <c r="Q1454" i="3"/>
  <c r="P1454" i="3"/>
  <c r="O1454" i="3"/>
  <c r="O1453" i="3"/>
  <c r="P1453" i="3" s="1"/>
  <c r="Q1453" i="3" s="1"/>
  <c r="Q1452" i="3"/>
  <c r="O1452" i="3"/>
  <c r="P1452" i="3" s="1"/>
  <c r="P1451" i="3"/>
  <c r="Q1451" i="3" s="1"/>
  <c r="O1451" i="3"/>
  <c r="O1450" i="3"/>
  <c r="P1450" i="3" s="1"/>
  <c r="Q1450" i="3" s="1"/>
  <c r="O1449" i="3"/>
  <c r="P1449" i="3" s="1"/>
  <c r="Q1449" i="3" s="1"/>
  <c r="O1448" i="3"/>
  <c r="P1448" i="3" s="1"/>
  <c r="Q1448" i="3" s="1"/>
  <c r="Q1447" i="3"/>
  <c r="O1447" i="3"/>
  <c r="P1447" i="3" s="1"/>
  <c r="P1446" i="3"/>
  <c r="Q1446" i="3" s="1"/>
  <c r="O1446" i="3"/>
  <c r="O1445" i="3"/>
  <c r="P1445" i="3" s="1"/>
  <c r="Q1445" i="3" s="1"/>
  <c r="O1444" i="3"/>
  <c r="P1444" i="3" s="1"/>
  <c r="Q1444" i="3" s="1"/>
  <c r="Q1443" i="3"/>
  <c r="O1443" i="3"/>
  <c r="P1443" i="3" s="1"/>
  <c r="Q1442" i="3"/>
  <c r="P1442" i="3"/>
  <c r="O1442" i="3"/>
  <c r="P1441" i="3"/>
  <c r="Q1441" i="3" s="1"/>
  <c r="O1441" i="3"/>
  <c r="P1440" i="3"/>
  <c r="Q1440" i="3" s="1"/>
  <c r="O1440" i="3"/>
  <c r="P1439" i="3"/>
  <c r="Q1439" i="3" s="1"/>
  <c r="O1439" i="3"/>
  <c r="O1438" i="3"/>
  <c r="P1438" i="3" s="1"/>
  <c r="Q1438" i="3" s="1"/>
  <c r="O1437" i="3"/>
  <c r="P1437" i="3" s="1"/>
  <c r="Q1437" i="3" s="1"/>
  <c r="Q1436" i="3"/>
  <c r="P1436" i="3"/>
  <c r="O1436" i="3"/>
  <c r="O1435" i="3"/>
  <c r="P1435" i="3" s="1"/>
  <c r="Q1435" i="3" s="1"/>
  <c r="O1434" i="3"/>
  <c r="P1434" i="3" s="1"/>
  <c r="Q1434" i="3" s="1"/>
  <c r="P1433" i="3"/>
  <c r="Q1433" i="3" s="1"/>
  <c r="O1433" i="3"/>
  <c r="O1432" i="3"/>
  <c r="P1432" i="3" s="1"/>
  <c r="Q1432" i="3" s="1"/>
  <c r="Q1431" i="3"/>
  <c r="P1431" i="3"/>
  <c r="O1431" i="3"/>
  <c r="O1430" i="3"/>
  <c r="P1430" i="3" s="1"/>
  <c r="Q1430" i="3" s="1"/>
  <c r="O1429" i="3"/>
  <c r="P1429" i="3" s="1"/>
  <c r="Q1429" i="3" s="1"/>
  <c r="O1428" i="3"/>
  <c r="P1428" i="3" s="1"/>
  <c r="Q1428" i="3" s="1"/>
  <c r="Q1427" i="3"/>
  <c r="P1427" i="3"/>
  <c r="O1427" i="3"/>
  <c r="Q1426" i="3"/>
  <c r="P1426" i="3"/>
  <c r="O1426" i="3"/>
  <c r="P1425" i="3"/>
  <c r="Q1425" i="3" s="1"/>
  <c r="O1425" i="3"/>
  <c r="P1424" i="3"/>
  <c r="Q1424" i="3" s="1"/>
  <c r="O1424" i="3"/>
  <c r="O1423" i="3"/>
  <c r="P1423" i="3" s="1"/>
  <c r="Q1423" i="3" s="1"/>
  <c r="O1422" i="3"/>
  <c r="P1422" i="3" s="1"/>
  <c r="Q1422" i="3" s="1"/>
  <c r="Q1421" i="3"/>
  <c r="O1421" i="3"/>
  <c r="P1421" i="3" s="1"/>
  <c r="P1420" i="3"/>
  <c r="Q1420" i="3" s="1"/>
  <c r="O1420" i="3"/>
  <c r="P1419" i="3"/>
  <c r="Q1419" i="3" s="1"/>
  <c r="O1419" i="3"/>
  <c r="O1418" i="3"/>
  <c r="P1418" i="3" s="1"/>
  <c r="Q1418" i="3" s="1"/>
  <c r="O1417" i="3"/>
  <c r="P1417" i="3" s="1"/>
  <c r="Q1417" i="3" s="1"/>
  <c r="P1416" i="3"/>
  <c r="Q1416" i="3" s="1"/>
  <c r="O1416" i="3"/>
  <c r="P1415" i="3"/>
  <c r="Q1415" i="3" s="1"/>
  <c r="O1415" i="3"/>
  <c r="Q1414" i="3"/>
  <c r="P1414" i="3"/>
  <c r="O1414" i="3"/>
  <c r="O1413" i="3"/>
  <c r="P1413" i="3" s="1"/>
  <c r="Q1413" i="3" s="1"/>
  <c r="P1412" i="3"/>
  <c r="Q1412" i="3" s="1"/>
  <c r="O1412" i="3"/>
  <c r="Q1411" i="3"/>
  <c r="P1411" i="3"/>
  <c r="O1411" i="3"/>
  <c r="O1410" i="3"/>
  <c r="P1410" i="3" s="1"/>
  <c r="Q1410" i="3" s="1"/>
  <c r="Q1409" i="3"/>
  <c r="O1409" i="3"/>
  <c r="P1409" i="3" s="1"/>
  <c r="Q1408" i="3"/>
  <c r="P1408" i="3"/>
  <c r="O1408" i="3"/>
  <c r="O1407" i="3"/>
  <c r="P1407" i="3" s="1"/>
  <c r="Q1407" i="3" s="1"/>
  <c r="Q1406" i="3"/>
  <c r="P1406" i="3"/>
  <c r="O1406" i="3"/>
  <c r="Q1405" i="3"/>
  <c r="O1405" i="3"/>
  <c r="P1405" i="3" s="1"/>
  <c r="O1404" i="3"/>
  <c r="P1404" i="3" s="1"/>
  <c r="Q1404" i="3" s="1"/>
  <c r="O1403" i="3"/>
  <c r="P1403" i="3" s="1"/>
  <c r="Q1403" i="3" s="1"/>
  <c r="P1402" i="3"/>
  <c r="Q1402" i="3" s="1"/>
  <c r="O1402" i="3"/>
  <c r="Q1401" i="3"/>
  <c r="P1401" i="3"/>
  <c r="O1401" i="3"/>
  <c r="O1400" i="3"/>
  <c r="P1400" i="3" s="1"/>
  <c r="Q1400" i="3" s="1"/>
  <c r="Q1399" i="3"/>
  <c r="O1399" i="3"/>
  <c r="P1399" i="3" s="1"/>
  <c r="P1398" i="3"/>
  <c r="Q1398" i="3" s="1"/>
  <c r="O1398" i="3"/>
  <c r="P1397" i="3"/>
  <c r="Q1397" i="3" s="1"/>
  <c r="O1397" i="3"/>
  <c r="O1396" i="3"/>
  <c r="P1396" i="3" s="1"/>
  <c r="Q1396" i="3" s="1"/>
  <c r="P1395" i="3"/>
  <c r="Q1395" i="3" s="1"/>
  <c r="O1395" i="3"/>
  <c r="P1394" i="3"/>
  <c r="Q1394" i="3" s="1"/>
  <c r="O1394" i="3"/>
  <c r="O1393" i="3"/>
  <c r="P1393" i="3" s="1"/>
  <c r="Q1393" i="3" s="1"/>
  <c r="P1392" i="3"/>
  <c r="Q1392" i="3" s="1"/>
  <c r="O1392" i="3"/>
  <c r="O1391" i="3"/>
  <c r="P1391" i="3" s="1"/>
  <c r="Q1391" i="3" s="1"/>
  <c r="O1390" i="3"/>
  <c r="P1390" i="3" s="1"/>
  <c r="Q1390" i="3" s="1"/>
  <c r="P1389" i="3"/>
  <c r="Q1389" i="3" s="1"/>
  <c r="O1389" i="3"/>
  <c r="O1388" i="3"/>
  <c r="P1388" i="3" s="1"/>
  <c r="Q1388" i="3" s="1"/>
  <c r="P1387" i="3"/>
  <c r="Q1387" i="3" s="1"/>
  <c r="O1387" i="3"/>
  <c r="O1386" i="3"/>
  <c r="P1386" i="3" s="1"/>
  <c r="Q1386" i="3" s="1"/>
  <c r="O1385" i="3"/>
  <c r="P1385" i="3" s="1"/>
  <c r="Q1385" i="3" s="1"/>
  <c r="P1384" i="3"/>
  <c r="Q1384" i="3" s="1"/>
  <c r="O1384" i="3"/>
  <c r="O1383" i="3"/>
  <c r="P1383" i="3" s="1"/>
  <c r="Q1383" i="3" s="1"/>
  <c r="Q1382" i="3"/>
  <c r="P1382" i="3"/>
  <c r="O1382" i="3"/>
  <c r="P1381" i="3"/>
  <c r="Q1381" i="3" s="1"/>
  <c r="O1381" i="3"/>
  <c r="P1380" i="3"/>
  <c r="Q1380" i="3" s="1"/>
  <c r="O1380" i="3"/>
  <c r="O1379" i="3"/>
  <c r="P1379" i="3" s="1"/>
  <c r="Q1379" i="3" s="1"/>
  <c r="O1378" i="3"/>
  <c r="P1378" i="3" s="1"/>
  <c r="Q1378" i="3" s="1"/>
  <c r="Q1377" i="3"/>
  <c r="P1377" i="3"/>
  <c r="O1377" i="3"/>
  <c r="P1376" i="3"/>
  <c r="Q1376" i="3" s="1"/>
  <c r="O1376" i="3"/>
  <c r="P1375" i="3"/>
  <c r="Q1375" i="3" s="1"/>
  <c r="O1375" i="3"/>
  <c r="O1374" i="3"/>
  <c r="P1374" i="3" s="1"/>
  <c r="Q1374" i="3" s="1"/>
  <c r="P1373" i="3"/>
  <c r="Q1373" i="3" s="1"/>
  <c r="O1373" i="3"/>
  <c r="Q1372" i="3"/>
  <c r="P1372" i="3"/>
  <c r="O1372" i="3"/>
  <c r="P1371" i="3"/>
  <c r="Q1371" i="3" s="1"/>
  <c r="O1371" i="3"/>
  <c r="Q1370" i="3"/>
  <c r="P1370" i="3"/>
  <c r="O1370" i="3"/>
  <c r="O1369" i="3"/>
  <c r="P1369" i="3" s="1"/>
  <c r="Q1369" i="3" s="1"/>
  <c r="P1368" i="3"/>
  <c r="Q1368" i="3" s="1"/>
  <c r="O1368" i="3"/>
  <c r="Q1367" i="3"/>
  <c r="P1367" i="3"/>
  <c r="O1367" i="3"/>
  <c r="O1366" i="3"/>
  <c r="P1366" i="3" s="1"/>
  <c r="Q1366" i="3" s="1"/>
  <c r="Q1365" i="3"/>
  <c r="O1365" i="3"/>
  <c r="P1365" i="3" s="1"/>
  <c r="Q1364" i="3"/>
  <c r="P1364" i="3"/>
  <c r="O1364" i="3"/>
  <c r="O1363" i="3"/>
  <c r="P1363" i="3" s="1"/>
  <c r="Q1363" i="3" s="1"/>
  <c r="P1362" i="3"/>
  <c r="Q1362" i="3" s="1"/>
  <c r="O1362" i="3"/>
  <c r="Q1361" i="3"/>
  <c r="O1361" i="3"/>
  <c r="P1361" i="3" s="1"/>
  <c r="P1360" i="3"/>
  <c r="Q1360" i="3" s="1"/>
  <c r="O1360" i="3"/>
  <c r="O1359" i="3"/>
  <c r="P1359" i="3" s="1"/>
  <c r="Q1359" i="3" s="1"/>
  <c r="O1358" i="3"/>
  <c r="P1358" i="3" s="1"/>
  <c r="Q1358" i="3" s="1"/>
  <c r="P1357" i="3"/>
  <c r="Q1357" i="3" s="1"/>
  <c r="O1357" i="3"/>
  <c r="Q1356" i="3"/>
  <c r="P1356" i="3"/>
  <c r="O1356" i="3"/>
  <c r="O1355" i="3"/>
  <c r="P1355" i="3" s="1"/>
  <c r="Q1355" i="3" s="1"/>
  <c r="Q1354" i="3"/>
  <c r="P1354" i="3"/>
  <c r="O1354" i="3"/>
  <c r="P1353" i="3"/>
  <c r="Q1353" i="3" s="1"/>
  <c r="O1353" i="3"/>
  <c r="O1352" i="3"/>
  <c r="P1352" i="3" s="1"/>
  <c r="Q1352" i="3" s="1"/>
  <c r="O1351" i="3"/>
  <c r="P1351" i="3" s="1"/>
  <c r="Q1351" i="3" s="1"/>
  <c r="Q1350" i="3"/>
  <c r="O1350" i="3"/>
  <c r="P1350" i="3" s="1"/>
  <c r="Q1349" i="3"/>
  <c r="P1349" i="3"/>
  <c r="O1349" i="3"/>
  <c r="P1348" i="3"/>
  <c r="Q1348" i="3" s="1"/>
  <c r="O1348" i="3"/>
  <c r="O1347" i="3"/>
  <c r="P1347" i="3" s="1"/>
  <c r="Q1347" i="3" s="1"/>
  <c r="O1346" i="3"/>
  <c r="P1346" i="3" s="1"/>
  <c r="Q1346" i="3" s="1"/>
  <c r="Q1345" i="3"/>
  <c r="O1345" i="3"/>
  <c r="P1345" i="3" s="1"/>
  <c r="O1344" i="3"/>
  <c r="P1344" i="3" s="1"/>
  <c r="Q1344" i="3" s="1"/>
  <c r="P1343" i="3"/>
  <c r="Q1343" i="3" s="1"/>
  <c r="O1343" i="3"/>
  <c r="P1342" i="3"/>
  <c r="Q1342" i="3" s="1"/>
  <c r="O1342" i="3"/>
  <c r="P1341" i="3"/>
  <c r="Q1341" i="3" s="1"/>
  <c r="O1341" i="3"/>
  <c r="O1340" i="3"/>
  <c r="P1340" i="3" s="1"/>
  <c r="Q1340" i="3" s="1"/>
  <c r="Q1339" i="3"/>
  <c r="O1339" i="3"/>
  <c r="P1339" i="3" s="1"/>
  <c r="O1338" i="3"/>
  <c r="P1338" i="3" s="1"/>
  <c r="Q1338" i="3" s="1"/>
  <c r="O1337" i="3"/>
  <c r="P1337" i="3" s="1"/>
  <c r="Q1337" i="3" s="1"/>
  <c r="O1336" i="3"/>
  <c r="P1336" i="3" s="1"/>
  <c r="Q1336" i="3" s="1"/>
  <c r="O1335" i="3"/>
  <c r="P1335" i="3" s="1"/>
  <c r="Q1335" i="3" s="1"/>
  <c r="O1334" i="3"/>
  <c r="P1334" i="3" s="1"/>
  <c r="Q1334" i="3" s="1"/>
  <c r="O1333" i="3"/>
  <c r="P1333" i="3" s="1"/>
  <c r="Q1333" i="3" s="1"/>
  <c r="O1332" i="3"/>
  <c r="P1332" i="3" s="1"/>
  <c r="Q1332" i="3" s="1"/>
  <c r="O1331" i="3"/>
  <c r="P1331" i="3" s="1"/>
  <c r="Q1331" i="3" s="1"/>
  <c r="P1330" i="3"/>
  <c r="Q1330" i="3" s="1"/>
  <c r="O1330" i="3"/>
  <c r="P1329" i="3"/>
  <c r="Q1329" i="3" s="1"/>
  <c r="O1329" i="3"/>
  <c r="Q1328" i="3"/>
  <c r="P1328" i="3"/>
  <c r="O1328" i="3"/>
  <c r="P1327" i="3"/>
  <c r="Q1327" i="3" s="1"/>
  <c r="O1327" i="3"/>
  <c r="Q1326" i="3"/>
  <c r="P1326" i="3"/>
  <c r="O1326" i="3"/>
  <c r="P1325" i="3"/>
  <c r="Q1325" i="3" s="1"/>
  <c r="O1325" i="3"/>
  <c r="P1324" i="3"/>
  <c r="Q1324" i="3" s="1"/>
  <c r="O1324" i="3"/>
  <c r="O1323" i="3"/>
  <c r="P1323" i="3" s="1"/>
  <c r="Q1323" i="3" s="1"/>
  <c r="P1322" i="3"/>
  <c r="Q1322" i="3" s="1"/>
  <c r="O1322" i="3"/>
  <c r="P1321" i="3"/>
  <c r="Q1321" i="3" s="1"/>
  <c r="O1321" i="3"/>
  <c r="O1320" i="3"/>
  <c r="P1320" i="3" s="1"/>
  <c r="Q1320" i="3" s="1"/>
  <c r="O1319" i="3"/>
  <c r="P1319" i="3" s="1"/>
  <c r="Q1319" i="3" s="1"/>
  <c r="O1318" i="3"/>
  <c r="P1318" i="3" s="1"/>
  <c r="Q1318" i="3" s="1"/>
  <c r="P1317" i="3"/>
  <c r="Q1317" i="3" s="1"/>
  <c r="O1317" i="3"/>
  <c r="P1316" i="3"/>
  <c r="Q1316" i="3" s="1"/>
  <c r="O1316" i="3"/>
  <c r="Q1315" i="3"/>
  <c r="P1315" i="3"/>
  <c r="O1315" i="3"/>
  <c r="P1314" i="3"/>
  <c r="Q1314" i="3" s="1"/>
  <c r="O1314" i="3"/>
  <c r="O1313" i="3"/>
  <c r="P1313" i="3" s="1"/>
  <c r="Q1313" i="3" s="1"/>
  <c r="O1312" i="3"/>
  <c r="P1312" i="3" s="1"/>
  <c r="Q1312" i="3" s="1"/>
  <c r="O1311" i="3"/>
  <c r="P1311" i="3" s="1"/>
  <c r="Q1311" i="3" s="1"/>
  <c r="Q1310" i="3"/>
  <c r="O1310" i="3"/>
  <c r="P1310" i="3" s="1"/>
  <c r="O1309" i="3"/>
  <c r="P1309" i="3" s="1"/>
  <c r="Q1309" i="3" s="1"/>
  <c r="O1308" i="3"/>
  <c r="P1308" i="3" s="1"/>
  <c r="Q1308" i="3" s="1"/>
  <c r="O1307" i="3"/>
  <c r="P1307" i="3" s="1"/>
  <c r="Q1307" i="3" s="1"/>
  <c r="Q1306" i="3"/>
  <c r="O1306" i="3"/>
  <c r="P1306" i="3" s="1"/>
  <c r="P1305" i="3"/>
  <c r="Q1305" i="3" s="1"/>
  <c r="O1305" i="3"/>
  <c r="P1304" i="3"/>
  <c r="Q1304" i="3" s="1"/>
  <c r="O1304" i="3"/>
  <c r="O1303" i="3"/>
  <c r="P1303" i="3" s="1"/>
  <c r="Q1303" i="3" s="1"/>
  <c r="O1302" i="3"/>
  <c r="P1302" i="3" s="1"/>
  <c r="Q1302" i="3" s="1"/>
  <c r="Q1301" i="3"/>
  <c r="O1301" i="3"/>
  <c r="P1301" i="3" s="1"/>
  <c r="O1300" i="3"/>
  <c r="P1300" i="3" s="1"/>
  <c r="Q1300" i="3" s="1"/>
  <c r="P1299" i="3"/>
  <c r="Q1299" i="3" s="1"/>
  <c r="O1299" i="3"/>
  <c r="O1298" i="3"/>
  <c r="P1298" i="3" s="1"/>
  <c r="Q1298" i="3" s="1"/>
  <c r="P1297" i="3"/>
  <c r="Q1297" i="3" s="1"/>
  <c r="O1297" i="3"/>
  <c r="P1296" i="3"/>
  <c r="Q1296" i="3" s="1"/>
  <c r="O1296" i="3"/>
  <c r="Q1295" i="3"/>
  <c r="P1295" i="3"/>
  <c r="O1295" i="3"/>
  <c r="O1294" i="3"/>
  <c r="P1294" i="3" s="1"/>
  <c r="Q1294" i="3" s="1"/>
  <c r="P1293" i="3"/>
  <c r="Q1293" i="3" s="1"/>
  <c r="O1293" i="3"/>
  <c r="P1292" i="3"/>
  <c r="Q1292" i="3" s="1"/>
  <c r="O1292" i="3"/>
  <c r="P1291" i="3"/>
  <c r="Q1291" i="3" s="1"/>
  <c r="O1291" i="3"/>
  <c r="O1290" i="3"/>
  <c r="P1290" i="3" s="1"/>
  <c r="Q1290" i="3" s="1"/>
  <c r="O1289" i="3"/>
  <c r="P1289" i="3" s="1"/>
  <c r="Q1289" i="3" s="1"/>
  <c r="O1288" i="3"/>
  <c r="P1288" i="3" s="1"/>
  <c r="Q1288" i="3" s="1"/>
  <c r="Q1287" i="3"/>
  <c r="O1287" i="3"/>
  <c r="P1287" i="3" s="1"/>
  <c r="P1286" i="3"/>
  <c r="Q1286" i="3" s="1"/>
  <c r="O1286" i="3"/>
  <c r="P1285" i="3"/>
  <c r="Q1285" i="3" s="1"/>
  <c r="O1285" i="3"/>
  <c r="O1284" i="3"/>
  <c r="P1284" i="3" s="1"/>
  <c r="Q1284" i="3" s="1"/>
  <c r="P1283" i="3"/>
  <c r="Q1283" i="3" s="1"/>
  <c r="O1283" i="3"/>
  <c r="O1282" i="3"/>
  <c r="P1282" i="3" s="1"/>
  <c r="Q1282" i="3" s="1"/>
  <c r="P1281" i="3"/>
  <c r="Q1281" i="3" s="1"/>
  <c r="O1281" i="3"/>
  <c r="O1280" i="3"/>
  <c r="P1280" i="3" s="1"/>
  <c r="Q1280" i="3" s="1"/>
  <c r="P1279" i="3"/>
  <c r="Q1279" i="3" s="1"/>
  <c r="O1279" i="3"/>
  <c r="Q1278" i="3"/>
  <c r="P1278" i="3"/>
  <c r="O1278" i="3"/>
  <c r="Q1277" i="3"/>
  <c r="P1277" i="3"/>
  <c r="O1277" i="3"/>
  <c r="O1276" i="3"/>
  <c r="P1276" i="3" s="1"/>
  <c r="Q1276" i="3" s="1"/>
  <c r="O1275" i="3"/>
  <c r="P1275" i="3" s="1"/>
  <c r="Q1275" i="3" s="1"/>
  <c r="Q1274" i="3"/>
  <c r="O1274" i="3"/>
  <c r="P1274" i="3" s="1"/>
  <c r="O1273" i="3"/>
  <c r="P1273" i="3" s="1"/>
  <c r="Q1273" i="3" s="1"/>
  <c r="O1272" i="3"/>
  <c r="P1272" i="3" s="1"/>
  <c r="Q1272" i="3" s="1"/>
  <c r="Q1271" i="3"/>
  <c r="P1271" i="3"/>
  <c r="O1271" i="3"/>
  <c r="O1270" i="3"/>
  <c r="P1270" i="3" s="1"/>
  <c r="Q1270" i="3" s="1"/>
  <c r="O1269" i="3"/>
  <c r="P1269" i="3" s="1"/>
  <c r="Q1269" i="3" s="1"/>
  <c r="O1268" i="3"/>
  <c r="P1268" i="3" s="1"/>
  <c r="Q1268" i="3" s="1"/>
  <c r="O1267" i="3"/>
  <c r="P1267" i="3" s="1"/>
  <c r="Q1267" i="3" s="1"/>
  <c r="Q1266" i="3"/>
  <c r="O1266" i="3"/>
  <c r="P1266" i="3" s="1"/>
  <c r="O1265" i="3"/>
  <c r="P1265" i="3" s="1"/>
  <c r="Q1265" i="3" s="1"/>
  <c r="Q1264" i="3"/>
  <c r="P1264" i="3"/>
  <c r="O1264" i="3"/>
  <c r="P1263" i="3"/>
  <c r="Q1263" i="3" s="1"/>
  <c r="O1263" i="3"/>
  <c r="P1262" i="3"/>
  <c r="Q1262" i="3" s="1"/>
  <c r="O1262" i="3"/>
  <c r="P1261" i="3"/>
  <c r="Q1261" i="3" s="1"/>
  <c r="O1261" i="3"/>
  <c r="Q1260" i="3"/>
  <c r="O1260" i="3"/>
  <c r="P1260" i="3" s="1"/>
  <c r="Q1259" i="3"/>
  <c r="O1259" i="3"/>
  <c r="P1259" i="3" s="1"/>
  <c r="O1258" i="3"/>
  <c r="P1258" i="3" s="1"/>
  <c r="Q1258" i="3" s="1"/>
  <c r="P1257" i="3"/>
  <c r="Q1257" i="3" s="1"/>
  <c r="O1257" i="3"/>
  <c r="O1256" i="3"/>
  <c r="P1256" i="3" s="1"/>
  <c r="Q1256" i="3" s="1"/>
  <c r="O1255" i="3"/>
  <c r="P1255" i="3" s="1"/>
  <c r="Q1255" i="3" s="1"/>
  <c r="O1254" i="3"/>
  <c r="P1254" i="3" s="1"/>
  <c r="Q1254" i="3" s="1"/>
  <c r="Q1253" i="3"/>
  <c r="O1253" i="3"/>
  <c r="P1253" i="3" s="1"/>
  <c r="O1252" i="3"/>
  <c r="P1252" i="3" s="1"/>
  <c r="Q1252" i="3" s="1"/>
  <c r="O1251" i="3"/>
  <c r="P1251" i="3" s="1"/>
  <c r="Q1251" i="3" s="1"/>
  <c r="Q1250" i="3"/>
  <c r="P1250" i="3"/>
  <c r="O1250" i="3"/>
  <c r="O1249" i="3"/>
  <c r="P1249" i="3" s="1"/>
  <c r="Q1249" i="3" s="1"/>
  <c r="P1248" i="3"/>
  <c r="Q1248" i="3" s="1"/>
  <c r="O1248" i="3"/>
  <c r="P1247" i="3"/>
  <c r="Q1247" i="3" s="1"/>
  <c r="O1247" i="3"/>
  <c r="O1246" i="3"/>
  <c r="P1246" i="3" s="1"/>
  <c r="Q1246" i="3" s="1"/>
  <c r="Q1245" i="3"/>
  <c r="O1245" i="3"/>
  <c r="P1245" i="3" s="1"/>
  <c r="P1244" i="3"/>
  <c r="Q1244" i="3" s="1"/>
  <c r="O1244" i="3"/>
  <c r="Q1243" i="3"/>
  <c r="P1243" i="3"/>
  <c r="O1243" i="3"/>
  <c r="O1242" i="3"/>
  <c r="P1242" i="3" s="1"/>
  <c r="Q1242" i="3" s="1"/>
  <c r="O1241" i="3"/>
  <c r="P1241" i="3" s="1"/>
  <c r="Q1241" i="3" s="1"/>
  <c r="O1240" i="3"/>
  <c r="P1240" i="3" s="1"/>
  <c r="Q1240" i="3" s="1"/>
  <c r="Q1239" i="3"/>
  <c r="O1239" i="3"/>
  <c r="P1239" i="3" s="1"/>
  <c r="Q1238" i="3"/>
  <c r="O1238" i="3"/>
  <c r="P1238" i="3" s="1"/>
  <c r="O1237" i="3"/>
  <c r="P1237" i="3" s="1"/>
  <c r="Q1237" i="3" s="1"/>
  <c r="Q1236" i="3"/>
  <c r="P1236" i="3"/>
  <c r="O1236" i="3"/>
  <c r="P1235" i="3"/>
  <c r="Q1235" i="3" s="1"/>
  <c r="O1235" i="3"/>
  <c r="P1234" i="3"/>
  <c r="Q1234" i="3" s="1"/>
  <c r="O1234" i="3"/>
  <c r="P1233" i="3"/>
  <c r="Q1233" i="3" s="1"/>
  <c r="O1233" i="3"/>
  <c r="O1232" i="3"/>
  <c r="P1232" i="3" s="1"/>
  <c r="Q1232" i="3" s="1"/>
  <c r="Q1231" i="3"/>
  <c r="O1231" i="3"/>
  <c r="P1231" i="3" s="1"/>
  <c r="O1230" i="3"/>
  <c r="P1230" i="3" s="1"/>
  <c r="Q1230" i="3" s="1"/>
  <c r="P1229" i="3"/>
  <c r="Q1229" i="3" s="1"/>
  <c r="O1229" i="3"/>
  <c r="O1228" i="3"/>
  <c r="P1228" i="3" s="1"/>
  <c r="Q1228" i="3" s="1"/>
  <c r="O1227" i="3"/>
  <c r="P1227" i="3" s="1"/>
  <c r="Q1227" i="3" s="1"/>
  <c r="P1226" i="3"/>
  <c r="Q1226" i="3" s="1"/>
  <c r="O1226" i="3"/>
  <c r="O1225" i="3"/>
  <c r="P1225" i="3" s="1"/>
  <c r="Q1225" i="3" s="1"/>
  <c r="O1224" i="3"/>
  <c r="P1224" i="3" s="1"/>
  <c r="Q1224" i="3" s="1"/>
  <c r="O1223" i="3"/>
  <c r="P1223" i="3" s="1"/>
  <c r="Q1223" i="3" s="1"/>
  <c r="P1222" i="3"/>
  <c r="Q1222" i="3" s="1"/>
  <c r="O1222" i="3"/>
  <c r="P1221" i="3"/>
  <c r="Q1221" i="3" s="1"/>
  <c r="O1221" i="3"/>
  <c r="O1220" i="3"/>
  <c r="P1220" i="3" s="1"/>
  <c r="Q1220" i="3" s="1"/>
  <c r="P1219" i="3"/>
  <c r="Q1219" i="3" s="1"/>
  <c r="O1219" i="3"/>
  <c r="P1218" i="3"/>
  <c r="Q1218" i="3" s="1"/>
  <c r="O1218" i="3"/>
  <c r="O1217" i="3"/>
  <c r="P1217" i="3" s="1"/>
  <c r="Q1217" i="3" s="1"/>
  <c r="Q1216" i="3"/>
  <c r="P1216" i="3"/>
  <c r="O1216" i="3"/>
  <c r="O1215" i="3"/>
  <c r="P1215" i="3" s="1"/>
  <c r="Q1215" i="3" s="1"/>
  <c r="P1214" i="3"/>
  <c r="Q1214" i="3" s="1"/>
  <c r="O1214" i="3"/>
  <c r="P1213" i="3"/>
  <c r="Q1213" i="3" s="1"/>
  <c r="O1213" i="3"/>
  <c r="P1212" i="3"/>
  <c r="Q1212" i="3" s="1"/>
  <c r="O1212" i="3"/>
  <c r="Q1211" i="3"/>
  <c r="P1211" i="3"/>
  <c r="O1211" i="3"/>
  <c r="O1210" i="3"/>
  <c r="P1210" i="3" s="1"/>
  <c r="Q1210" i="3" s="1"/>
  <c r="P1209" i="3"/>
  <c r="Q1209" i="3" s="1"/>
  <c r="O1209" i="3"/>
  <c r="P1208" i="3"/>
  <c r="Q1208" i="3" s="1"/>
  <c r="O1208" i="3"/>
  <c r="O1207" i="3"/>
  <c r="P1207" i="3" s="1"/>
  <c r="Q1207" i="3" s="1"/>
  <c r="O1206" i="3"/>
  <c r="P1206" i="3" s="1"/>
  <c r="Q1206" i="3" s="1"/>
  <c r="P1205" i="3"/>
  <c r="Q1205" i="3" s="1"/>
  <c r="O1205" i="3"/>
  <c r="P1204" i="3"/>
  <c r="Q1204" i="3" s="1"/>
  <c r="O1204" i="3"/>
  <c r="Q1203" i="3"/>
  <c r="O1203" i="3"/>
  <c r="P1203" i="3" s="1"/>
  <c r="O1202" i="3"/>
  <c r="P1202" i="3" s="1"/>
  <c r="Q1202" i="3" s="1"/>
  <c r="Q1201" i="3"/>
  <c r="O1201" i="3"/>
  <c r="P1201" i="3" s="1"/>
  <c r="P1200" i="3"/>
  <c r="Q1200" i="3" s="1"/>
  <c r="O1200" i="3"/>
  <c r="P1199" i="3"/>
  <c r="Q1199" i="3" s="1"/>
  <c r="O1199" i="3"/>
  <c r="O1198" i="3"/>
  <c r="P1198" i="3" s="1"/>
  <c r="Q1198" i="3" s="1"/>
  <c r="Q1197" i="3"/>
  <c r="O1197" i="3"/>
  <c r="P1197" i="3" s="1"/>
  <c r="O1196" i="3"/>
  <c r="P1196" i="3" s="1"/>
  <c r="Q1196" i="3" s="1"/>
  <c r="P1195" i="3"/>
  <c r="Q1195" i="3" s="1"/>
  <c r="O1195" i="3"/>
  <c r="P1194" i="3"/>
  <c r="Q1194" i="3" s="1"/>
  <c r="O1194" i="3"/>
  <c r="O1193" i="3"/>
  <c r="P1193" i="3" s="1"/>
  <c r="Q1193" i="3" s="1"/>
  <c r="P1192" i="3"/>
  <c r="Q1192" i="3" s="1"/>
  <c r="O1192" i="3"/>
  <c r="O1191" i="3"/>
  <c r="P1191" i="3" s="1"/>
  <c r="Q1191" i="3" s="1"/>
  <c r="O1190" i="3"/>
  <c r="P1190" i="3" s="1"/>
  <c r="Q1190" i="3" s="1"/>
  <c r="Q1189" i="3"/>
  <c r="O1189" i="3"/>
  <c r="P1189" i="3" s="1"/>
  <c r="Q1188" i="3"/>
  <c r="P1188" i="3"/>
  <c r="O1188" i="3"/>
  <c r="O1187" i="3"/>
  <c r="P1187" i="3" s="1"/>
  <c r="Q1187" i="3" s="1"/>
  <c r="O1186" i="3"/>
  <c r="P1186" i="3" s="1"/>
  <c r="Q1186" i="3" s="1"/>
  <c r="Q1185" i="3"/>
  <c r="O1185" i="3"/>
  <c r="P1185" i="3" s="1"/>
  <c r="P1184" i="3"/>
  <c r="Q1184" i="3" s="1"/>
  <c r="O1184" i="3"/>
  <c r="P1183" i="3"/>
  <c r="Q1183" i="3" s="1"/>
  <c r="O1183" i="3"/>
  <c r="Q1182" i="3"/>
  <c r="P1182" i="3"/>
  <c r="O1182" i="3"/>
  <c r="O1181" i="3"/>
  <c r="P1181" i="3" s="1"/>
  <c r="Q1181" i="3" s="1"/>
  <c r="Q1180" i="3"/>
  <c r="P1180" i="3"/>
  <c r="O1180" i="3"/>
  <c r="Q1179" i="3"/>
  <c r="O1179" i="3"/>
  <c r="P1179" i="3" s="1"/>
  <c r="O1178" i="3"/>
  <c r="P1178" i="3" s="1"/>
  <c r="Q1178" i="3" s="1"/>
  <c r="P1177" i="3"/>
  <c r="Q1177" i="3" s="1"/>
  <c r="O1177" i="3"/>
  <c r="O1176" i="3"/>
  <c r="P1176" i="3" s="1"/>
  <c r="Q1176" i="3" s="1"/>
  <c r="O1175" i="3"/>
  <c r="P1175" i="3" s="1"/>
  <c r="Q1175" i="3" s="1"/>
  <c r="O1174" i="3"/>
  <c r="P1174" i="3" s="1"/>
  <c r="Q1174" i="3" s="1"/>
  <c r="O1173" i="3"/>
  <c r="P1173" i="3" s="1"/>
  <c r="Q1173" i="3" s="1"/>
  <c r="P1172" i="3"/>
  <c r="Q1172" i="3" s="1"/>
  <c r="O1172" i="3"/>
  <c r="O1171" i="3"/>
  <c r="P1171" i="3" s="1"/>
  <c r="Q1171" i="3" s="1"/>
  <c r="O1170" i="3"/>
  <c r="P1170" i="3" s="1"/>
  <c r="Q1170" i="3" s="1"/>
  <c r="O1169" i="3"/>
  <c r="P1169" i="3" s="1"/>
  <c r="Q1169" i="3" s="1"/>
  <c r="O1168" i="3"/>
  <c r="P1168" i="3" s="1"/>
  <c r="Q1168" i="3" s="1"/>
  <c r="P1167" i="3"/>
  <c r="Q1167" i="3" s="1"/>
  <c r="O1167" i="3"/>
  <c r="P1166" i="3"/>
  <c r="Q1166" i="3" s="1"/>
  <c r="O1166" i="3"/>
  <c r="O1165" i="3"/>
  <c r="P1165" i="3" s="1"/>
  <c r="Q1165" i="3" s="1"/>
  <c r="O1164" i="3"/>
  <c r="P1164" i="3" s="1"/>
  <c r="Q1164" i="3" s="1"/>
  <c r="P1163" i="3"/>
  <c r="Q1163" i="3" s="1"/>
  <c r="O1163" i="3"/>
  <c r="O1162" i="3"/>
  <c r="P1162" i="3" s="1"/>
  <c r="Q1162" i="3" s="1"/>
  <c r="O1161" i="3"/>
  <c r="P1161" i="3" s="1"/>
  <c r="Q1161" i="3" s="1"/>
  <c r="O1160" i="3"/>
  <c r="P1160" i="3" s="1"/>
  <c r="Q1160" i="3" s="1"/>
  <c r="P1159" i="3"/>
  <c r="Q1159" i="3" s="1"/>
  <c r="O1159" i="3"/>
  <c r="P1158" i="3"/>
  <c r="Q1158" i="3" s="1"/>
  <c r="O1158" i="3"/>
  <c r="Q1157" i="3"/>
  <c r="O1157" i="3"/>
  <c r="P1157" i="3" s="1"/>
  <c r="O1156" i="3"/>
  <c r="P1156" i="3" s="1"/>
  <c r="Q1156" i="3" s="1"/>
  <c r="P1155" i="3"/>
  <c r="Q1155" i="3" s="1"/>
  <c r="O1155" i="3"/>
  <c r="O1154" i="3"/>
  <c r="P1154" i="3" s="1"/>
  <c r="Q1154" i="3" s="1"/>
  <c r="O1153" i="3"/>
  <c r="P1153" i="3" s="1"/>
  <c r="Q1153" i="3" s="1"/>
  <c r="Q1152" i="3"/>
  <c r="P1152" i="3"/>
  <c r="O1152" i="3"/>
  <c r="P1151" i="3"/>
  <c r="Q1151" i="3" s="1"/>
  <c r="O1151" i="3"/>
  <c r="Q1150" i="3"/>
  <c r="P1150" i="3"/>
  <c r="O1150" i="3"/>
  <c r="O1149" i="3"/>
  <c r="P1149" i="3" s="1"/>
  <c r="Q1149" i="3" s="1"/>
  <c r="O1148" i="3"/>
  <c r="P1148" i="3" s="1"/>
  <c r="Q1148" i="3" s="1"/>
  <c r="O1147" i="3"/>
  <c r="P1147" i="3" s="1"/>
  <c r="Q1147" i="3" s="1"/>
  <c r="P1146" i="3"/>
  <c r="Q1146" i="3" s="1"/>
  <c r="O1146" i="3"/>
  <c r="P1145" i="3"/>
  <c r="Q1145" i="3" s="1"/>
  <c r="O1145" i="3"/>
  <c r="P1144" i="3"/>
  <c r="Q1144" i="3" s="1"/>
  <c r="O1144" i="3"/>
  <c r="O1143" i="3"/>
  <c r="P1143" i="3" s="1"/>
  <c r="Q1143" i="3" s="1"/>
  <c r="O1142" i="3"/>
  <c r="P1142" i="3" s="1"/>
  <c r="Q1142" i="3" s="1"/>
  <c r="P1141" i="3"/>
  <c r="Q1141" i="3" s="1"/>
  <c r="O1141" i="3"/>
  <c r="Q1140" i="3"/>
  <c r="P1140" i="3"/>
  <c r="O1140" i="3"/>
  <c r="O1139" i="3"/>
  <c r="P1139" i="3" s="1"/>
  <c r="Q1139" i="3" s="1"/>
  <c r="Q1138" i="3"/>
  <c r="P1138" i="3"/>
  <c r="O1138" i="3"/>
  <c r="O1137" i="3"/>
  <c r="P1137" i="3" s="1"/>
  <c r="Q1137" i="3" s="1"/>
  <c r="O1136" i="3"/>
  <c r="P1136" i="3" s="1"/>
  <c r="Q1136" i="3" s="1"/>
  <c r="Q1135" i="3"/>
  <c r="O1135" i="3"/>
  <c r="P1135" i="3" s="1"/>
  <c r="P1134" i="3"/>
  <c r="Q1134" i="3" s="1"/>
  <c r="O1134" i="3"/>
  <c r="O1133" i="3"/>
  <c r="P1133" i="3" s="1"/>
  <c r="Q1133" i="3" s="1"/>
  <c r="O1132" i="3"/>
  <c r="P1132" i="3" s="1"/>
  <c r="Q1132" i="3" s="1"/>
  <c r="Q1131" i="3"/>
  <c r="O1131" i="3"/>
  <c r="P1131" i="3" s="1"/>
  <c r="O1130" i="3"/>
  <c r="P1130" i="3" s="1"/>
  <c r="Q1130" i="3" s="1"/>
  <c r="O1129" i="3"/>
  <c r="P1129" i="3" s="1"/>
  <c r="Q1129" i="3" s="1"/>
  <c r="O1128" i="3"/>
  <c r="P1128" i="3" s="1"/>
  <c r="Q1128" i="3" s="1"/>
  <c r="O1127" i="3"/>
  <c r="P1127" i="3" s="1"/>
  <c r="Q1127" i="3" s="1"/>
  <c r="Q1126" i="3"/>
  <c r="O1126" i="3"/>
  <c r="P1126" i="3" s="1"/>
  <c r="Q1125" i="3"/>
  <c r="O1125" i="3"/>
  <c r="P1125" i="3" s="1"/>
  <c r="Q1124" i="3"/>
  <c r="P1124" i="3"/>
  <c r="O1124" i="3"/>
  <c r="P1123" i="3"/>
  <c r="Q1123" i="3" s="1"/>
  <c r="O1123" i="3"/>
  <c r="O1122" i="3"/>
  <c r="P1122" i="3" s="1"/>
  <c r="Q1122" i="3" s="1"/>
  <c r="O1121" i="3"/>
  <c r="P1121" i="3" s="1"/>
  <c r="Q1121" i="3" s="1"/>
  <c r="O1120" i="3"/>
  <c r="P1120" i="3" s="1"/>
  <c r="Q1120" i="3" s="1"/>
  <c r="O1119" i="3"/>
  <c r="P1119" i="3" s="1"/>
  <c r="Q1119" i="3" s="1"/>
  <c r="P1118" i="3"/>
  <c r="Q1118" i="3" s="1"/>
  <c r="O1118" i="3"/>
  <c r="O1117" i="3"/>
  <c r="P1117" i="3" s="1"/>
  <c r="Q1117" i="3" s="1"/>
  <c r="O1116" i="3"/>
  <c r="P1116" i="3" s="1"/>
  <c r="Q1116" i="3" s="1"/>
  <c r="O1115" i="3"/>
  <c r="P1115" i="3" s="1"/>
  <c r="Q1115" i="3" s="1"/>
  <c r="O1114" i="3"/>
  <c r="P1114" i="3" s="1"/>
  <c r="Q1114" i="3" s="1"/>
  <c r="P1113" i="3"/>
  <c r="Q1113" i="3" s="1"/>
  <c r="O1113" i="3"/>
  <c r="O1112" i="3"/>
  <c r="P1112" i="3" s="1"/>
  <c r="Q1112" i="3" s="1"/>
  <c r="O1111" i="3"/>
  <c r="P1111" i="3" s="1"/>
  <c r="Q1111" i="3" s="1"/>
  <c r="P1110" i="3"/>
  <c r="Q1110" i="3" s="1"/>
  <c r="O1110" i="3"/>
  <c r="O1109" i="3"/>
  <c r="P1109" i="3" s="1"/>
  <c r="Q1109" i="3" s="1"/>
  <c r="Q1108" i="3"/>
  <c r="O1108" i="3"/>
  <c r="P1108" i="3" s="1"/>
  <c r="P1107" i="3"/>
  <c r="Q1107" i="3" s="1"/>
  <c r="O1107" i="3"/>
  <c r="Q1106" i="3"/>
  <c r="P1106" i="3"/>
  <c r="O1106" i="3"/>
  <c r="O1105" i="3"/>
  <c r="P1105" i="3" s="1"/>
  <c r="Q1105" i="3" s="1"/>
  <c r="O1104" i="3"/>
  <c r="P1104" i="3" s="1"/>
  <c r="Q1104" i="3" s="1"/>
  <c r="O1103" i="3"/>
  <c r="P1103" i="3" s="1"/>
  <c r="Q1103" i="3" s="1"/>
  <c r="P1102" i="3"/>
  <c r="Q1102" i="3" s="1"/>
  <c r="O1102" i="3"/>
  <c r="P1101" i="3"/>
  <c r="Q1101" i="3" s="1"/>
  <c r="O1101" i="3"/>
  <c r="O1100" i="3"/>
  <c r="P1100" i="3" s="1"/>
  <c r="Q1100" i="3" s="1"/>
  <c r="P1099" i="3"/>
  <c r="Q1099" i="3" s="1"/>
  <c r="O1099" i="3"/>
  <c r="O1098" i="3"/>
  <c r="P1098" i="3" s="1"/>
  <c r="Q1098" i="3" s="1"/>
  <c r="P1097" i="3"/>
  <c r="Q1097" i="3" s="1"/>
  <c r="O1097" i="3"/>
  <c r="Q1096" i="3"/>
  <c r="P1096" i="3"/>
  <c r="O1096" i="3"/>
  <c r="O1095" i="3"/>
  <c r="P1095" i="3" s="1"/>
  <c r="Q1095" i="3" s="1"/>
  <c r="O1094" i="3"/>
  <c r="P1094" i="3" s="1"/>
  <c r="Q1094" i="3" s="1"/>
  <c r="O1093" i="3"/>
  <c r="P1093" i="3" s="1"/>
  <c r="Q1093" i="3" s="1"/>
  <c r="O1092" i="3"/>
  <c r="P1092" i="3" s="1"/>
  <c r="Q1092" i="3" s="1"/>
  <c r="Q1091" i="3"/>
  <c r="O1091" i="3"/>
  <c r="P1091" i="3" s="1"/>
  <c r="O1090" i="3"/>
  <c r="P1090" i="3" s="1"/>
  <c r="Q1090" i="3" s="1"/>
  <c r="P1089" i="3"/>
  <c r="Q1089" i="3" s="1"/>
  <c r="O1089" i="3"/>
  <c r="O1088" i="3"/>
  <c r="P1088" i="3" s="1"/>
  <c r="Q1088" i="3" s="1"/>
  <c r="O1087" i="3"/>
  <c r="P1087" i="3" s="1"/>
  <c r="Q1087" i="3" s="1"/>
  <c r="P1086" i="3"/>
  <c r="Q1086" i="3" s="1"/>
  <c r="O1086" i="3"/>
  <c r="O1085" i="3"/>
  <c r="P1085" i="3" s="1"/>
  <c r="Q1085" i="3" s="1"/>
  <c r="O1084" i="3"/>
  <c r="P1084" i="3" s="1"/>
  <c r="Q1084" i="3" s="1"/>
  <c r="O1083" i="3"/>
  <c r="P1083" i="3" s="1"/>
  <c r="Q1083" i="3" s="1"/>
  <c r="Q1082" i="3"/>
  <c r="P1082" i="3"/>
  <c r="O1082" i="3"/>
  <c r="Q1081" i="3"/>
  <c r="O1081" i="3"/>
  <c r="P1081" i="3" s="1"/>
  <c r="O1080" i="3"/>
  <c r="P1080" i="3" s="1"/>
  <c r="Q1080" i="3" s="1"/>
  <c r="P1079" i="3"/>
  <c r="Q1079" i="3" s="1"/>
  <c r="O1079" i="3"/>
  <c r="O1078" i="3"/>
  <c r="P1078" i="3" s="1"/>
  <c r="Q1078" i="3" s="1"/>
  <c r="O1077" i="3"/>
  <c r="P1077" i="3" s="1"/>
  <c r="Q1077" i="3" s="1"/>
  <c r="O1076" i="3"/>
  <c r="P1076" i="3" s="1"/>
  <c r="Q1076" i="3" s="1"/>
  <c r="P1075" i="3"/>
  <c r="Q1075" i="3" s="1"/>
  <c r="O1075" i="3"/>
  <c r="Q1074" i="3"/>
  <c r="P1074" i="3"/>
  <c r="O1074" i="3"/>
  <c r="O1073" i="3"/>
  <c r="P1073" i="3" s="1"/>
  <c r="Q1073" i="3" s="1"/>
  <c r="O1072" i="3"/>
  <c r="P1072" i="3" s="1"/>
  <c r="Q1072" i="3" s="1"/>
  <c r="O1071" i="3"/>
  <c r="P1071" i="3" s="1"/>
  <c r="Q1071" i="3" s="1"/>
  <c r="O1070" i="3"/>
  <c r="P1070" i="3" s="1"/>
  <c r="Q1070" i="3" s="1"/>
  <c r="P1069" i="3"/>
  <c r="Q1069" i="3" s="1"/>
  <c r="O1069" i="3"/>
  <c r="P1068" i="3"/>
  <c r="Q1068" i="3" s="1"/>
  <c r="O1068" i="3"/>
  <c r="O1067" i="3"/>
  <c r="P1067" i="3" s="1"/>
  <c r="Q1067" i="3" s="1"/>
  <c r="O1066" i="3"/>
  <c r="P1066" i="3" s="1"/>
  <c r="Q1066" i="3" s="1"/>
  <c r="Q1065" i="3"/>
  <c r="P1065" i="3"/>
  <c r="O1065" i="3"/>
  <c r="O1064" i="3"/>
  <c r="P1064" i="3" s="1"/>
  <c r="Q1064" i="3" s="1"/>
  <c r="O1063" i="3"/>
  <c r="P1063" i="3" s="1"/>
  <c r="Q1063" i="3" s="1"/>
  <c r="P1062" i="3"/>
  <c r="Q1062" i="3" s="1"/>
  <c r="O1062" i="3"/>
  <c r="P1061" i="3"/>
  <c r="Q1061" i="3" s="1"/>
  <c r="O1061" i="3"/>
  <c r="O1060" i="3"/>
  <c r="P1060" i="3" s="1"/>
  <c r="Q1060" i="3" s="1"/>
  <c r="O1059" i="3"/>
  <c r="P1059" i="3" s="1"/>
  <c r="Q1059" i="3" s="1"/>
  <c r="O1058" i="3"/>
  <c r="P1058" i="3" s="1"/>
  <c r="Q1058" i="3" s="1"/>
  <c r="O1057" i="3"/>
  <c r="P1057" i="3" s="1"/>
  <c r="Q1057" i="3" s="1"/>
  <c r="P1056" i="3"/>
  <c r="Q1056" i="3" s="1"/>
  <c r="O1056" i="3"/>
  <c r="O1055" i="3"/>
  <c r="P1055" i="3" s="1"/>
  <c r="Q1055" i="3" s="1"/>
  <c r="Q1054" i="3"/>
  <c r="P1054" i="3"/>
  <c r="O1054" i="3"/>
  <c r="P1053" i="3"/>
  <c r="Q1053" i="3" s="1"/>
  <c r="O1053" i="3"/>
  <c r="Q1052" i="3"/>
  <c r="P1052" i="3"/>
  <c r="O1052" i="3"/>
  <c r="P1051" i="3"/>
  <c r="Q1051" i="3" s="1"/>
  <c r="O1051" i="3"/>
  <c r="O1050" i="3"/>
  <c r="P1050" i="3" s="1"/>
  <c r="Q1050" i="3" s="1"/>
  <c r="O1049" i="3"/>
  <c r="P1049" i="3" s="1"/>
  <c r="Q1049" i="3" s="1"/>
  <c r="P1048" i="3"/>
  <c r="Q1048" i="3" s="1"/>
  <c r="O1048" i="3"/>
  <c r="P1047" i="3"/>
  <c r="Q1047" i="3" s="1"/>
  <c r="O1047" i="3"/>
  <c r="Q1046" i="3"/>
  <c r="O1046" i="3"/>
  <c r="P1046" i="3" s="1"/>
  <c r="O1045" i="3"/>
  <c r="P1045" i="3" s="1"/>
  <c r="Q1045" i="3" s="1"/>
  <c r="O1044" i="3"/>
  <c r="P1044" i="3" s="1"/>
  <c r="Q1044" i="3" s="1"/>
  <c r="P1043" i="3"/>
  <c r="Q1043" i="3" s="1"/>
  <c r="O1043" i="3"/>
  <c r="P1042" i="3"/>
  <c r="Q1042" i="3" s="1"/>
  <c r="O1042" i="3"/>
  <c r="O1041" i="3"/>
  <c r="P1041" i="3" s="1"/>
  <c r="Q1041" i="3" s="1"/>
  <c r="P1040" i="3"/>
  <c r="Q1040" i="3" s="1"/>
  <c r="O1040" i="3"/>
  <c r="O1039" i="3"/>
  <c r="P1039" i="3" s="1"/>
  <c r="Q1039" i="3" s="1"/>
  <c r="O1038" i="3"/>
  <c r="P1038" i="3" s="1"/>
  <c r="Q1038" i="3" s="1"/>
  <c r="O1037" i="3"/>
  <c r="P1037" i="3" s="1"/>
  <c r="Q1037" i="3" s="1"/>
  <c r="O1036" i="3"/>
  <c r="P1036" i="3" s="1"/>
  <c r="Q1036" i="3" s="1"/>
  <c r="O1035" i="3"/>
  <c r="P1035" i="3" s="1"/>
  <c r="Q1035" i="3" s="1"/>
  <c r="O1034" i="3"/>
  <c r="P1034" i="3" s="1"/>
  <c r="Q1034" i="3" s="1"/>
  <c r="O1033" i="3"/>
  <c r="P1033" i="3" s="1"/>
  <c r="Q1033" i="3" s="1"/>
  <c r="Q1032" i="3"/>
  <c r="O1032" i="3"/>
  <c r="P1032" i="3" s="1"/>
  <c r="O1031" i="3"/>
  <c r="P1031" i="3" s="1"/>
  <c r="Q1031" i="3" s="1"/>
  <c r="P1030" i="3"/>
  <c r="Q1030" i="3" s="1"/>
  <c r="O1030" i="3"/>
  <c r="O1029" i="3"/>
  <c r="P1029" i="3" s="1"/>
  <c r="Q1029" i="3" s="1"/>
  <c r="O1028" i="3"/>
  <c r="P1028" i="3" s="1"/>
  <c r="Q1028" i="3" s="1"/>
  <c r="Q1027" i="3"/>
  <c r="O1027" i="3"/>
  <c r="P1027" i="3" s="1"/>
  <c r="P1026" i="3"/>
  <c r="Q1026" i="3" s="1"/>
  <c r="O1026" i="3"/>
  <c r="Q1025" i="3"/>
  <c r="P1025" i="3"/>
  <c r="O1025" i="3"/>
  <c r="O1024" i="3"/>
  <c r="P1024" i="3" s="1"/>
  <c r="Q1024" i="3" s="1"/>
  <c r="P1023" i="3"/>
  <c r="Q1023" i="3" s="1"/>
  <c r="O1023" i="3"/>
  <c r="O1022" i="3"/>
  <c r="P1022" i="3" s="1"/>
  <c r="Q1022" i="3" s="1"/>
  <c r="O1021" i="3"/>
  <c r="P1021" i="3" s="1"/>
  <c r="Q1021" i="3" s="1"/>
  <c r="Q1020" i="3"/>
  <c r="P1020" i="3"/>
  <c r="O1020" i="3"/>
  <c r="O1019" i="3"/>
  <c r="P1019" i="3" s="1"/>
  <c r="Q1019" i="3" s="1"/>
  <c r="O1018" i="3"/>
  <c r="P1018" i="3" s="1"/>
  <c r="Q1018" i="3" s="1"/>
  <c r="O1017" i="3"/>
  <c r="P1017" i="3" s="1"/>
  <c r="Q1017" i="3" s="1"/>
  <c r="P1016" i="3"/>
  <c r="Q1016" i="3" s="1"/>
  <c r="O1016" i="3"/>
  <c r="P1015" i="3"/>
  <c r="Q1015" i="3" s="1"/>
  <c r="O1015" i="3"/>
  <c r="O1014" i="3"/>
  <c r="P1014" i="3" s="1"/>
  <c r="Q1014" i="3" s="1"/>
  <c r="P1013" i="3"/>
  <c r="Q1013" i="3" s="1"/>
  <c r="O1013" i="3"/>
  <c r="P1012" i="3"/>
  <c r="Q1012" i="3" s="1"/>
  <c r="O1012" i="3"/>
  <c r="O1011" i="3"/>
  <c r="P1011" i="3" s="1"/>
  <c r="Q1011" i="3" s="1"/>
  <c r="Q1010" i="3"/>
  <c r="P1010" i="3"/>
  <c r="O1010" i="3"/>
  <c r="P1009" i="3"/>
  <c r="Q1009" i="3" s="1"/>
  <c r="O1009" i="3"/>
  <c r="P1008" i="3"/>
  <c r="Q1008" i="3" s="1"/>
  <c r="O1008" i="3"/>
  <c r="O1007" i="3"/>
  <c r="P1007" i="3" s="1"/>
  <c r="Q1007" i="3" s="1"/>
  <c r="O1006" i="3"/>
  <c r="P1006" i="3" s="1"/>
  <c r="Q1006" i="3" s="1"/>
  <c r="Q1005" i="3"/>
  <c r="P1005" i="3"/>
  <c r="O1005" i="3"/>
  <c r="P1004" i="3"/>
  <c r="Q1004" i="3" s="1"/>
  <c r="O1004" i="3"/>
  <c r="P1003" i="3"/>
  <c r="Q1003" i="3" s="1"/>
  <c r="O1003" i="3"/>
  <c r="P1002" i="3"/>
  <c r="Q1002" i="3" s="1"/>
  <c r="O1002" i="3"/>
  <c r="Q1001" i="3"/>
  <c r="O1001" i="3"/>
  <c r="P1001" i="3" s="1"/>
  <c r="Q1000" i="3"/>
  <c r="P1000" i="3"/>
  <c r="O1000" i="3"/>
  <c r="P999" i="3"/>
  <c r="Q999" i="3" s="1"/>
  <c r="O999" i="3"/>
  <c r="P998" i="3"/>
  <c r="Q998" i="3" s="1"/>
  <c r="O998" i="3"/>
  <c r="P997" i="3"/>
  <c r="Q997" i="3" s="1"/>
  <c r="O997" i="3"/>
  <c r="P996" i="3"/>
  <c r="Q996" i="3" s="1"/>
  <c r="O996" i="3"/>
  <c r="O995" i="3"/>
  <c r="P995" i="3" s="1"/>
  <c r="Q995" i="3" s="1"/>
  <c r="O994" i="3"/>
  <c r="P994" i="3" s="1"/>
  <c r="Q994" i="3" s="1"/>
  <c r="Q993" i="3"/>
  <c r="O993" i="3"/>
  <c r="P993" i="3" s="1"/>
  <c r="O992" i="3"/>
  <c r="P992" i="3" s="1"/>
  <c r="Q992" i="3" s="1"/>
  <c r="P991" i="3"/>
  <c r="Q991" i="3" s="1"/>
  <c r="O991" i="3"/>
  <c r="O990" i="3"/>
  <c r="P990" i="3" s="1"/>
  <c r="Q990" i="3" s="1"/>
  <c r="O989" i="3"/>
  <c r="P989" i="3" s="1"/>
  <c r="Q989" i="3" s="1"/>
  <c r="P988" i="3"/>
  <c r="Q988" i="3" s="1"/>
  <c r="O988" i="3"/>
  <c r="Q987" i="3"/>
  <c r="P987" i="3"/>
  <c r="O987" i="3"/>
  <c r="O986" i="3"/>
  <c r="P986" i="3" s="1"/>
  <c r="Q986" i="3" s="1"/>
  <c r="O985" i="3"/>
  <c r="P985" i="3" s="1"/>
  <c r="Q985" i="3" s="1"/>
  <c r="Q984" i="3"/>
  <c r="P984" i="3"/>
  <c r="O984" i="3"/>
  <c r="Q983" i="3"/>
  <c r="O983" i="3"/>
  <c r="P983" i="3" s="1"/>
  <c r="O982" i="3"/>
  <c r="P982" i="3" s="1"/>
  <c r="Q982" i="3" s="1"/>
  <c r="Q981" i="3"/>
  <c r="P981" i="3"/>
  <c r="O981" i="3"/>
  <c r="O980" i="3"/>
  <c r="P980" i="3" s="1"/>
  <c r="Q980" i="3" s="1"/>
  <c r="O979" i="3"/>
  <c r="P979" i="3" s="1"/>
  <c r="Q979" i="3" s="1"/>
  <c r="O978" i="3"/>
  <c r="P978" i="3" s="1"/>
  <c r="Q978" i="3" s="1"/>
  <c r="O977" i="3"/>
  <c r="P977" i="3" s="1"/>
  <c r="Q977" i="3" s="1"/>
  <c r="Q976" i="3"/>
  <c r="P976" i="3"/>
  <c r="O976" i="3"/>
  <c r="O975" i="3"/>
  <c r="P975" i="3" s="1"/>
  <c r="Q975" i="3" s="1"/>
  <c r="O974" i="3"/>
  <c r="P974" i="3" s="1"/>
  <c r="Q974" i="3" s="1"/>
  <c r="O973" i="3"/>
  <c r="P973" i="3" s="1"/>
  <c r="Q973" i="3" s="1"/>
  <c r="P972" i="3"/>
  <c r="Q972" i="3" s="1"/>
  <c r="O972" i="3"/>
  <c r="Q971" i="3"/>
  <c r="P971" i="3"/>
  <c r="O971" i="3"/>
  <c r="P970" i="3"/>
  <c r="Q970" i="3" s="1"/>
  <c r="O970" i="3"/>
  <c r="O969" i="3"/>
  <c r="P969" i="3" s="1"/>
  <c r="Q969" i="3" s="1"/>
  <c r="P968" i="3"/>
  <c r="Q968" i="3" s="1"/>
  <c r="O968" i="3"/>
  <c r="O967" i="3"/>
  <c r="P967" i="3" s="1"/>
  <c r="Q967" i="3" s="1"/>
  <c r="Q966" i="3"/>
  <c r="O966" i="3"/>
  <c r="P966" i="3" s="1"/>
  <c r="O965" i="3"/>
  <c r="P965" i="3" s="1"/>
  <c r="Q965" i="3" s="1"/>
  <c r="O964" i="3"/>
  <c r="P964" i="3" s="1"/>
  <c r="Q964" i="3" s="1"/>
  <c r="O963" i="3"/>
  <c r="P963" i="3" s="1"/>
  <c r="Q963" i="3" s="1"/>
  <c r="O962" i="3"/>
  <c r="P962" i="3" s="1"/>
  <c r="Q962" i="3" s="1"/>
  <c r="O961" i="3"/>
  <c r="P961" i="3" s="1"/>
  <c r="Q961" i="3" s="1"/>
  <c r="O960" i="3"/>
  <c r="P960" i="3" s="1"/>
  <c r="Q960" i="3" s="1"/>
  <c r="P959" i="3"/>
  <c r="Q959" i="3" s="1"/>
  <c r="O959" i="3"/>
  <c r="O958" i="3"/>
  <c r="P958" i="3" s="1"/>
  <c r="Q958" i="3" s="1"/>
  <c r="O957" i="3"/>
  <c r="P957" i="3" s="1"/>
  <c r="Q957" i="3" s="1"/>
  <c r="Q956" i="3"/>
  <c r="P956" i="3"/>
  <c r="O956" i="3"/>
  <c r="O955" i="3"/>
  <c r="P955" i="3" s="1"/>
  <c r="Q955" i="3" s="1"/>
  <c r="P954" i="3"/>
  <c r="Q954" i="3" s="1"/>
  <c r="O954" i="3"/>
  <c r="O953" i="3"/>
  <c r="P953" i="3" s="1"/>
  <c r="Q953" i="3" s="1"/>
  <c r="P952" i="3"/>
  <c r="Q952" i="3" s="1"/>
  <c r="O952" i="3"/>
  <c r="O951" i="3"/>
  <c r="P951" i="3" s="1"/>
  <c r="Q951" i="3" s="1"/>
  <c r="O950" i="3"/>
  <c r="P950" i="3" s="1"/>
  <c r="Q950" i="3" s="1"/>
  <c r="P949" i="3"/>
  <c r="Q949" i="3" s="1"/>
  <c r="O949" i="3"/>
  <c r="Q948" i="3"/>
  <c r="P948" i="3"/>
  <c r="O948" i="3"/>
  <c r="O947" i="3"/>
  <c r="P947" i="3" s="1"/>
  <c r="Q947" i="3" s="1"/>
  <c r="O946" i="3"/>
  <c r="P946" i="3" s="1"/>
  <c r="Q946" i="3" s="1"/>
  <c r="O945" i="3"/>
  <c r="P945" i="3" s="1"/>
  <c r="Q945" i="3" s="1"/>
  <c r="P944" i="3"/>
  <c r="Q944" i="3" s="1"/>
  <c r="O944" i="3"/>
  <c r="O943" i="3"/>
  <c r="P943" i="3" s="1"/>
  <c r="Q943" i="3" s="1"/>
  <c r="P942" i="3"/>
  <c r="Q942" i="3" s="1"/>
  <c r="O942" i="3"/>
  <c r="O941" i="3"/>
  <c r="P941" i="3" s="1"/>
  <c r="Q941" i="3" s="1"/>
  <c r="Q940" i="3"/>
  <c r="P940" i="3"/>
  <c r="O940" i="3"/>
  <c r="O939" i="3"/>
  <c r="P939" i="3" s="1"/>
  <c r="Q939" i="3" s="1"/>
  <c r="Q938" i="3"/>
  <c r="O938" i="3"/>
  <c r="P938" i="3" s="1"/>
  <c r="O937" i="3"/>
  <c r="P937" i="3" s="1"/>
  <c r="Q937" i="3" s="1"/>
  <c r="O936" i="3"/>
  <c r="P936" i="3" s="1"/>
  <c r="Q936" i="3" s="1"/>
  <c r="Q935" i="3"/>
  <c r="O935" i="3"/>
  <c r="P935" i="3" s="1"/>
  <c r="O934" i="3"/>
  <c r="P934" i="3" s="1"/>
  <c r="Q934" i="3" s="1"/>
  <c r="O933" i="3"/>
  <c r="P933" i="3" s="1"/>
  <c r="Q933" i="3" s="1"/>
  <c r="P932" i="3"/>
  <c r="Q932" i="3" s="1"/>
  <c r="O932" i="3"/>
  <c r="O931" i="3"/>
  <c r="P931" i="3" s="1"/>
  <c r="Q931" i="3" s="1"/>
  <c r="P930" i="3"/>
  <c r="Q930" i="3" s="1"/>
  <c r="O930" i="3"/>
  <c r="Q929" i="3"/>
  <c r="O929" i="3"/>
  <c r="P929" i="3" s="1"/>
  <c r="Q928" i="3"/>
  <c r="P928" i="3"/>
  <c r="O928" i="3"/>
  <c r="Q927" i="3"/>
  <c r="P927" i="3"/>
  <c r="O927" i="3"/>
  <c r="O926" i="3"/>
  <c r="P926" i="3" s="1"/>
  <c r="Q926" i="3" s="1"/>
  <c r="O925" i="3"/>
  <c r="P925" i="3" s="1"/>
  <c r="Q925" i="3" s="1"/>
  <c r="O924" i="3"/>
  <c r="P924" i="3" s="1"/>
  <c r="Q924" i="3" s="1"/>
  <c r="Q923" i="3"/>
  <c r="O923" i="3"/>
  <c r="P923" i="3" s="1"/>
  <c r="Q922" i="3"/>
  <c r="P922" i="3"/>
  <c r="O922" i="3"/>
  <c r="O921" i="3"/>
  <c r="P921" i="3" s="1"/>
  <c r="Q921" i="3" s="1"/>
  <c r="O920" i="3"/>
  <c r="P920" i="3" s="1"/>
  <c r="Q920" i="3" s="1"/>
  <c r="O919" i="3"/>
  <c r="P919" i="3" s="1"/>
  <c r="Q919" i="3" s="1"/>
  <c r="O918" i="3"/>
  <c r="P918" i="3" s="1"/>
  <c r="Q918" i="3" s="1"/>
  <c r="Q917" i="3"/>
  <c r="P917" i="3"/>
  <c r="O917" i="3"/>
  <c r="O916" i="3"/>
  <c r="P916" i="3" s="1"/>
  <c r="Q916" i="3" s="1"/>
  <c r="P915" i="3"/>
  <c r="Q915" i="3" s="1"/>
  <c r="O915" i="3"/>
  <c r="P914" i="3"/>
  <c r="Q914" i="3" s="1"/>
  <c r="O914" i="3"/>
  <c r="O913" i="3"/>
  <c r="P913" i="3" s="1"/>
  <c r="Q913" i="3" s="1"/>
  <c r="Q912" i="3"/>
  <c r="P912" i="3"/>
  <c r="O912" i="3"/>
  <c r="P911" i="3"/>
  <c r="Q911" i="3" s="1"/>
  <c r="O911" i="3"/>
  <c r="Q910" i="3"/>
  <c r="P910" i="3"/>
  <c r="O910" i="3"/>
  <c r="O909" i="3"/>
  <c r="P909" i="3" s="1"/>
  <c r="Q909" i="3" s="1"/>
  <c r="O908" i="3"/>
  <c r="P908" i="3" s="1"/>
  <c r="Q908" i="3" s="1"/>
  <c r="O907" i="3"/>
  <c r="P907" i="3" s="1"/>
  <c r="Q907" i="3" s="1"/>
  <c r="O906" i="3"/>
  <c r="P906" i="3" s="1"/>
  <c r="Q906" i="3" s="1"/>
  <c r="O905" i="3"/>
  <c r="P905" i="3" s="1"/>
  <c r="Q905" i="3" s="1"/>
  <c r="P904" i="3"/>
  <c r="Q904" i="3" s="1"/>
  <c r="O904" i="3"/>
  <c r="P903" i="3"/>
  <c r="Q903" i="3" s="1"/>
  <c r="O903" i="3"/>
  <c r="O902" i="3"/>
  <c r="P902" i="3" s="1"/>
  <c r="Q902" i="3" s="1"/>
  <c r="O901" i="3"/>
  <c r="P901" i="3" s="1"/>
  <c r="Q901" i="3" s="1"/>
  <c r="O900" i="3"/>
  <c r="P900" i="3" s="1"/>
  <c r="Q900" i="3" s="1"/>
  <c r="O899" i="3"/>
  <c r="P899" i="3" s="1"/>
  <c r="Q899" i="3" s="1"/>
  <c r="Q898" i="3"/>
  <c r="P898" i="3"/>
  <c r="O898" i="3"/>
  <c r="P897" i="3"/>
  <c r="Q897" i="3" s="1"/>
  <c r="O897" i="3"/>
  <c r="P896" i="3"/>
  <c r="Q896" i="3" s="1"/>
  <c r="O896" i="3"/>
  <c r="P895" i="3"/>
  <c r="Q895" i="3" s="1"/>
  <c r="O895" i="3"/>
  <c r="O894" i="3"/>
  <c r="P894" i="3" s="1"/>
  <c r="Q894" i="3" s="1"/>
  <c r="O893" i="3"/>
  <c r="P893" i="3" s="1"/>
  <c r="Q893" i="3" s="1"/>
  <c r="O892" i="3"/>
  <c r="P892" i="3" s="1"/>
  <c r="Q892" i="3" s="1"/>
  <c r="Q891" i="3"/>
  <c r="O891" i="3"/>
  <c r="P891" i="3" s="1"/>
  <c r="O890" i="3"/>
  <c r="P890" i="3" s="1"/>
  <c r="Q890" i="3" s="1"/>
  <c r="P889" i="3"/>
  <c r="Q889" i="3" s="1"/>
  <c r="O889" i="3"/>
  <c r="O888" i="3"/>
  <c r="P888" i="3" s="1"/>
  <c r="Q888" i="3" s="1"/>
  <c r="O887" i="3"/>
  <c r="P887" i="3" s="1"/>
  <c r="Q887" i="3" s="1"/>
  <c r="O886" i="3"/>
  <c r="P886" i="3" s="1"/>
  <c r="Q886" i="3" s="1"/>
  <c r="Q885" i="3"/>
  <c r="O885" i="3"/>
  <c r="P885" i="3" s="1"/>
  <c r="O884" i="3"/>
  <c r="P884" i="3" s="1"/>
  <c r="Q884" i="3" s="1"/>
  <c r="O883" i="3"/>
  <c r="P883" i="3" s="1"/>
  <c r="Q883" i="3" s="1"/>
  <c r="P882" i="3"/>
  <c r="Q882" i="3" s="1"/>
  <c r="O882" i="3"/>
  <c r="P881" i="3"/>
  <c r="Q881" i="3" s="1"/>
  <c r="O881" i="3"/>
  <c r="P880" i="3"/>
  <c r="Q880" i="3" s="1"/>
  <c r="O880" i="3"/>
  <c r="O879" i="3"/>
  <c r="P879" i="3" s="1"/>
  <c r="Q879" i="3" s="1"/>
  <c r="O878" i="3"/>
  <c r="P878" i="3" s="1"/>
  <c r="Q878" i="3" s="1"/>
  <c r="Q877" i="3"/>
  <c r="O877" i="3"/>
  <c r="P877" i="3" s="1"/>
  <c r="O876" i="3"/>
  <c r="P876" i="3" s="1"/>
  <c r="Q876" i="3" s="1"/>
  <c r="P875" i="3"/>
  <c r="Q875" i="3" s="1"/>
  <c r="O875" i="3"/>
  <c r="O874" i="3"/>
  <c r="P874" i="3" s="1"/>
  <c r="Q874" i="3" s="1"/>
  <c r="O873" i="3"/>
  <c r="P873" i="3" s="1"/>
  <c r="Q873" i="3" s="1"/>
  <c r="P872" i="3"/>
  <c r="Q872" i="3" s="1"/>
  <c r="O872" i="3"/>
  <c r="O871" i="3"/>
  <c r="P871" i="3" s="1"/>
  <c r="Q871" i="3" s="1"/>
  <c r="O870" i="3"/>
  <c r="P870" i="3" s="1"/>
  <c r="Q870" i="3" s="1"/>
  <c r="P869" i="3"/>
  <c r="Q869" i="3" s="1"/>
  <c r="O869" i="3"/>
  <c r="Q868" i="3"/>
  <c r="P868" i="3"/>
  <c r="O868" i="3"/>
  <c r="O867" i="3"/>
  <c r="P867" i="3" s="1"/>
  <c r="Q867" i="3" s="1"/>
  <c r="P866" i="3"/>
  <c r="Q866" i="3" s="1"/>
  <c r="O866" i="3"/>
  <c r="O865" i="3"/>
  <c r="P865" i="3" s="1"/>
  <c r="Q865" i="3" s="1"/>
  <c r="O864" i="3"/>
  <c r="P864" i="3" s="1"/>
  <c r="Q864" i="3" s="1"/>
  <c r="O863" i="3"/>
  <c r="P863" i="3" s="1"/>
  <c r="Q863" i="3" s="1"/>
  <c r="O862" i="3"/>
  <c r="P862" i="3" s="1"/>
  <c r="Q862" i="3" s="1"/>
  <c r="P861" i="3"/>
  <c r="Q861" i="3" s="1"/>
  <c r="O861" i="3"/>
  <c r="O860" i="3"/>
  <c r="P860" i="3" s="1"/>
  <c r="Q860" i="3" s="1"/>
  <c r="O859" i="3"/>
  <c r="P859" i="3" s="1"/>
  <c r="Q859" i="3" s="1"/>
  <c r="O858" i="3"/>
  <c r="P858" i="3" s="1"/>
  <c r="Q858" i="3" s="1"/>
  <c r="Q857" i="3"/>
  <c r="P857" i="3"/>
  <c r="O857" i="3"/>
  <c r="O856" i="3"/>
  <c r="P856" i="3" s="1"/>
  <c r="Q856" i="3" s="1"/>
  <c r="O855" i="3"/>
  <c r="P855" i="3" s="1"/>
  <c r="Q855" i="3" s="1"/>
  <c r="P854" i="3"/>
  <c r="Q854" i="3" s="1"/>
  <c r="O854" i="3"/>
  <c r="O853" i="3"/>
  <c r="P853" i="3" s="1"/>
  <c r="Q853" i="3" s="1"/>
  <c r="O852" i="3"/>
  <c r="P852" i="3" s="1"/>
  <c r="Q852" i="3" s="1"/>
  <c r="O851" i="3"/>
  <c r="P851" i="3" s="1"/>
  <c r="Q851" i="3" s="1"/>
  <c r="O850" i="3"/>
  <c r="P850" i="3" s="1"/>
  <c r="Q850" i="3" s="1"/>
  <c r="O849" i="3"/>
  <c r="P849" i="3" s="1"/>
  <c r="Q849" i="3" s="1"/>
  <c r="Q848" i="3"/>
  <c r="O848" i="3"/>
  <c r="P848" i="3" s="1"/>
  <c r="Q847" i="3"/>
  <c r="P847" i="3"/>
  <c r="O847" i="3"/>
  <c r="O846" i="3"/>
  <c r="P846" i="3" s="1"/>
  <c r="Q846" i="3" s="1"/>
  <c r="P845" i="3"/>
  <c r="Q845" i="3" s="1"/>
  <c r="O845" i="3"/>
  <c r="O844" i="3"/>
  <c r="P844" i="3" s="1"/>
  <c r="Q844" i="3" s="1"/>
  <c r="O843" i="3"/>
  <c r="P843" i="3" s="1"/>
  <c r="Q843" i="3" s="1"/>
  <c r="O842" i="3"/>
  <c r="P842" i="3" s="1"/>
  <c r="Q842" i="3" s="1"/>
  <c r="P841" i="3"/>
  <c r="Q841" i="3" s="1"/>
  <c r="O841" i="3"/>
  <c r="Q840" i="3"/>
  <c r="P840" i="3"/>
  <c r="O840" i="3"/>
  <c r="O839" i="3"/>
  <c r="P839" i="3" s="1"/>
  <c r="Q839" i="3" s="1"/>
  <c r="P838" i="3"/>
  <c r="Q838" i="3" s="1"/>
  <c r="O838" i="3"/>
  <c r="O837" i="3"/>
  <c r="P837" i="3" s="1"/>
  <c r="Q837" i="3" s="1"/>
  <c r="O836" i="3"/>
  <c r="P836" i="3" s="1"/>
  <c r="Q836" i="3" s="1"/>
  <c r="O835" i="3"/>
  <c r="P835" i="3" s="1"/>
  <c r="Q835" i="3" s="1"/>
  <c r="O834" i="3"/>
  <c r="P834" i="3" s="1"/>
  <c r="Q834" i="3" s="1"/>
  <c r="P833" i="3"/>
  <c r="Q833" i="3" s="1"/>
  <c r="O833" i="3"/>
  <c r="O832" i="3"/>
  <c r="P832" i="3" s="1"/>
  <c r="Q832" i="3" s="1"/>
  <c r="P831" i="3"/>
  <c r="Q831" i="3" s="1"/>
  <c r="O831" i="3"/>
  <c r="P830" i="3"/>
  <c r="Q830" i="3" s="1"/>
  <c r="O830" i="3"/>
  <c r="O829" i="3"/>
  <c r="P829" i="3" s="1"/>
  <c r="Q829" i="3" s="1"/>
  <c r="Q828" i="3"/>
  <c r="O828" i="3"/>
  <c r="P828" i="3" s="1"/>
  <c r="O827" i="3"/>
  <c r="P827" i="3" s="1"/>
  <c r="Q827" i="3" s="1"/>
  <c r="P826" i="3"/>
  <c r="Q826" i="3" s="1"/>
  <c r="O826" i="3"/>
  <c r="O825" i="3"/>
  <c r="P825" i="3" s="1"/>
  <c r="Q825" i="3" s="1"/>
  <c r="O824" i="3"/>
  <c r="P824" i="3" s="1"/>
  <c r="Q824" i="3" s="1"/>
  <c r="O823" i="3"/>
  <c r="P823" i="3" s="1"/>
  <c r="Q823" i="3" s="1"/>
  <c r="Q822" i="3"/>
  <c r="P822" i="3"/>
  <c r="O822" i="3"/>
  <c r="O821" i="3"/>
  <c r="P821" i="3" s="1"/>
  <c r="Q821" i="3" s="1"/>
  <c r="P820" i="3"/>
  <c r="Q820" i="3" s="1"/>
  <c r="O820" i="3"/>
  <c r="P819" i="3"/>
  <c r="Q819" i="3" s="1"/>
  <c r="O819" i="3"/>
  <c r="O818" i="3"/>
  <c r="P818" i="3" s="1"/>
  <c r="Q818" i="3" s="1"/>
  <c r="O817" i="3"/>
  <c r="P817" i="3" s="1"/>
  <c r="Q817" i="3" s="1"/>
  <c r="P816" i="3"/>
  <c r="Q816" i="3" s="1"/>
  <c r="O816" i="3"/>
  <c r="O815" i="3"/>
  <c r="P815" i="3" s="1"/>
  <c r="Q815" i="3" s="1"/>
  <c r="O814" i="3"/>
  <c r="P814" i="3" s="1"/>
  <c r="Q814" i="3" s="1"/>
  <c r="O813" i="3"/>
  <c r="P813" i="3" s="1"/>
  <c r="Q813" i="3" s="1"/>
  <c r="Q812" i="3"/>
  <c r="P812" i="3"/>
  <c r="O812" i="3"/>
  <c r="O811" i="3"/>
  <c r="P811" i="3" s="1"/>
  <c r="Q811" i="3" s="1"/>
  <c r="O810" i="3"/>
  <c r="P810" i="3" s="1"/>
  <c r="Q810" i="3" s="1"/>
  <c r="O809" i="3"/>
  <c r="P809" i="3" s="1"/>
  <c r="Q809" i="3" s="1"/>
  <c r="P808" i="3"/>
  <c r="Q808" i="3" s="1"/>
  <c r="O808" i="3"/>
  <c r="Q807" i="3"/>
  <c r="O807" i="3"/>
  <c r="P807" i="3" s="1"/>
  <c r="P806" i="3"/>
  <c r="Q806" i="3" s="1"/>
  <c r="O806" i="3"/>
  <c r="Q805" i="3"/>
  <c r="P805" i="3"/>
  <c r="O805" i="3"/>
  <c r="O804" i="3"/>
  <c r="P804" i="3" s="1"/>
  <c r="Q804" i="3" s="1"/>
  <c r="O803" i="3"/>
  <c r="P803" i="3" s="1"/>
  <c r="Q803" i="3" s="1"/>
  <c r="P802" i="3"/>
  <c r="Q802" i="3" s="1"/>
  <c r="O802" i="3"/>
  <c r="O801" i="3"/>
  <c r="P801" i="3" s="1"/>
  <c r="Q801" i="3" s="1"/>
  <c r="O800" i="3"/>
  <c r="P800" i="3" s="1"/>
  <c r="Q800" i="3" s="1"/>
  <c r="O799" i="3"/>
  <c r="P799" i="3" s="1"/>
  <c r="Q799" i="3" s="1"/>
  <c r="P798" i="3"/>
  <c r="Q798" i="3" s="1"/>
  <c r="O798" i="3"/>
  <c r="O797" i="3"/>
  <c r="P797" i="3" s="1"/>
  <c r="Q797" i="3" s="1"/>
  <c r="O796" i="3"/>
  <c r="P796" i="3" s="1"/>
  <c r="Q796" i="3" s="1"/>
  <c r="O795" i="3"/>
  <c r="P795" i="3" s="1"/>
  <c r="Q795" i="3" s="1"/>
  <c r="P794" i="3"/>
  <c r="Q794" i="3" s="1"/>
  <c r="O794" i="3"/>
  <c r="Q793" i="3"/>
  <c r="O793" i="3"/>
  <c r="P793" i="3" s="1"/>
  <c r="O792" i="3"/>
  <c r="P792" i="3" s="1"/>
  <c r="Q792" i="3" s="1"/>
  <c r="P791" i="3"/>
  <c r="Q791" i="3" s="1"/>
  <c r="O791" i="3"/>
  <c r="O790" i="3"/>
  <c r="P790" i="3" s="1"/>
  <c r="Q790" i="3" s="1"/>
  <c r="O789" i="3"/>
  <c r="P789" i="3" s="1"/>
  <c r="Q789" i="3" s="1"/>
  <c r="P788" i="3"/>
  <c r="Q788" i="3" s="1"/>
  <c r="O788" i="3"/>
  <c r="Q787" i="3"/>
  <c r="O787" i="3"/>
  <c r="P787" i="3" s="1"/>
  <c r="O786" i="3"/>
  <c r="P786" i="3" s="1"/>
  <c r="Q786" i="3" s="1"/>
  <c r="O785" i="3"/>
  <c r="P785" i="3" s="1"/>
  <c r="Q785" i="3" s="1"/>
  <c r="P784" i="3"/>
  <c r="Q784" i="3" s="1"/>
  <c r="O784" i="3"/>
  <c r="O783" i="3"/>
  <c r="P783" i="3" s="1"/>
  <c r="Q783" i="3" s="1"/>
  <c r="P782" i="3"/>
  <c r="Q782" i="3" s="1"/>
  <c r="O782" i="3"/>
  <c r="O781" i="3"/>
  <c r="P781" i="3" s="1"/>
  <c r="Q781" i="3" s="1"/>
  <c r="P780" i="3"/>
  <c r="Q780" i="3" s="1"/>
  <c r="O780" i="3"/>
  <c r="Q779" i="3"/>
  <c r="O779" i="3"/>
  <c r="P779" i="3" s="1"/>
  <c r="O778" i="3"/>
  <c r="P778" i="3" s="1"/>
  <c r="Q778" i="3" s="1"/>
  <c r="O777" i="3"/>
  <c r="P777" i="3" s="1"/>
  <c r="Q777" i="3" s="1"/>
  <c r="O776" i="3"/>
  <c r="P776" i="3" s="1"/>
  <c r="Q776" i="3" s="1"/>
  <c r="O775" i="3"/>
  <c r="P775" i="3" s="1"/>
  <c r="Q775" i="3" s="1"/>
  <c r="P774" i="3"/>
  <c r="Q774" i="3" s="1"/>
  <c r="O774" i="3"/>
  <c r="O773" i="3"/>
  <c r="P773" i="3" s="1"/>
  <c r="Q773" i="3" s="1"/>
  <c r="O772" i="3"/>
  <c r="P772" i="3" s="1"/>
  <c r="Q772" i="3" s="1"/>
  <c r="O771" i="3"/>
  <c r="P771" i="3" s="1"/>
  <c r="Q771" i="3" s="1"/>
  <c r="P770" i="3"/>
  <c r="Q770" i="3" s="1"/>
  <c r="O770" i="3"/>
  <c r="O769" i="3"/>
  <c r="P769" i="3" s="1"/>
  <c r="Q769" i="3" s="1"/>
  <c r="O768" i="3"/>
  <c r="P768" i="3" s="1"/>
  <c r="Q768" i="3" s="1"/>
  <c r="P767" i="3"/>
  <c r="Q767" i="3" s="1"/>
  <c r="O767" i="3"/>
  <c r="O766" i="3"/>
  <c r="P766" i="3" s="1"/>
  <c r="Q766" i="3" s="1"/>
  <c r="Q765" i="3"/>
  <c r="O765" i="3"/>
  <c r="P765" i="3" s="1"/>
  <c r="O764" i="3"/>
  <c r="P764" i="3" s="1"/>
  <c r="Q764" i="3" s="1"/>
  <c r="P763" i="3"/>
  <c r="Q763" i="3" s="1"/>
  <c r="O763" i="3"/>
  <c r="O762" i="3"/>
  <c r="P762" i="3" s="1"/>
  <c r="Q762" i="3" s="1"/>
  <c r="O761" i="3"/>
  <c r="P761" i="3" s="1"/>
  <c r="Q761" i="3" s="1"/>
  <c r="P760" i="3"/>
  <c r="Q760" i="3" s="1"/>
  <c r="O760" i="3"/>
  <c r="O759" i="3"/>
  <c r="P759" i="3" s="1"/>
  <c r="Q759" i="3" s="1"/>
  <c r="P758" i="3"/>
  <c r="Q758" i="3" s="1"/>
  <c r="O758" i="3"/>
  <c r="O757" i="3"/>
  <c r="P757" i="3" s="1"/>
  <c r="Q757" i="3" s="1"/>
  <c r="P756" i="3"/>
  <c r="Q756" i="3" s="1"/>
  <c r="O756" i="3"/>
  <c r="O755" i="3"/>
  <c r="P755" i="3" s="1"/>
  <c r="Q755" i="3" s="1"/>
  <c r="O754" i="3"/>
  <c r="P754" i="3" s="1"/>
  <c r="Q754" i="3" s="1"/>
  <c r="O753" i="3"/>
  <c r="P753" i="3" s="1"/>
  <c r="Q753" i="3" s="1"/>
  <c r="P752" i="3"/>
  <c r="Q752" i="3" s="1"/>
  <c r="O752" i="3"/>
  <c r="O751" i="3"/>
  <c r="P751" i="3" s="1"/>
  <c r="Q751" i="3" s="1"/>
  <c r="O750" i="3"/>
  <c r="P750" i="3" s="1"/>
  <c r="Q750" i="3" s="1"/>
  <c r="O749" i="3"/>
  <c r="P749" i="3" s="1"/>
  <c r="Q749" i="3" s="1"/>
  <c r="O748" i="3"/>
  <c r="P748" i="3" s="1"/>
  <c r="Q748" i="3" s="1"/>
  <c r="Q747" i="3"/>
  <c r="P747" i="3"/>
  <c r="O747" i="3"/>
  <c r="O746" i="3"/>
  <c r="P746" i="3" s="1"/>
  <c r="Q746" i="3" s="1"/>
  <c r="O745" i="3"/>
  <c r="P745" i="3" s="1"/>
  <c r="Q745" i="3" s="1"/>
  <c r="O744" i="3"/>
  <c r="P744" i="3" s="1"/>
  <c r="Q744" i="3" s="1"/>
  <c r="P743" i="3"/>
  <c r="Q743" i="3" s="1"/>
  <c r="O743" i="3"/>
  <c r="P742" i="3"/>
  <c r="Q742" i="3" s="1"/>
  <c r="O742" i="3"/>
  <c r="O741" i="3"/>
  <c r="P741" i="3" s="1"/>
  <c r="Q741" i="3" s="1"/>
  <c r="Q740" i="3"/>
  <c r="P740" i="3"/>
  <c r="O740" i="3"/>
  <c r="P739" i="3"/>
  <c r="Q739" i="3" s="1"/>
  <c r="O739" i="3"/>
  <c r="O738" i="3"/>
  <c r="P738" i="3" s="1"/>
  <c r="Q738" i="3" s="1"/>
  <c r="Q737" i="3"/>
  <c r="O737" i="3"/>
  <c r="P737" i="3" s="1"/>
  <c r="O736" i="3"/>
  <c r="P736" i="3" s="1"/>
  <c r="Q736" i="3" s="1"/>
  <c r="P735" i="3"/>
  <c r="Q735" i="3" s="1"/>
  <c r="O735" i="3"/>
  <c r="P734" i="3"/>
  <c r="Q734" i="3" s="1"/>
  <c r="O734" i="3"/>
  <c r="O733" i="3"/>
  <c r="P733" i="3" s="1"/>
  <c r="Q733" i="3" s="1"/>
  <c r="P732" i="3"/>
  <c r="Q732" i="3" s="1"/>
  <c r="O732" i="3"/>
  <c r="O731" i="3"/>
  <c r="P731" i="3" s="1"/>
  <c r="Q731" i="3" s="1"/>
  <c r="P730" i="3"/>
  <c r="Q730" i="3" s="1"/>
  <c r="O730" i="3"/>
  <c r="Q729" i="3"/>
  <c r="O729" i="3"/>
  <c r="P729" i="3" s="1"/>
  <c r="P728" i="3"/>
  <c r="Q728" i="3" s="1"/>
  <c r="O728" i="3"/>
  <c r="O727" i="3"/>
  <c r="P727" i="3" s="1"/>
  <c r="Q727" i="3" s="1"/>
  <c r="O726" i="3"/>
  <c r="P726" i="3" s="1"/>
  <c r="Q726" i="3" s="1"/>
  <c r="O725" i="3"/>
  <c r="P725" i="3" s="1"/>
  <c r="Q725" i="3" s="1"/>
  <c r="O724" i="3"/>
  <c r="P724" i="3" s="1"/>
  <c r="Q724" i="3" s="1"/>
  <c r="O723" i="3"/>
  <c r="P723" i="3" s="1"/>
  <c r="Q723" i="3" s="1"/>
  <c r="Q722" i="3"/>
  <c r="O722" i="3"/>
  <c r="P722" i="3" s="1"/>
  <c r="P721" i="3"/>
  <c r="Q721" i="3" s="1"/>
  <c r="O721" i="3"/>
  <c r="Q720" i="3"/>
  <c r="O720" i="3"/>
  <c r="P720" i="3" s="1"/>
  <c r="O719" i="3"/>
  <c r="P719" i="3" s="1"/>
  <c r="Q719" i="3" s="1"/>
  <c r="O718" i="3"/>
  <c r="P718" i="3" s="1"/>
  <c r="Q718" i="3" s="1"/>
  <c r="O717" i="3"/>
  <c r="P717" i="3" s="1"/>
  <c r="Q717" i="3" s="1"/>
  <c r="O716" i="3"/>
  <c r="P716" i="3" s="1"/>
  <c r="Q716" i="3" s="1"/>
  <c r="Q715" i="3"/>
  <c r="O715" i="3"/>
  <c r="P715" i="3" s="1"/>
  <c r="P714" i="3"/>
  <c r="Q714" i="3" s="1"/>
  <c r="O714" i="3"/>
  <c r="O713" i="3"/>
  <c r="P713" i="3" s="1"/>
  <c r="Q713" i="3" s="1"/>
  <c r="O712" i="3"/>
  <c r="P712" i="3" s="1"/>
  <c r="Q712" i="3" s="1"/>
  <c r="Q711" i="3"/>
  <c r="P711" i="3"/>
  <c r="O711" i="3"/>
  <c r="O710" i="3"/>
  <c r="P710" i="3" s="1"/>
  <c r="Q710" i="3" s="1"/>
  <c r="O709" i="3"/>
  <c r="P709" i="3" s="1"/>
  <c r="Q709" i="3" s="1"/>
  <c r="P708" i="3"/>
  <c r="Q708" i="3" s="1"/>
  <c r="O708" i="3"/>
  <c r="O707" i="3"/>
  <c r="P707" i="3" s="1"/>
  <c r="Q707" i="3" s="1"/>
  <c r="O706" i="3"/>
  <c r="P706" i="3" s="1"/>
  <c r="Q706" i="3" s="1"/>
  <c r="P705" i="3"/>
  <c r="Q705" i="3" s="1"/>
  <c r="O705" i="3"/>
  <c r="O704" i="3"/>
  <c r="P704" i="3" s="1"/>
  <c r="Q704" i="3" s="1"/>
  <c r="O703" i="3"/>
  <c r="P703" i="3" s="1"/>
  <c r="Q703" i="3" s="1"/>
  <c r="O702" i="3"/>
  <c r="P702" i="3" s="1"/>
  <c r="Q702" i="3" s="1"/>
  <c r="O701" i="3"/>
  <c r="P701" i="3" s="1"/>
  <c r="Q701" i="3" s="1"/>
  <c r="P700" i="3"/>
  <c r="Q700" i="3" s="1"/>
  <c r="O700" i="3"/>
  <c r="Q699" i="3"/>
  <c r="P699" i="3"/>
  <c r="O699" i="3"/>
  <c r="Q698" i="3"/>
  <c r="P698" i="3"/>
  <c r="O698" i="3"/>
  <c r="O697" i="3"/>
  <c r="P697" i="3" s="1"/>
  <c r="Q697" i="3" s="1"/>
  <c r="Q696" i="3"/>
  <c r="P696" i="3"/>
  <c r="O696" i="3"/>
  <c r="O695" i="3"/>
  <c r="P695" i="3" s="1"/>
  <c r="Q695" i="3" s="1"/>
  <c r="O694" i="3"/>
  <c r="P694" i="3" s="1"/>
  <c r="Q694" i="3" s="1"/>
  <c r="P693" i="3"/>
  <c r="Q693" i="3" s="1"/>
  <c r="O693" i="3"/>
  <c r="O692" i="3"/>
  <c r="P692" i="3" s="1"/>
  <c r="Q692" i="3" s="1"/>
  <c r="P691" i="3"/>
  <c r="Q691" i="3" s="1"/>
  <c r="O691" i="3"/>
  <c r="O690" i="3"/>
  <c r="P690" i="3" s="1"/>
  <c r="Q690" i="3" s="1"/>
  <c r="P689" i="3"/>
  <c r="Q689" i="3" s="1"/>
  <c r="O689" i="3"/>
  <c r="P688" i="3"/>
  <c r="Q688" i="3" s="1"/>
  <c r="O688" i="3"/>
  <c r="O687" i="3"/>
  <c r="P687" i="3" s="1"/>
  <c r="Q687" i="3" s="1"/>
  <c r="P686" i="3"/>
  <c r="Q686" i="3" s="1"/>
  <c r="O686" i="3"/>
  <c r="P685" i="3"/>
  <c r="Q685" i="3" s="1"/>
  <c r="O685" i="3"/>
  <c r="O684" i="3"/>
  <c r="P684" i="3" s="1"/>
  <c r="Q684" i="3" s="1"/>
  <c r="O683" i="3"/>
  <c r="P683" i="3" s="1"/>
  <c r="Q683" i="3" s="1"/>
  <c r="O682" i="3"/>
  <c r="P682" i="3" s="1"/>
  <c r="Q682" i="3" s="1"/>
  <c r="Q681" i="3"/>
  <c r="O681" i="3"/>
  <c r="P681" i="3" s="1"/>
  <c r="O680" i="3"/>
  <c r="P680" i="3" s="1"/>
  <c r="Q680" i="3" s="1"/>
  <c r="O679" i="3"/>
  <c r="P679" i="3" s="1"/>
  <c r="Q679" i="3" s="1"/>
  <c r="O678" i="3"/>
  <c r="P678" i="3" s="1"/>
  <c r="Q678" i="3" s="1"/>
  <c r="O677" i="3"/>
  <c r="P677" i="3" s="1"/>
  <c r="Q677" i="3" s="1"/>
  <c r="P676" i="3"/>
  <c r="Q676" i="3" s="1"/>
  <c r="O676" i="3"/>
  <c r="O675" i="3"/>
  <c r="P675" i="3" s="1"/>
  <c r="Q675" i="3" s="1"/>
  <c r="O674" i="3"/>
  <c r="P674" i="3" s="1"/>
  <c r="Q674" i="3" s="1"/>
  <c r="O673" i="3"/>
  <c r="P673" i="3" s="1"/>
  <c r="Q673" i="3" s="1"/>
  <c r="P672" i="3"/>
  <c r="Q672" i="3" s="1"/>
  <c r="O672" i="3"/>
  <c r="O671" i="3"/>
  <c r="P671" i="3" s="1"/>
  <c r="Q671" i="3" s="1"/>
  <c r="P670" i="3"/>
  <c r="Q670" i="3" s="1"/>
  <c r="O670" i="3"/>
  <c r="O669" i="3"/>
  <c r="P669" i="3" s="1"/>
  <c r="Q669" i="3" s="1"/>
  <c r="O668" i="3"/>
  <c r="P668" i="3" s="1"/>
  <c r="Q668" i="3" s="1"/>
  <c r="Q667" i="3"/>
  <c r="O667" i="3"/>
  <c r="P667" i="3" s="1"/>
  <c r="Q666" i="3"/>
  <c r="O666" i="3"/>
  <c r="P666" i="3" s="1"/>
  <c r="O665" i="3"/>
  <c r="P665" i="3" s="1"/>
  <c r="Q665" i="3" s="1"/>
  <c r="O664" i="3"/>
  <c r="P664" i="3" s="1"/>
  <c r="Q664" i="3" s="1"/>
  <c r="O663" i="3"/>
  <c r="P663" i="3" s="1"/>
  <c r="Q663" i="3" s="1"/>
  <c r="O662" i="3"/>
  <c r="P662" i="3" s="1"/>
  <c r="Q662" i="3" s="1"/>
  <c r="O661" i="3"/>
  <c r="P661" i="3" s="1"/>
  <c r="Q661" i="3" s="1"/>
  <c r="P660" i="3"/>
  <c r="Q660" i="3" s="1"/>
  <c r="O660" i="3"/>
  <c r="O659" i="3"/>
  <c r="P659" i="3" s="1"/>
  <c r="Q659" i="3" s="1"/>
  <c r="P658" i="3"/>
  <c r="Q658" i="3" s="1"/>
  <c r="O658" i="3"/>
  <c r="O657" i="3"/>
  <c r="P657" i="3" s="1"/>
  <c r="Q657" i="3" s="1"/>
  <c r="O656" i="3"/>
  <c r="P656" i="3" s="1"/>
  <c r="Q656" i="3" s="1"/>
  <c r="O655" i="3"/>
  <c r="P655" i="3" s="1"/>
  <c r="Q655" i="3" s="1"/>
  <c r="P654" i="3"/>
  <c r="Q654" i="3" s="1"/>
  <c r="O654" i="3"/>
  <c r="O653" i="3"/>
  <c r="P653" i="3" s="1"/>
  <c r="Q653" i="3" s="1"/>
  <c r="O652" i="3"/>
  <c r="P652" i="3" s="1"/>
  <c r="Q652" i="3" s="1"/>
  <c r="O651" i="3"/>
  <c r="P651" i="3" s="1"/>
  <c r="Q651" i="3" s="1"/>
  <c r="O650" i="3"/>
  <c r="P650" i="3" s="1"/>
  <c r="Q650" i="3" s="1"/>
  <c r="P649" i="3"/>
  <c r="Q649" i="3" s="1"/>
  <c r="O649" i="3"/>
  <c r="O648" i="3"/>
  <c r="P648" i="3" s="1"/>
  <c r="Q648" i="3" s="1"/>
  <c r="O647" i="3"/>
  <c r="P647" i="3" s="1"/>
  <c r="Q647" i="3" s="1"/>
  <c r="O646" i="3"/>
  <c r="P646" i="3" s="1"/>
  <c r="Q646" i="3" s="1"/>
  <c r="O645" i="3"/>
  <c r="P645" i="3" s="1"/>
  <c r="Q645" i="3" s="1"/>
  <c r="P644" i="3"/>
  <c r="Q644" i="3" s="1"/>
  <c r="O644" i="3"/>
  <c r="O643" i="3"/>
  <c r="P643" i="3" s="1"/>
  <c r="Q643" i="3" s="1"/>
  <c r="P642" i="3"/>
  <c r="Q642" i="3" s="1"/>
  <c r="O642" i="3"/>
  <c r="O641" i="3"/>
  <c r="P641" i="3" s="1"/>
  <c r="Q641" i="3" s="1"/>
  <c r="O640" i="3"/>
  <c r="P640" i="3" s="1"/>
  <c r="Q640" i="3" s="1"/>
  <c r="Q639" i="3"/>
  <c r="O639" i="3"/>
  <c r="P639" i="3" s="1"/>
  <c r="O638" i="3"/>
  <c r="P638" i="3" s="1"/>
  <c r="Q638" i="3" s="1"/>
  <c r="P637" i="3"/>
  <c r="Q637" i="3" s="1"/>
  <c r="O637" i="3"/>
  <c r="O636" i="3"/>
  <c r="P636" i="3" s="1"/>
  <c r="Q636" i="3" s="1"/>
  <c r="O635" i="3"/>
  <c r="P635" i="3" s="1"/>
  <c r="Q635" i="3" s="1"/>
  <c r="P634" i="3"/>
  <c r="Q634" i="3" s="1"/>
  <c r="O634" i="3"/>
  <c r="O633" i="3"/>
  <c r="P633" i="3" s="1"/>
  <c r="Q633" i="3" s="1"/>
  <c r="P632" i="3"/>
  <c r="Q632" i="3" s="1"/>
  <c r="O632" i="3"/>
  <c r="O631" i="3"/>
  <c r="P631" i="3" s="1"/>
  <c r="Q631" i="3" s="1"/>
  <c r="P630" i="3"/>
  <c r="Q630" i="3" s="1"/>
  <c r="O630" i="3"/>
  <c r="O629" i="3"/>
  <c r="P629" i="3" s="1"/>
  <c r="Q629" i="3" s="1"/>
  <c r="O628" i="3"/>
  <c r="P628" i="3" s="1"/>
  <c r="Q628" i="3" s="1"/>
  <c r="Q627" i="3"/>
  <c r="O627" i="3"/>
  <c r="P627" i="3" s="1"/>
  <c r="Q626" i="3"/>
  <c r="O626" i="3"/>
  <c r="P626" i="3" s="1"/>
  <c r="O625" i="3"/>
  <c r="P625" i="3" s="1"/>
  <c r="Q625" i="3" s="1"/>
  <c r="O624" i="3"/>
  <c r="P624" i="3" s="1"/>
  <c r="Q624" i="3" s="1"/>
  <c r="P623" i="3"/>
  <c r="Q623" i="3" s="1"/>
  <c r="O623" i="3"/>
  <c r="O622" i="3"/>
  <c r="P622" i="3" s="1"/>
  <c r="Q622" i="3" s="1"/>
  <c r="O621" i="3"/>
  <c r="P621" i="3" s="1"/>
  <c r="Q621" i="3" s="1"/>
  <c r="P620" i="3"/>
  <c r="Q620" i="3" s="1"/>
  <c r="O620" i="3"/>
  <c r="Q619" i="3"/>
  <c r="O619" i="3"/>
  <c r="P619" i="3" s="1"/>
  <c r="P618" i="3"/>
  <c r="Q618" i="3" s="1"/>
  <c r="O618" i="3"/>
  <c r="O617" i="3"/>
  <c r="P617" i="3" s="1"/>
  <c r="Q617" i="3" s="1"/>
  <c r="Q616" i="3"/>
  <c r="P616" i="3"/>
  <c r="O616" i="3"/>
  <c r="O615" i="3"/>
  <c r="P615" i="3" s="1"/>
  <c r="Q615" i="3" s="1"/>
  <c r="O614" i="3"/>
  <c r="P614" i="3" s="1"/>
  <c r="Q614" i="3" s="1"/>
  <c r="P613" i="3"/>
  <c r="Q613" i="3" s="1"/>
  <c r="O613" i="3"/>
  <c r="P612" i="3"/>
  <c r="Q612" i="3" s="1"/>
  <c r="O612" i="3"/>
  <c r="O611" i="3"/>
  <c r="P611" i="3" s="1"/>
  <c r="Q611" i="3" s="1"/>
  <c r="P610" i="3"/>
  <c r="Q610" i="3" s="1"/>
  <c r="O610" i="3"/>
  <c r="O609" i="3"/>
  <c r="P609" i="3" s="1"/>
  <c r="Q609" i="3" s="1"/>
  <c r="O608" i="3"/>
  <c r="P608" i="3" s="1"/>
  <c r="Q608" i="3" s="1"/>
  <c r="O607" i="3"/>
  <c r="P607" i="3" s="1"/>
  <c r="Q607" i="3" s="1"/>
  <c r="O606" i="3"/>
  <c r="P606" i="3" s="1"/>
  <c r="Q606" i="3" s="1"/>
  <c r="O605" i="3"/>
  <c r="P605" i="3" s="1"/>
  <c r="Q605" i="3" s="1"/>
  <c r="O604" i="3"/>
  <c r="P604" i="3" s="1"/>
  <c r="Q604" i="3" s="1"/>
  <c r="O603" i="3"/>
  <c r="P603" i="3" s="1"/>
  <c r="Q603" i="3" s="1"/>
  <c r="P602" i="3"/>
  <c r="Q602" i="3" s="1"/>
  <c r="O602" i="3"/>
  <c r="Q601" i="3"/>
  <c r="O601" i="3"/>
  <c r="P601" i="3" s="1"/>
  <c r="P600" i="3"/>
  <c r="Q600" i="3" s="1"/>
  <c r="O600" i="3"/>
  <c r="O599" i="3"/>
  <c r="P599" i="3" s="1"/>
  <c r="Q599" i="3" s="1"/>
  <c r="P598" i="3"/>
  <c r="Q598" i="3" s="1"/>
  <c r="O598" i="3"/>
  <c r="Q597" i="3"/>
  <c r="O597" i="3"/>
  <c r="P597" i="3" s="1"/>
  <c r="O596" i="3"/>
  <c r="P596" i="3" s="1"/>
  <c r="Q596" i="3" s="1"/>
  <c r="P595" i="3"/>
  <c r="Q595" i="3" s="1"/>
  <c r="O595" i="3"/>
  <c r="O594" i="3"/>
  <c r="P594" i="3" s="1"/>
  <c r="Q594" i="3" s="1"/>
  <c r="P593" i="3"/>
  <c r="Q593" i="3" s="1"/>
  <c r="O593" i="3"/>
  <c r="O592" i="3"/>
  <c r="P592" i="3" s="1"/>
  <c r="Q592" i="3" s="1"/>
  <c r="P591" i="3"/>
  <c r="Q591" i="3" s="1"/>
  <c r="O591" i="3"/>
  <c r="P590" i="3"/>
  <c r="Q590" i="3" s="1"/>
  <c r="O590" i="3"/>
  <c r="O589" i="3"/>
  <c r="P589" i="3" s="1"/>
  <c r="Q589" i="3" s="1"/>
  <c r="P588" i="3"/>
  <c r="Q588" i="3" s="1"/>
  <c r="O588" i="3"/>
  <c r="O587" i="3"/>
  <c r="P587" i="3" s="1"/>
  <c r="Q587" i="3" s="1"/>
  <c r="O586" i="3"/>
  <c r="P586" i="3" s="1"/>
  <c r="Q586" i="3" s="1"/>
  <c r="O585" i="3"/>
  <c r="P585" i="3" s="1"/>
  <c r="Q585" i="3" s="1"/>
  <c r="P584" i="3"/>
  <c r="Q584" i="3" s="1"/>
  <c r="O584" i="3"/>
  <c r="Q583" i="3"/>
  <c r="O583" i="3"/>
  <c r="P583" i="3" s="1"/>
  <c r="O582" i="3"/>
  <c r="P582" i="3" s="1"/>
  <c r="Q582" i="3" s="1"/>
  <c r="Q581" i="3"/>
  <c r="P581" i="3"/>
  <c r="O581" i="3"/>
  <c r="O580" i="3"/>
  <c r="P580" i="3" s="1"/>
  <c r="Q580" i="3" s="1"/>
  <c r="O579" i="3"/>
  <c r="P579" i="3" s="1"/>
  <c r="Q579" i="3" s="1"/>
  <c r="P578" i="3"/>
  <c r="Q578" i="3" s="1"/>
  <c r="O578" i="3"/>
  <c r="O577" i="3"/>
  <c r="P577" i="3" s="1"/>
  <c r="Q577" i="3" s="1"/>
  <c r="O576" i="3"/>
  <c r="P576" i="3" s="1"/>
  <c r="Q576" i="3" s="1"/>
  <c r="Q575" i="3"/>
  <c r="O575" i="3"/>
  <c r="P575" i="3" s="1"/>
  <c r="P574" i="3"/>
  <c r="Q574" i="3" s="1"/>
  <c r="O574" i="3"/>
  <c r="Q573" i="3"/>
  <c r="O573" i="3"/>
  <c r="P573" i="3" s="1"/>
  <c r="O572" i="3"/>
  <c r="P572" i="3" s="1"/>
  <c r="Q572" i="3" s="1"/>
  <c r="P571" i="3"/>
  <c r="Q571" i="3" s="1"/>
  <c r="O571" i="3"/>
  <c r="O570" i="3"/>
  <c r="P570" i="3" s="1"/>
  <c r="Q570" i="3" s="1"/>
  <c r="O569" i="3"/>
  <c r="P569" i="3" s="1"/>
  <c r="Q569" i="3" s="1"/>
  <c r="O568" i="3"/>
  <c r="P568" i="3" s="1"/>
  <c r="Q568" i="3" s="1"/>
  <c r="O567" i="3"/>
  <c r="P567" i="3" s="1"/>
  <c r="Q567" i="3" s="1"/>
  <c r="Q566" i="3"/>
  <c r="O566" i="3"/>
  <c r="P566" i="3" s="1"/>
  <c r="O565" i="3"/>
  <c r="P565" i="3" s="1"/>
  <c r="Q565" i="3" s="1"/>
  <c r="P564" i="3"/>
  <c r="Q564" i="3" s="1"/>
  <c r="O564" i="3"/>
  <c r="O563" i="3"/>
  <c r="P563" i="3" s="1"/>
  <c r="Q563" i="3" s="1"/>
  <c r="O562" i="3"/>
  <c r="P562" i="3" s="1"/>
  <c r="Q562" i="3" s="1"/>
  <c r="P561" i="3"/>
  <c r="Q561" i="3" s="1"/>
  <c r="O561" i="3"/>
  <c r="P560" i="3"/>
  <c r="Q560" i="3" s="1"/>
  <c r="O560" i="3"/>
  <c r="O559" i="3"/>
  <c r="P559" i="3" s="1"/>
  <c r="Q559" i="3" s="1"/>
  <c r="O558" i="3"/>
  <c r="P558" i="3" s="1"/>
  <c r="Q558" i="3" s="1"/>
  <c r="O557" i="3"/>
  <c r="P557" i="3" s="1"/>
  <c r="Q557" i="3" s="1"/>
  <c r="P556" i="3"/>
  <c r="Q556" i="3" s="1"/>
  <c r="O556" i="3"/>
  <c r="O555" i="3"/>
  <c r="P555" i="3" s="1"/>
  <c r="Q555" i="3" s="1"/>
  <c r="O554" i="3"/>
  <c r="P554" i="3" s="1"/>
  <c r="Q554" i="3" s="1"/>
  <c r="O553" i="3"/>
  <c r="P553" i="3" s="1"/>
  <c r="Q553" i="3" s="1"/>
  <c r="O552" i="3"/>
  <c r="P552" i="3" s="1"/>
  <c r="Q552" i="3" s="1"/>
  <c r="Q551" i="3"/>
  <c r="P551" i="3"/>
  <c r="O551" i="3"/>
  <c r="O550" i="3"/>
  <c r="P550" i="3" s="1"/>
  <c r="Q550" i="3" s="1"/>
  <c r="O549" i="3"/>
  <c r="P549" i="3" s="1"/>
  <c r="Q549" i="3" s="1"/>
  <c r="O548" i="3"/>
  <c r="P548" i="3" s="1"/>
  <c r="Q548" i="3" s="1"/>
  <c r="P547" i="3"/>
  <c r="Q547" i="3" s="1"/>
  <c r="O547" i="3"/>
  <c r="P546" i="3"/>
  <c r="Q546" i="3" s="1"/>
  <c r="O546" i="3"/>
  <c r="O545" i="3"/>
  <c r="P545" i="3" s="1"/>
  <c r="Q545" i="3" s="1"/>
  <c r="P544" i="3"/>
  <c r="Q544" i="3" s="1"/>
  <c r="O544" i="3"/>
  <c r="P543" i="3"/>
  <c r="Q543" i="3" s="1"/>
  <c r="O543" i="3"/>
  <c r="O542" i="3"/>
  <c r="P542" i="3" s="1"/>
  <c r="Q542" i="3" s="1"/>
  <c r="Q541" i="3"/>
  <c r="O541" i="3"/>
  <c r="P541" i="3" s="1"/>
  <c r="O540" i="3"/>
  <c r="P540" i="3" s="1"/>
  <c r="Q540" i="3" s="1"/>
  <c r="Q539" i="3"/>
  <c r="P539" i="3"/>
  <c r="O539" i="3"/>
  <c r="O538" i="3"/>
  <c r="P538" i="3" s="1"/>
  <c r="Q538" i="3" s="1"/>
  <c r="Q537" i="3"/>
  <c r="O537" i="3"/>
  <c r="P537" i="3" s="1"/>
  <c r="P536" i="3"/>
  <c r="Q536" i="3" s="1"/>
  <c r="O536" i="3"/>
  <c r="O535" i="3"/>
  <c r="P535" i="3" s="1"/>
  <c r="Q535" i="3" s="1"/>
  <c r="P534" i="3"/>
  <c r="Q534" i="3" s="1"/>
  <c r="O534" i="3"/>
  <c r="P533" i="3"/>
  <c r="Q533" i="3" s="1"/>
  <c r="O533" i="3"/>
  <c r="P532" i="3"/>
  <c r="Q532" i="3" s="1"/>
  <c r="O532" i="3"/>
  <c r="Q531" i="3"/>
  <c r="P531" i="3"/>
  <c r="O531" i="3"/>
  <c r="P530" i="3"/>
  <c r="Q530" i="3" s="1"/>
  <c r="O530" i="3"/>
  <c r="O529" i="3"/>
  <c r="P529" i="3" s="1"/>
  <c r="Q529" i="3" s="1"/>
  <c r="O528" i="3"/>
  <c r="P528" i="3" s="1"/>
  <c r="Q528" i="3" s="1"/>
  <c r="Q527" i="3"/>
  <c r="O527" i="3"/>
  <c r="P527" i="3" s="1"/>
  <c r="O526" i="3"/>
  <c r="P526" i="3" s="1"/>
  <c r="Q526" i="3" s="1"/>
  <c r="O525" i="3"/>
  <c r="P525" i="3" s="1"/>
  <c r="Q525" i="3" s="1"/>
  <c r="O524" i="3"/>
  <c r="P524" i="3" s="1"/>
  <c r="Q524" i="3" s="1"/>
  <c r="O523" i="3"/>
  <c r="P523" i="3" s="1"/>
  <c r="Q523" i="3" s="1"/>
  <c r="O522" i="3"/>
  <c r="P522" i="3" s="1"/>
  <c r="Q522" i="3" s="1"/>
  <c r="O521" i="3"/>
  <c r="P521" i="3" s="1"/>
  <c r="Q521" i="3" s="1"/>
  <c r="O520" i="3"/>
  <c r="P520" i="3" s="1"/>
  <c r="Q520" i="3" s="1"/>
  <c r="Q519" i="3"/>
  <c r="O519" i="3"/>
  <c r="P519" i="3" s="1"/>
  <c r="Q518" i="3"/>
  <c r="P518" i="3"/>
  <c r="O518" i="3"/>
  <c r="O517" i="3"/>
  <c r="P517" i="3" s="1"/>
  <c r="Q517" i="3" s="1"/>
  <c r="O516" i="3"/>
  <c r="P516" i="3" s="1"/>
  <c r="Q516" i="3" s="1"/>
  <c r="O515" i="3"/>
  <c r="P515" i="3" s="1"/>
  <c r="Q515" i="3" s="1"/>
  <c r="O514" i="3"/>
  <c r="P514" i="3" s="1"/>
  <c r="Q514" i="3" s="1"/>
  <c r="Q513" i="3"/>
  <c r="O513" i="3"/>
  <c r="P513" i="3" s="1"/>
  <c r="O512" i="3"/>
  <c r="P512" i="3" s="1"/>
  <c r="Q512" i="3" s="1"/>
  <c r="O511" i="3"/>
  <c r="P511" i="3" s="1"/>
  <c r="Q511" i="3" s="1"/>
  <c r="O510" i="3"/>
  <c r="P510" i="3" s="1"/>
  <c r="Q510" i="3" s="1"/>
  <c r="O509" i="3"/>
  <c r="P509" i="3" s="1"/>
  <c r="Q509" i="3" s="1"/>
  <c r="P508" i="3"/>
  <c r="Q508" i="3" s="1"/>
  <c r="O508" i="3"/>
  <c r="P507" i="3"/>
  <c r="Q507" i="3" s="1"/>
  <c r="O507" i="3"/>
  <c r="O506" i="3"/>
  <c r="P506" i="3" s="1"/>
  <c r="Q506" i="3" s="1"/>
  <c r="P505" i="3"/>
  <c r="Q505" i="3" s="1"/>
  <c r="O505" i="3"/>
  <c r="P504" i="3"/>
  <c r="Q504" i="3" s="1"/>
  <c r="O504" i="3"/>
  <c r="O503" i="3"/>
  <c r="P503" i="3" s="1"/>
  <c r="Q503" i="3" s="1"/>
  <c r="P502" i="3"/>
  <c r="Q502" i="3" s="1"/>
  <c r="O502" i="3"/>
  <c r="O501" i="3"/>
  <c r="P501" i="3" s="1"/>
  <c r="Q501" i="3" s="1"/>
  <c r="P500" i="3"/>
  <c r="Q500" i="3" s="1"/>
  <c r="O500" i="3"/>
  <c r="Q499" i="3"/>
  <c r="O499" i="3"/>
  <c r="P499" i="3" s="1"/>
  <c r="O498" i="3"/>
  <c r="P498" i="3" s="1"/>
  <c r="Q498" i="3" s="1"/>
  <c r="Q497" i="3"/>
  <c r="P497" i="3"/>
  <c r="O497" i="3"/>
  <c r="O496" i="3"/>
  <c r="P496" i="3" s="1"/>
  <c r="Q496" i="3" s="1"/>
  <c r="P495" i="3"/>
  <c r="Q495" i="3" s="1"/>
  <c r="O495" i="3"/>
  <c r="P494" i="3"/>
  <c r="Q494" i="3" s="1"/>
  <c r="O494" i="3"/>
  <c r="O493" i="3"/>
  <c r="P493" i="3" s="1"/>
  <c r="Q493" i="3" s="1"/>
  <c r="P492" i="3"/>
  <c r="Q492" i="3" s="1"/>
  <c r="O492" i="3"/>
  <c r="O491" i="3"/>
  <c r="P491" i="3" s="1"/>
  <c r="Q491" i="3" s="1"/>
  <c r="P490" i="3"/>
  <c r="Q490" i="3" s="1"/>
  <c r="O490" i="3"/>
  <c r="O489" i="3"/>
  <c r="P489" i="3" s="1"/>
  <c r="Q489" i="3" s="1"/>
  <c r="P488" i="3"/>
  <c r="Q488" i="3" s="1"/>
  <c r="O488" i="3"/>
  <c r="O487" i="3"/>
  <c r="P487" i="3" s="1"/>
  <c r="Q487" i="3" s="1"/>
  <c r="O486" i="3"/>
  <c r="P486" i="3" s="1"/>
  <c r="Q486" i="3" s="1"/>
  <c r="Q485" i="3"/>
  <c r="O485" i="3"/>
  <c r="P485" i="3" s="1"/>
  <c r="P484" i="3"/>
  <c r="Q484" i="3" s="1"/>
  <c r="O484" i="3"/>
  <c r="P483" i="3"/>
  <c r="Q483" i="3" s="1"/>
  <c r="O483" i="3"/>
  <c r="Q482" i="3"/>
  <c r="O482" i="3"/>
  <c r="P482" i="3" s="1"/>
  <c r="O481" i="3"/>
  <c r="P481" i="3" s="1"/>
  <c r="Q481" i="3" s="1"/>
  <c r="P480" i="3"/>
  <c r="Q480" i="3" s="1"/>
  <c r="O480" i="3"/>
  <c r="O479" i="3"/>
  <c r="P479" i="3" s="1"/>
  <c r="Q479" i="3" s="1"/>
  <c r="P478" i="3"/>
  <c r="Q478" i="3" s="1"/>
  <c r="O478" i="3"/>
  <c r="Q477" i="3"/>
  <c r="O477" i="3"/>
  <c r="P477" i="3" s="1"/>
  <c r="P476" i="3"/>
  <c r="Q476" i="3" s="1"/>
  <c r="O476" i="3"/>
  <c r="O475" i="3"/>
  <c r="P475" i="3" s="1"/>
  <c r="Q475" i="3" s="1"/>
  <c r="O474" i="3"/>
  <c r="P474" i="3" s="1"/>
  <c r="Q474" i="3" s="1"/>
  <c r="O473" i="3"/>
  <c r="P473" i="3" s="1"/>
  <c r="Q473" i="3" s="1"/>
  <c r="O472" i="3"/>
  <c r="P472" i="3" s="1"/>
  <c r="Q472" i="3" s="1"/>
  <c r="O471" i="3"/>
  <c r="P471" i="3" s="1"/>
  <c r="Q471" i="3" s="1"/>
  <c r="O470" i="3"/>
  <c r="P470" i="3" s="1"/>
  <c r="Q470" i="3" s="1"/>
  <c r="O469" i="3"/>
  <c r="P469" i="3" s="1"/>
  <c r="Q469" i="3" s="1"/>
  <c r="O468" i="3"/>
  <c r="P468" i="3" s="1"/>
  <c r="Q468" i="3" s="1"/>
  <c r="O467" i="3"/>
  <c r="P467" i="3" s="1"/>
  <c r="Q467" i="3" s="1"/>
  <c r="P466" i="3"/>
  <c r="Q466" i="3" s="1"/>
  <c r="O466" i="3"/>
  <c r="Q465" i="3"/>
  <c r="O465" i="3"/>
  <c r="P465" i="3" s="1"/>
  <c r="O464" i="3"/>
  <c r="P464" i="3" s="1"/>
  <c r="Q464" i="3" s="1"/>
  <c r="O463" i="3"/>
  <c r="P463" i="3" s="1"/>
  <c r="Q463" i="3" s="1"/>
  <c r="P462" i="3"/>
  <c r="Q462" i="3" s="1"/>
  <c r="O462" i="3"/>
  <c r="O461" i="3"/>
  <c r="P461" i="3" s="1"/>
  <c r="Q461" i="3" s="1"/>
  <c r="O460" i="3"/>
  <c r="P460" i="3" s="1"/>
  <c r="Q460" i="3" s="1"/>
  <c r="P459" i="3"/>
  <c r="Q459" i="3" s="1"/>
  <c r="O459" i="3"/>
  <c r="Q458" i="3"/>
  <c r="P458" i="3"/>
  <c r="O458" i="3"/>
  <c r="O457" i="3"/>
  <c r="P457" i="3" s="1"/>
  <c r="Q457" i="3" s="1"/>
  <c r="O456" i="3"/>
  <c r="P456" i="3" s="1"/>
  <c r="Q456" i="3" s="1"/>
  <c r="P455" i="3"/>
  <c r="Q455" i="3" s="1"/>
  <c r="O455" i="3"/>
  <c r="P454" i="3"/>
  <c r="Q454" i="3" s="1"/>
  <c r="O454" i="3"/>
  <c r="Q453" i="3"/>
  <c r="P453" i="3"/>
  <c r="O453" i="3"/>
  <c r="O452" i="3"/>
  <c r="P452" i="3" s="1"/>
  <c r="Q452" i="3" s="1"/>
  <c r="O451" i="3"/>
  <c r="P451" i="3" s="1"/>
  <c r="Q451" i="3" s="1"/>
  <c r="O450" i="3"/>
  <c r="P450" i="3" s="1"/>
  <c r="Q450" i="3" s="1"/>
  <c r="P449" i="3"/>
  <c r="Q449" i="3" s="1"/>
  <c r="O449" i="3"/>
  <c r="Q448" i="3"/>
  <c r="P448" i="3"/>
  <c r="O448" i="3"/>
  <c r="O447" i="3"/>
  <c r="P447" i="3" s="1"/>
  <c r="Q447" i="3" s="1"/>
  <c r="Q446" i="3"/>
  <c r="P446" i="3"/>
  <c r="O446" i="3"/>
  <c r="O445" i="3"/>
  <c r="P445" i="3" s="1"/>
  <c r="Q445" i="3" s="1"/>
  <c r="O444" i="3"/>
  <c r="P444" i="3" s="1"/>
  <c r="Q444" i="3" s="1"/>
  <c r="Q443" i="3"/>
  <c r="O443" i="3"/>
  <c r="P443" i="3" s="1"/>
  <c r="O442" i="3"/>
  <c r="P442" i="3" s="1"/>
  <c r="Q442" i="3" s="1"/>
  <c r="Q441" i="3"/>
  <c r="P441" i="3"/>
  <c r="O441" i="3"/>
  <c r="O440" i="3"/>
  <c r="P440" i="3" s="1"/>
  <c r="Q440" i="3" s="1"/>
  <c r="O439" i="3"/>
  <c r="P439" i="3" s="1"/>
  <c r="Q439" i="3" s="1"/>
  <c r="P438" i="3"/>
  <c r="Q438" i="3" s="1"/>
  <c r="O438" i="3"/>
  <c r="O437" i="3"/>
  <c r="P437" i="3" s="1"/>
  <c r="Q437" i="3" s="1"/>
  <c r="Q436" i="3"/>
  <c r="P436" i="3"/>
  <c r="O436" i="3"/>
  <c r="P435" i="3"/>
  <c r="Q435" i="3" s="1"/>
  <c r="O435" i="3"/>
  <c r="P434" i="3"/>
  <c r="Q434" i="3" s="1"/>
  <c r="O434" i="3"/>
  <c r="Q433" i="3"/>
  <c r="P433" i="3"/>
  <c r="O433" i="3"/>
  <c r="O432" i="3"/>
  <c r="P432" i="3" s="1"/>
  <c r="Q432" i="3" s="1"/>
  <c r="Q431" i="3"/>
  <c r="O431" i="3"/>
  <c r="P431" i="3" s="1"/>
  <c r="O430" i="3"/>
  <c r="P430" i="3" s="1"/>
  <c r="Q430" i="3" s="1"/>
  <c r="O429" i="3"/>
  <c r="P429" i="3" s="1"/>
  <c r="Q429" i="3" s="1"/>
  <c r="O428" i="3"/>
  <c r="P428" i="3" s="1"/>
  <c r="Q428" i="3" s="1"/>
  <c r="O427" i="3"/>
  <c r="P427" i="3" s="1"/>
  <c r="Q427" i="3" s="1"/>
  <c r="P426" i="3"/>
  <c r="Q426" i="3" s="1"/>
  <c r="O426" i="3"/>
  <c r="O425" i="3"/>
  <c r="P425" i="3" s="1"/>
  <c r="Q425" i="3" s="1"/>
  <c r="P424" i="3"/>
  <c r="Q424" i="3" s="1"/>
  <c r="O424" i="3"/>
  <c r="O423" i="3"/>
  <c r="P423" i="3" s="1"/>
  <c r="Q423" i="3" s="1"/>
  <c r="Q422" i="3"/>
  <c r="P422" i="3"/>
  <c r="O422" i="3"/>
  <c r="O421" i="3"/>
  <c r="P421" i="3" s="1"/>
  <c r="Q421" i="3" s="1"/>
  <c r="Q420" i="3"/>
  <c r="P420" i="3"/>
  <c r="O420" i="3"/>
  <c r="Q419" i="3"/>
  <c r="O419" i="3"/>
  <c r="P419" i="3" s="1"/>
  <c r="P418" i="3"/>
  <c r="Q418" i="3" s="1"/>
  <c r="O418" i="3"/>
  <c r="O417" i="3"/>
  <c r="P417" i="3" s="1"/>
  <c r="Q417" i="3" s="1"/>
  <c r="P416" i="3"/>
  <c r="Q416" i="3" s="1"/>
  <c r="O416" i="3"/>
  <c r="O415" i="3"/>
  <c r="P415" i="3" s="1"/>
  <c r="Q415" i="3" s="1"/>
  <c r="O414" i="3"/>
  <c r="P414" i="3" s="1"/>
  <c r="Q414" i="3" s="1"/>
  <c r="P413" i="3"/>
  <c r="Q413" i="3" s="1"/>
  <c r="O413" i="3"/>
  <c r="P412" i="3"/>
  <c r="Q412" i="3" s="1"/>
  <c r="O412" i="3"/>
  <c r="O411" i="3"/>
  <c r="P411" i="3" s="1"/>
  <c r="Q411" i="3" s="1"/>
  <c r="P410" i="3"/>
  <c r="Q410" i="3" s="1"/>
  <c r="O410" i="3"/>
  <c r="O409" i="3"/>
  <c r="P409" i="3" s="1"/>
  <c r="Q409" i="3" s="1"/>
  <c r="P408" i="3"/>
  <c r="Q408" i="3" s="1"/>
  <c r="O408" i="3"/>
  <c r="O407" i="3"/>
  <c r="P407" i="3" s="1"/>
  <c r="Q407" i="3" s="1"/>
  <c r="O406" i="3"/>
  <c r="P406" i="3" s="1"/>
  <c r="Q406" i="3" s="1"/>
  <c r="O405" i="3"/>
  <c r="P405" i="3" s="1"/>
  <c r="Q405" i="3" s="1"/>
  <c r="O404" i="3"/>
  <c r="P404" i="3" s="1"/>
  <c r="Q404" i="3" s="1"/>
  <c r="O403" i="3"/>
  <c r="P403" i="3" s="1"/>
  <c r="Q403" i="3" s="1"/>
  <c r="O402" i="3"/>
  <c r="P402" i="3" s="1"/>
  <c r="Q402" i="3" s="1"/>
  <c r="P401" i="3"/>
  <c r="Q401" i="3" s="1"/>
  <c r="O401" i="3"/>
  <c r="O400" i="3"/>
  <c r="P400" i="3" s="1"/>
  <c r="Q400" i="3" s="1"/>
  <c r="P399" i="3"/>
  <c r="Q399" i="3" s="1"/>
  <c r="O399" i="3"/>
  <c r="O398" i="3"/>
  <c r="P398" i="3" s="1"/>
  <c r="Q398" i="3" s="1"/>
  <c r="O397" i="3"/>
  <c r="P397" i="3" s="1"/>
  <c r="Q397" i="3" s="1"/>
  <c r="P396" i="3"/>
  <c r="Q396" i="3" s="1"/>
  <c r="O396" i="3"/>
  <c r="O395" i="3"/>
  <c r="P395" i="3" s="1"/>
  <c r="Q395" i="3" s="1"/>
  <c r="P394" i="3"/>
  <c r="Q394" i="3" s="1"/>
  <c r="O394" i="3"/>
  <c r="O393" i="3"/>
  <c r="P393" i="3" s="1"/>
  <c r="Q393" i="3" s="1"/>
  <c r="O392" i="3"/>
  <c r="P392" i="3" s="1"/>
  <c r="Q392" i="3" s="1"/>
  <c r="Q391" i="3"/>
  <c r="O391" i="3"/>
  <c r="P391" i="3" s="1"/>
  <c r="P390" i="3"/>
  <c r="Q390" i="3" s="1"/>
  <c r="O390" i="3"/>
  <c r="Q389" i="3"/>
  <c r="O389" i="3"/>
  <c r="P389" i="3" s="1"/>
  <c r="O388" i="3"/>
  <c r="P388" i="3" s="1"/>
  <c r="Q388" i="3" s="1"/>
  <c r="O387" i="3"/>
  <c r="P387" i="3" s="1"/>
  <c r="Q387" i="3" s="1"/>
  <c r="O386" i="3"/>
  <c r="P386" i="3" s="1"/>
  <c r="Q386" i="3" s="1"/>
  <c r="P385" i="3"/>
  <c r="Q385" i="3" s="1"/>
  <c r="O385" i="3"/>
  <c r="P384" i="3"/>
  <c r="Q384" i="3" s="1"/>
  <c r="O384" i="3"/>
  <c r="O383" i="3"/>
  <c r="P383" i="3" s="1"/>
  <c r="Q383" i="3" s="1"/>
  <c r="Q382" i="3"/>
  <c r="P382" i="3"/>
  <c r="O382" i="3"/>
  <c r="O381" i="3"/>
  <c r="P381" i="3" s="1"/>
  <c r="Q381" i="3" s="1"/>
  <c r="P380" i="3"/>
  <c r="Q380" i="3" s="1"/>
  <c r="O380" i="3"/>
  <c r="O379" i="3"/>
  <c r="P379" i="3" s="1"/>
  <c r="Q379" i="3" s="1"/>
  <c r="P378" i="3"/>
  <c r="Q378" i="3" s="1"/>
  <c r="O378" i="3"/>
  <c r="O377" i="3"/>
  <c r="P377" i="3" s="1"/>
  <c r="Q377" i="3" s="1"/>
  <c r="O376" i="3"/>
  <c r="P376" i="3" s="1"/>
  <c r="Q376" i="3" s="1"/>
  <c r="Q375" i="3"/>
  <c r="O375" i="3"/>
  <c r="P375" i="3" s="1"/>
  <c r="O374" i="3"/>
  <c r="P374" i="3" s="1"/>
  <c r="Q374" i="3" s="1"/>
  <c r="P373" i="3"/>
  <c r="Q373" i="3" s="1"/>
  <c r="O373" i="3"/>
  <c r="O372" i="3"/>
  <c r="P372" i="3" s="1"/>
  <c r="Q372" i="3" s="1"/>
  <c r="O371" i="3"/>
  <c r="P371" i="3" s="1"/>
  <c r="Q371" i="3" s="1"/>
  <c r="O370" i="3"/>
  <c r="P370" i="3" s="1"/>
  <c r="Q370" i="3" s="1"/>
  <c r="O369" i="3"/>
  <c r="P369" i="3" s="1"/>
  <c r="Q369" i="3" s="1"/>
  <c r="Q368" i="3"/>
  <c r="P368" i="3"/>
  <c r="O368" i="3"/>
  <c r="O367" i="3"/>
  <c r="P367" i="3" s="1"/>
  <c r="Q367" i="3" s="1"/>
  <c r="P366" i="3"/>
  <c r="Q366" i="3" s="1"/>
  <c r="O366" i="3"/>
  <c r="P365" i="3"/>
  <c r="Q365" i="3" s="1"/>
  <c r="O365" i="3"/>
  <c r="O364" i="3"/>
  <c r="P364" i="3" s="1"/>
  <c r="Q364" i="3" s="1"/>
  <c r="O363" i="3"/>
  <c r="P363" i="3" s="1"/>
  <c r="Q363" i="3" s="1"/>
  <c r="P362" i="3"/>
  <c r="Q362" i="3" s="1"/>
  <c r="O362" i="3"/>
  <c r="Q361" i="3"/>
  <c r="O361" i="3"/>
  <c r="P361" i="3" s="1"/>
  <c r="O360" i="3"/>
  <c r="P360" i="3" s="1"/>
  <c r="Q360" i="3" s="1"/>
  <c r="Q359" i="3"/>
  <c r="P359" i="3"/>
  <c r="O359" i="3"/>
  <c r="O358" i="3"/>
  <c r="P358" i="3" s="1"/>
  <c r="Q358" i="3" s="1"/>
  <c r="O357" i="3"/>
  <c r="P357" i="3" s="1"/>
  <c r="Q357" i="3" s="1"/>
  <c r="P356" i="3"/>
  <c r="Q356" i="3" s="1"/>
  <c r="O356" i="3"/>
  <c r="Q355" i="3"/>
  <c r="O355" i="3"/>
  <c r="P355" i="3" s="1"/>
  <c r="P354" i="3"/>
  <c r="Q354" i="3" s="1"/>
  <c r="O354" i="3"/>
  <c r="O353" i="3"/>
  <c r="P353" i="3" s="1"/>
  <c r="Q353" i="3" s="1"/>
  <c r="Q352" i="3"/>
  <c r="P352" i="3"/>
  <c r="O352" i="3"/>
  <c r="O351" i="3"/>
  <c r="P351" i="3" s="1"/>
  <c r="Q351" i="3" s="1"/>
  <c r="P350" i="3"/>
  <c r="Q350" i="3" s="1"/>
  <c r="O350" i="3"/>
  <c r="Q349" i="3"/>
  <c r="O349" i="3"/>
  <c r="P349" i="3" s="1"/>
  <c r="O348" i="3"/>
  <c r="P348" i="3" s="1"/>
  <c r="Q348" i="3" s="1"/>
  <c r="O347" i="3"/>
  <c r="P347" i="3" s="1"/>
  <c r="Q347" i="3" s="1"/>
  <c r="P346" i="3"/>
  <c r="Q346" i="3" s="1"/>
  <c r="O346" i="3"/>
  <c r="P345" i="3"/>
  <c r="Q345" i="3" s="1"/>
  <c r="O345" i="3"/>
  <c r="O344" i="3"/>
  <c r="P344" i="3" s="1"/>
  <c r="Q344" i="3" s="1"/>
  <c r="P343" i="3"/>
  <c r="Q343" i="3" s="1"/>
  <c r="O343" i="3"/>
  <c r="O342" i="3"/>
  <c r="P342" i="3" s="1"/>
  <c r="Q342" i="3" s="1"/>
  <c r="O341" i="3"/>
  <c r="P341" i="3" s="1"/>
  <c r="Q341" i="3" s="1"/>
  <c r="P340" i="3"/>
  <c r="Q340" i="3" s="1"/>
  <c r="O340" i="3"/>
  <c r="O339" i="3"/>
  <c r="P339" i="3" s="1"/>
  <c r="Q339" i="3" s="1"/>
  <c r="P338" i="3"/>
  <c r="Q338" i="3" s="1"/>
  <c r="O338" i="3"/>
  <c r="O337" i="3"/>
  <c r="P337" i="3" s="1"/>
  <c r="Q337" i="3" s="1"/>
  <c r="O336" i="3"/>
  <c r="P336" i="3" s="1"/>
  <c r="Q336" i="3" s="1"/>
  <c r="Q335" i="3"/>
  <c r="O335" i="3"/>
  <c r="P335" i="3" s="1"/>
  <c r="O334" i="3"/>
  <c r="P334" i="3" s="1"/>
  <c r="Q334" i="3" s="1"/>
  <c r="Q333" i="3"/>
  <c r="O333" i="3"/>
  <c r="P333" i="3" s="1"/>
  <c r="Q332" i="3"/>
  <c r="O332" i="3"/>
  <c r="P332" i="3" s="1"/>
  <c r="O331" i="3"/>
  <c r="P331" i="3" s="1"/>
  <c r="Q331" i="3" s="1"/>
  <c r="O330" i="3"/>
  <c r="P330" i="3" s="1"/>
  <c r="Q330" i="3" s="1"/>
  <c r="O329" i="3"/>
  <c r="P329" i="3" s="1"/>
  <c r="Q329" i="3" s="1"/>
  <c r="O328" i="3"/>
  <c r="P328" i="3" s="1"/>
  <c r="Q328" i="3" s="1"/>
  <c r="O327" i="3"/>
  <c r="P327" i="3" s="1"/>
  <c r="Q327" i="3" s="1"/>
  <c r="P326" i="3"/>
  <c r="Q326" i="3" s="1"/>
  <c r="O326" i="3"/>
  <c r="O325" i="3"/>
  <c r="P325" i="3" s="1"/>
  <c r="Q325" i="3" s="1"/>
  <c r="Q324" i="3"/>
  <c r="P324" i="3"/>
  <c r="O324" i="3"/>
  <c r="O323" i="3"/>
  <c r="P323" i="3" s="1"/>
  <c r="Q323" i="3" s="1"/>
  <c r="P322" i="3"/>
  <c r="Q322" i="3" s="1"/>
  <c r="O322" i="3"/>
  <c r="Q321" i="3"/>
  <c r="O321" i="3"/>
  <c r="P321" i="3" s="1"/>
  <c r="P320" i="3"/>
  <c r="Q320" i="3" s="1"/>
  <c r="O320" i="3"/>
  <c r="O319" i="3"/>
  <c r="P319" i="3" s="1"/>
  <c r="Q319" i="3" s="1"/>
  <c r="O318" i="3"/>
  <c r="P318" i="3" s="1"/>
  <c r="Q318" i="3" s="1"/>
  <c r="O317" i="3"/>
  <c r="P317" i="3" s="1"/>
  <c r="Q317" i="3" s="1"/>
  <c r="O316" i="3"/>
  <c r="P316" i="3" s="1"/>
  <c r="Q316" i="3" s="1"/>
  <c r="P315" i="3"/>
  <c r="Q315" i="3" s="1"/>
  <c r="O315" i="3"/>
  <c r="P314" i="3"/>
  <c r="Q314" i="3" s="1"/>
  <c r="O314" i="3"/>
  <c r="O313" i="3"/>
  <c r="P313" i="3" s="1"/>
  <c r="Q313" i="3" s="1"/>
  <c r="Q312" i="3"/>
  <c r="P312" i="3"/>
  <c r="O312" i="3"/>
  <c r="O311" i="3"/>
  <c r="P311" i="3" s="1"/>
  <c r="Q311" i="3" s="1"/>
  <c r="P310" i="3"/>
  <c r="Q310" i="3" s="1"/>
  <c r="O310" i="3"/>
  <c r="O309" i="3"/>
  <c r="P309" i="3" s="1"/>
  <c r="Q309" i="3" s="1"/>
  <c r="O308" i="3"/>
  <c r="P308" i="3" s="1"/>
  <c r="Q308" i="3" s="1"/>
  <c r="O307" i="3"/>
  <c r="P307" i="3" s="1"/>
  <c r="Q307" i="3" s="1"/>
  <c r="O306" i="3"/>
  <c r="P306" i="3" s="1"/>
  <c r="Q306" i="3" s="1"/>
  <c r="Q305" i="3"/>
  <c r="O305" i="3"/>
  <c r="P305" i="3" s="1"/>
  <c r="O304" i="3"/>
  <c r="P304" i="3" s="1"/>
  <c r="Q304" i="3" s="1"/>
  <c r="P303" i="3"/>
  <c r="Q303" i="3" s="1"/>
  <c r="O303" i="3"/>
  <c r="O302" i="3"/>
  <c r="P302" i="3" s="1"/>
  <c r="Q302" i="3" s="1"/>
  <c r="O301" i="3"/>
  <c r="P301" i="3" s="1"/>
  <c r="Q301" i="3" s="1"/>
  <c r="O300" i="3"/>
  <c r="P300" i="3" s="1"/>
  <c r="Q300" i="3" s="1"/>
  <c r="O299" i="3"/>
  <c r="P299" i="3" s="1"/>
  <c r="Q299" i="3" s="1"/>
  <c r="P298" i="3"/>
  <c r="Q298" i="3" s="1"/>
  <c r="O298" i="3"/>
  <c r="O297" i="3"/>
  <c r="P297" i="3" s="1"/>
  <c r="Q297" i="3" s="1"/>
  <c r="P296" i="3"/>
  <c r="Q296" i="3" s="1"/>
  <c r="O296" i="3"/>
  <c r="O295" i="3"/>
  <c r="P295" i="3" s="1"/>
  <c r="Q295" i="3" s="1"/>
  <c r="O294" i="3"/>
  <c r="P294" i="3" s="1"/>
  <c r="Q294" i="3" s="1"/>
  <c r="Q293" i="3"/>
  <c r="P293" i="3"/>
  <c r="O293" i="3"/>
  <c r="O292" i="3"/>
  <c r="P292" i="3" s="1"/>
  <c r="Q292" i="3" s="1"/>
  <c r="O291" i="3"/>
  <c r="P291" i="3" s="1"/>
  <c r="Q291" i="3" s="1"/>
  <c r="O290" i="3"/>
  <c r="P290" i="3" s="1"/>
  <c r="Q290" i="3" s="1"/>
  <c r="P289" i="3"/>
  <c r="Q289" i="3" s="1"/>
  <c r="O289" i="3"/>
  <c r="O288" i="3"/>
  <c r="P288" i="3" s="1"/>
  <c r="Q288" i="3" s="1"/>
  <c r="O287" i="3"/>
  <c r="P287" i="3" s="1"/>
  <c r="Q287" i="3" s="1"/>
  <c r="O286" i="3"/>
  <c r="P286" i="3" s="1"/>
  <c r="Q286" i="3" s="1"/>
  <c r="O285" i="3"/>
  <c r="P285" i="3" s="1"/>
  <c r="Q285" i="3" s="1"/>
  <c r="Q284" i="3"/>
  <c r="P284" i="3"/>
  <c r="O284" i="3"/>
  <c r="O283" i="3"/>
  <c r="P283" i="3" s="1"/>
  <c r="Q283" i="3" s="1"/>
  <c r="P282" i="3"/>
  <c r="Q282" i="3" s="1"/>
  <c r="O282" i="3"/>
  <c r="P281" i="3"/>
  <c r="Q281" i="3" s="1"/>
  <c r="O281" i="3"/>
  <c r="Q280" i="3"/>
  <c r="O280" i="3"/>
  <c r="P280" i="3" s="1"/>
  <c r="O279" i="3"/>
  <c r="P279" i="3" s="1"/>
  <c r="Q279" i="3" s="1"/>
  <c r="O278" i="3"/>
  <c r="P278" i="3" s="1"/>
  <c r="Q278" i="3" s="1"/>
  <c r="Q277" i="3"/>
  <c r="O277" i="3"/>
  <c r="P277" i="3" s="1"/>
  <c r="P276" i="3"/>
  <c r="Q276" i="3" s="1"/>
  <c r="O276" i="3"/>
  <c r="O275" i="3"/>
  <c r="P275" i="3" s="1"/>
  <c r="Q275" i="3" s="1"/>
  <c r="O274" i="3"/>
  <c r="P274" i="3" s="1"/>
  <c r="Q274" i="3" s="1"/>
  <c r="P273" i="3"/>
  <c r="Q273" i="3" s="1"/>
  <c r="O273" i="3"/>
  <c r="O272" i="3"/>
  <c r="P272" i="3" s="1"/>
  <c r="Q272" i="3" s="1"/>
  <c r="P271" i="3"/>
  <c r="Q271" i="3" s="1"/>
  <c r="O271" i="3"/>
  <c r="Q270" i="3"/>
  <c r="P270" i="3"/>
  <c r="O270" i="3"/>
  <c r="O269" i="3"/>
  <c r="P269" i="3" s="1"/>
  <c r="Q269" i="3" s="1"/>
  <c r="Q268" i="3"/>
  <c r="P268" i="3"/>
  <c r="O268" i="3"/>
  <c r="O267" i="3"/>
  <c r="P267" i="3" s="1"/>
  <c r="Q267" i="3" s="1"/>
  <c r="O266" i="3"/>
  <c r="P266" i="3" s="1"/>
  <c r="Q266" i="3" s="1"/>
  <c r="Q265" i="3"/>
  <c r="O265" i="3"/>
  <c r="P265" i="3" s="1"/>
  <c r="O264" i="3"/>
  <c r="P264" i="3" s="1"/>
  <c r="Q264" i="3" s="1"/>
  <c r="O263" i="3"/>
  <c r="P263" i="3" s="1"/>
  <c r="Q263" i="3" s="1"/>
  <c r="O262" i="3"/>
  <c r="P262" i="3" s="1"/>
  <c r="Q262" i="3" s="1"/>
  <c r="O261" i="3"/>
  <c r="P261" i="3" s="1"/>
  <c r="Q261" i="3" s="1"/>
  <c r="O260" i="3"/>
  <c r="P260" i="3" s="1"/>
  <c r="Q260" i="3" s="1"/>
  <c r="O259" i="3"/>
  <c r="P259" i="3" s="1"/>
  <c r="Q259" i="3" s="1"/>
  <c r="O258" i="3"/>
  <c r="P258" i="3" s="1"/>
  <c r="Q258" i="3" s="1"/>
  <c r="P257" i="3"/>
  <c r="Q257" i="3" s="1"/>
  <c r="O257" i="3"/>
  <c r="P256" i="3"/>
  <c r="Q256" i="3" s="1"/>
  <c r="O256" i="3"/>
  <c r="O255" i="3"/>
  <c r="P255" i="3" s="1"/>
  <c r="Q255" i="3" s="1"/>
  <c r="P254" i="3"/>
  <c r="Q254" i="3" s="1"/>
  <c r="O254" i="3"/>
  <c r="Q253" i="3"/>
  <c r="P253" i="3"/>
  <c r="O253" i="3"/>
  <c r="O252" i="3"/>
  <c r="P252" i="3" s="1"/>
  <c r="Q252" i="3" s="1"/>
  <c r="O251" i="3"/>
  <c r="P251" i="3" s="1"/>
  <c r="Q251" i="3" s="1"/>
  <c r="P250" i="3"/>
  <c r="Q250" i="3" s="1"/>
  <c r="O250" i="3"/>
  <c r="O249" i="3"/>
  <c r="P249" i="3" s="1"/>
  <c r="Q249" i="3" s="1"/>
  <c r="O248" i="3"/>
  <c r="P248" i="3" s="1"/>
  <c r="Q248" i="3" s="1"/>
  <c r="O247" i="3"/>
  <c r="P247" i="3" s="1"/>
  <c r="Q247" i="3" s="1"/>
  <c r="O246" i="3"/>
  <c r="P246" i="3" s="1"/>
  <c r="Q246" i="3" s="1"/>
  <c r="O245" i="3"/>
  <c r="P245" i="3" s="1"/>
  <c r="Q245" i="3" s="1"/>
  <c r="O244" i="3"/>
  <c r="P244" i="3" s="1"/>
  <c r="Q244" i="3" s="1"/>
  <c r="Q243" i="3"/>
  <c r="P243" i="3"/>
  <c r="O243" i="3"/>
  <c r="P242" i="3"/>
  <c r="Q242" i="3" s="1"/>
  <c r="O242" i="3"/>
  <c r="O241" i="3"/>
  <c r="P241" i="3" s="1"/>
  <c r="Q241" i="3" s="1"/>
  <c r="P240" i="3"/>
  <c r="Q240" i="3" s="1"/>
  <c r="O240" i="3"/>
  <c r="P239" i="3"/>
  <c r="Q239" i="3" s="1"/>
  <c r="O239" i="3"/>
  <c r="O238" i="3"/>
  <c r="P238" i="3" s="1"/>
  <c r="Q238" i="3" s="1"/>
  <c r="Q237" i="3"/>
  <c r="O237" i="3"/>
  <c r="P237" i="3" s="1"/>
  <c r="O236" i="3"/>
  <c r="P236" i="3" s="1"/>
  <c r="Q236" i="3" s="1"/>
  <c r="O235" i="3"/>
  <c r="P235" i="3" s="1"/>
  <c r="Q235" i="3" s="1"/>
  <c r="O234" i="3"/>
  <c r="P234" i="3" s="1"/>
  <c r="Q234" i="3" s="1"/>
  <c r="O233" i="3"/>
  <c r="P233" i="3" s="1"/>
  <c r="Q233" i="3" s="1"/>
  <c r="O232" i="3"/>
  <c r="P232" i="3" s="1"/>
  <c r="Q232" i="3" s="1"/>
  <c r="O231" i="3"/>
  <c r="P231" i="3" s="1"/>
  <c r="Q231" i="3" s="1"/>
  <c r="O230" i="3"/>
  <c r="P230" i="3" s="1"/>
  <c r="Q230" i="3" s="1"/>
  <c r="P229" i="3"/>
  <c r="Q229" i="3" s="1"/>
  <c r="O229" i="3"/>
  <c r="P228" i="3"/>
  <c r="Q228" i="3" s="1"/>
  <c r="O228" i="3"/>
  <c r="O227" i="3"/>
  <c r="P227" i="3" s="1"/>
  <c r="Q227" i="3" s="1"/>
  <c r="P226" i="3"/>
  <c r="Q226" i="3" s="1"/>
  <c r="O226" i="3"/>
  <c r="Q225" i="3"/>
  <c r="O225" i="3"/>
  <c r="P225" i="3" s="1"/>
  <c r="P224" i="3"/>
  <c r="Q224" i="3" s="1"/>
  <c r="O224" i="3"/>
  <c r="O223" i="3"/>
  <c r="P223" i="3" s="1"/>
  <c r="Q223" i="3" s="1"/>
  <c r="Q222" i="3"/>
  <c r="P222" i="3"/>
  <c r="O222" i="3"/>
  <c r="O221" i="3"/>
  <c r="P221" i="3" s="1"/>
  <c r="Q221" i="3" s="1"/>
  <c r="P220" i="3"/>
  <c r="Q220" i="3" s="1"/>
  <c r="O220" i="3"/>
  <c r="O219" i="3"/>
  <c r="P219" i="3" s="1"/>
  <c r="Q219" i="3" s="1"/>
  <c r="O218" i="3"/>
  <c r="P218" i="3" s="1"/>
  <c r="Q218" i="3" s="1"/>
  <c r="O217" i="3"/>
  <c r="P217" i="3" s="1"/>
  <c r="Q217" i="3" s="1"/>
  <c r="O216" i="3"/>
  <c r="P216" i="3" s="1"/>
  <c r="Q216" i="3" s="1"/>
  <c r="O215" i="3"/>
  <c r="P215" i="3" s="1"/>
  <c r="Q215" i="3" s="1"/>
  <c r="Q214" i="3"/>
  <c r="P214" i="3"/>
  <c r="O214" i="3"/>
  <c r="O213" i="3"/>
  <c r="P213" i="3" s="1"/>
  <c r="Q213" i="3" s="1"/>
  <c r="P212" i="3"/>
  <c r="Q212" i="3" s="1"/>
  <c r="O212" i="3"/>
  <c r="O211" i="3"/>
  <c r="P211" i="3" s="1"/>
  <c r="Q211" i="3" s="1"/>
  <c r="P210" i="3"/>
  <c r="Q210" i="3" s="1"/>
  <c r="O210" i="3"/>
  <c r="Q209" i="3"/>
  <c r="O209" i="3"/>
  <c r="P209" i="3" s="1"/>
  <c r="O208" i="3"/>
  <c r="P208" i="3" s="1"/>
  <c r="Q208" i="3" s="1"/>
  <c r="O207" i="3"/>
  <c r="P207" i="3" s="1"/>
  <c r="Q207" i="3" s="1"/>
  <c r="O206" i="3"/>
  <c r="P206" i="3" s="1"/>
  <c r="Q206" i="3" s="1"/>
  <c r="O205" i="3"/>
  <c r="P205" i="3" s="1"/>
  <c r="Q205" i="3" s="1"/>
  <c r="O204" i="3"/>
  <c r="P204" i="3" s="1"/>
  <c r="Q204" i="3" s="1"/>
  <c r="Q203" i="3"/>
  <c r="O203" i="3"/>
  <c r="P203" i="3" s="1"/>
  <c r="O202" i="3"/>
  <c r="P202" i="3" s="1"/>
  <c r="Q202" i="3" s="1"/>
  <c r="O201" i="3"/>
  <c r="P201" i="3" s="1"/>
  <c r="Q201" i="3" s="1"/>
  <c r="P200" i="3"/>
  <c r="Q200" i="3" s="1"/>
  <c r="O200" i="3"/>
  <c r="P199" i="3"/>
  <c r="Q199" i="3" s="1"/>
  <c r="O199" i="3"/>
  <c r="Q198" i="3"/>
  <c r="P198" i="3"/>
  <c r="O198" i="3"/>
  <c r="O197" i="3"/>
  <c r="P197" i="3" s="1"/>
  <c r="Q197" i="3" s="1"/>
  <c r="O196" i="3"/>
  <c r="P196" i="3" s="1"/>
  <c r="Q196" i="3" s="1"/>
  <c r="Q195" i="3"/>
  <c r="O195" i="3"/>
  <c r="P195" i="3" s="1"/>
  <c r="O194" i="3"/>
  <c r="P194" i="3" s="1"/>
  <c r="Q194" i="3" s="1"/>
  <c r="O193" i="3"/>
  <c r="P193" i="3" s="1"/>
  <c r="Q193" i="3" s="1"/>
  <c r="P192" i="3"/>
  <c r="Q192" i="3" s="1"/>
  <c r="O192" i="3"/>
  <c r="O191" i="3"/>
  <c r="P191" i="3" s="1"/>
  <c r="Q191" i="3" s="1"/>
  <c r="O190" i="3"/>
  <c r="P190" i="3" s="1"/>
  <c r="Q190" i="3" s="1"/>
  <c r="P189" i="3"/>
  <c r="Q189" i="3" s="1"/>
  <c r="O189" i="3"/>
  <c r="O188" i="3"/>
  <c r="P188" i="3" s="1"/>
  <c r="Q188" i="3" s="1"/>
  <c r="P187" i="3"/>
  <c r="Q187" i="3" s="1"/>
  <c r="O187" i="3"/>
  <c r="Q186" i="3"/>
  <c r="P186" i="3"/>
  <c r="O186" i="3"/>
  <c r="O185" i="3"/>
  <c r="P185" i="3" s="1"/>
  <c r="Q185" i="3" s="1"/>
  <c r="P184" i="3"/>
  <c r="Q184" i="3" s="1"/>
  <c r="O184" i="3"/>
  <c r="Q183" i="3"/>
  <c r="P183" i="3"/>
  <c r="O183" i="3"/>
  <c r="P182" i="3"/>
  <c r="Q182" i="3" s="1"/>
  <c r="O182" i="3"/>
  <c r="Q181" i="3"/>
  <c r="O181" i="3"/>
  <c r="P181" i="3" s="1"/>
  <c r="O180" i="3"/>
  <c r="P180" i="3" s="1"/>
  <c r="Q180" i="3" s="1"/>
  <c r="O179" i="3"/>
  <c r="P179" i="3" s="1"/>
  <c r="Q179" i="3" s="1"/>
  <c r="O178" i="3"/>
  <c r="P178" i="3" s="1"/>
  <c r="Q178" i="3" s="1"/>
  <c r="O177" i="3"/>
  <c r="P177" i="3" s="1"/>
  <c r="Q177" i="3" s="1"/>
  <c r="O176" i="3"/>
  <c r="P176" i="3" s="1"/>
  <c r="Q176" i="3" s="1"/>
  <c r="O175" i="3"/>
  <c r="P175" i="3" s="1"/>
  <c r="Q175" i="3" s="1"/>
  <c r="O174" i="3"/>
  <c r="P174" i="3" s="1"/>
  <c r="Q174" i="3" s="1"/>
  <c r="P173" i="3"/>
  <c r="Q173" i="3" s="1"/>
  <c r="O173" i="3"/>
  <c r="P172" i="3"/>
  <c r="Q172" i="3" s="1"/>
  <c r="O172" i="3"/>
  <c r="P171" i="3"/>
  <c r="Q171" i="3" s="1"/>
  <c r="O171" i="3"/>
  <c r="P170" i="3"/>
  <c r="Q170" i="3" s="1"/>
  <c r="O170" i="3"/>
  <c r="O169" i="3"/>
  <c r="P169" i="3" s="1"/>
  <c r="Q169" i="3" s="1"/>
  <c r="O168" i="3"/>
  <c r="P168" i="3" s="1"/>
  <c r="Q168" i="3" s="1"/>
  <c r="Q167" i="3"/>
  <c r="O167" i="3"/>
  <c r="P167" i="3" s="1"/>
  <c r="O166" i="3"/>
  <c r="P166" i="3" s="1"/>
  <c r="Q166" i="3" s="1"/>
  <c r="O165" i="3"/>
  <c r="P165" i="3" s="1"/>
  <c r="Q165" i="3" s="1"/>
  <c r="P164" i="3"/>
  <c r="Q164" i="3" s="1"/>
  <c r="O164" i="3"/>
  <c r="O163" i="3"/>
  <c r="P163" i="3" s="1"/>
  <c r="Q163" i="3" s="1"/>
  <c r="O162" i="3"/>
  <c r="P162" i="3" s="1"/>
  <c r="Q162" i="3" s="1"/>
  <c r="O161" i="3"/>
  <c r="P161" i="3" s="1"/>
  <c r="Q161" i="3" s="1"/>
  <c r="O160" i="3"/>
  <c r="P160" i="3" s="1"/>
  <c r="Q160" i="3" s="1"/>
  <c r="P159" i="3"/>
  <c r="Q159" i="3" s="1"/>
  <c r="O159" i="3"/>
  <c r="Q158" i="3"/>
  <c r="P158" i="3"/>
  <c r="O158" i="3"/>
  <c r="O157" i="3"/>
  <c r="P157" i="3" s="1"/>
  <c r="Q157" i="3" s="1"/>
  <c r="P156" i="3"/>
  <c r="Q156" i="3" s="1"/>
  <c r="O156" i="3"/>
  <c r="P155" i="3"/>
  <c r="Q155" i="3" s="1"/>
  <c r="O155" i="3"/>
  <c r="P154" i="3"/>
  <c r="Q154" i="3" s="1"/>
  <c r="O154" i="3"/>
  <c r="Q153" i="3"/>
  <c r="O153" i="3"/>
  <c r="P153" i="3" s="1"/>
  <c r="O152" i="3"/>
  <c r="P152" i="3" s="1"/>
  <c r="Q152" i="3" s="1"/>
  <c r="O151" i="3"/>
  <c r="P151" i="3" s="1"/>
  <c r="Q151" i="3" s="1"/>
  <c r="O150" i="3"/>
  <c r="P150" i="3" s="1"/>
  <c r="Q150" i="3" s="1"/>
  <c r="Q149" i="3"/>
  <c r="O149" i="3"/>
  <c r="P149" i="3" s="1"/>
  <c r="O148" i="3"/>
  <c r="P148" i="3" s="1"/>
  <c r="Q148" i="3" s="1"/>
  <c r="O147" i="3"/>
  <c r="P147" i="3" s="1"/>
  <c r="Q147" i="3" s="1"/>
  <c r="P146" i="3"/>
  <c r="Q146" i="3" s="1"/>
  <c r="O146" i="3"/>
  <c r="O145" i="3"/>
  <c r="P145" i="3" s="1"/>
  <c r="Q145" i="3" s="1"/>
  <c r="P144" i="3"/>
  <c r="Q144" i="3" s="1"/>
  <c r="O144" i="3"/>
  <c r="O143" i="3"/>
  <c r="P143" i="3" s="1"/>
  <c r="Q143" i="3" s="1"/>
  <c r="P142" i="3"/>
  <c r="Q142" i="3" s="1"/>
  <c r="O142" i="3"/>
  <c r="O141" i="3"/>
  <c r="P141" i="3" s="1"/>
  <c r="Q141" i="3" s="1"/>
  <c r="Q140" i="3"/>
  <c r="P140" i="3"/>
  <c r="O140" i="3"/>
  <c r="O139" i="3"/>
  <c r="P139" i="3" s="1"/>
  <c r="Q139" i="3" s="1"/>
  <c r="O138" i="3"/>
  <c r="P138" i="3" s="1"/>
  <c r="Q138" i="3" s="1"/>
  <c r="O137" i="3"/>
  <c r="P137" i="3" s="1"/>
  <c r="Q137" i="3" s="1"/>
  <c r="O136" i="3"/>
  <c r="P136" i="3" s="1"/>
  <c r="Q136" i="3" s="1"/>
  <c r="O135" i="3"/>
  <c r="P135" i="3" s="1"/>
  <c r="Q135" i="3" s="1"/>
  <c r="O134" i="3"/>
  <c r="P134" i="3" s="1"/>
  <c r="Q134" i="3" s="1"/>
  <c r="Q133" i="3"/>
  <c r="P133" i="3"/>
  <c r="O133" i="3"/>
  <c r="O132" i="3"/>
  <c r="P132" i="3" s="1"/>
  <c r="Q132" i="3" s="1"/>
  <c r="P131" i="3"/>
  <c r="Q131" i="3" s="1"/>
  <c r="O131" i="3"/>
  <c r="P130" i="3"/>
  <c r="Q130" i="3" s="1"/>
  <c r="O130" i="3"/>
  <c r="O129" i="3"/>
  <c r="P129" i="3" s="1"/>
  <c r="Q129" i="3" s="1"/>
  <c r="P128" i="3"/>
  <c r="Q128" i="3" s="1"/>
  <c r="O128" i="3"/>
  <c r="P127" i="3"/>
  <c r="Q127" i="3" s="1"/>
  <c r="O127" i="3"/>
  <c r="O126" i="3"/>
  <c r="P126" i="3" s="1"/>
  <c r="Q126" i="3" s="1"/>
  <c r="O125" i="3"/>
  <c r="P125" i="3" s="1"/>
  <c r="Q125" i="3" s="1"/>
  <c r="P124" i="3"/>
  <c r="Q124" i="3" s="1"/>
  <c r="O124" i="3"/>
  <c r="O123" i="3"/>
  <c r="P123" i="3" s="1"/>
  <c r="Q123" i="3" s="1"/>
  <c r="P122" i="3"/>
  <c r="Q122" i="3" s="1"/>
  <c r="O122" i="3"/>
  <c r="Q121" i="3"/>
  <c r="O121" i="3"/>
  <c r="P121" i="3" s="1"/>
  <c r="O120" i="3"/>
  <c r="P120" i="3" s="1"/>
  <c r="Q120" i="3" s="1"/>
  <c r="O119" i="3"/>
  <c r="P119" i="3" s="1"/>
  <c r="Q119" i="3" s="1"/>
  <c r="P118" i="3"/>
  <c r="Q118" i="3" s="1"/>
  <c r="O118" i="3"/>
  <c r="P117" i="3"/>
  <c r="Q117" i="3" s="1"/>
  <c r="O117" i="3"/>
  <c r="O116" i="3"/>
  <c r="P116" i="3" s="1"/>
  <c r="Q116" i="3" s="1"/>
  <c r="O115" i="3"/>
  <c r="P115" i="3" s="1"/>
  <c r="Q115" i="3" s="1"/>
  <c r="P114" i="3"/>
  <c r="Q114" i="3" s="1"/>
  <c r="O114" i="3"/>
  <c r="P113" i="3"/>
  <c r="Q113" i="3" s="1"/>
  <c r="O113" i="3"/>
  <c r="O112" i="3"/>
  <c r="P112" i="3" s="1"/>
  <c r="Q112" i="3" s="1"/>
  <c r="O111" i="3"/>
  <c r="P111" i="3" s="1"/>
  <c r="Q111" i="3" s="1"/>
  <c r="Q110" i="3"/>
  <c r="P110" i="3"/>
  <c r="O110" i="3"/>
  <c r="O109" i="3"/>
  <c r="P109" i="3" s="1"/>
  <c r="Q109" i="3" s="1"/>
  <c r="P108" i="3"/>
  <c r="Q108" i="3" s="1"/>
  <c r="O108" i="3"/>
  <c r="O107" i="3"/>
  <c r="P107" i="3" s="1"/>
  <c r="Q107" i="3" s="1"/>
  <c r="O106" i="3"/>
  <c r="P106" i="3" s="1"/>
  <c r="Q106" i="3" s="1"/>
  <c r="O105" i="3"/>
  <c r="P105" i="3" s="1"/>
  <c r="Q105" i="3" s="1"/>
  <c r="P104" i="3"/>
  <c r="Q104" i="3" s="1"/>
  <c r="O104" i="3"/>
  <c r="P103" i="3"/>
  <c r="Q103" i="3" s="1"/>
  <c r="O103" i="3"/>
  <c r="O102" i="3"/>
  <c r="P102" i="3" s="1"/>
  <c r="Q102" i="3" s="1"/>
  <c r="P101" i="3"/>
  <c r="Q101" i="3" s="1"/>
  <c r="O101" i="3"/>
  <c r="P100" i="3"/>
  <c r="Q100" i="3" s="1"/>
  <c r="O100" i="3"/>
  <c r="P99" i="3"/>
  <c r="Q99" i="3" s="1"/>
  <c r="O99" i="3"/>
  <c r="O98" i="3"/>
  <c r="P98" i="3" s="1"/>
  <c r="Q98" i="3" s="1"/>
  <c r="P97" i="3"/>
  <c r="Q97" i="3" s="1"/>
  <c r="O97" i="3"/>
  <c r="O96" i="3"/>
  <c r="P96" i="3" s="1"/>
  <c r="Q96" i="3" s="1"/>
  <c r="Q95" i="3"/>
  <c r="O95" i="3"/>
  <c r="P95" i="3" s="1"/>
  <c r="O94" i="3"/>
  <c r="P94" i="3" s="1"/>
  <c r="Q94" i="3" s="1"/>
  <c r="Q93" i="3"/>
  <c r="O93" i="3"/>
  <c r="P93" i="3" s="1"/>
  <c r="P92" i="3"/>
  <c r="Q92" i="3" s="1"/>
  <c r="O92" i="3"/>
  <c r="O91" i="3"/>
  <c r="P91" i="3" s="1"/>
  <c r="Q91" i="3" s="1"/>
  <c r="O90" i="3"/>
  <c r="P90" i="3" s="1"/>
  <c r="Q90" i="3" s="1"/>
  <c r="Q89" i="3"/>
  <c r="O89" i="3"/>
  <c r="P89" i="3" s="1"/>
  <c r="O88" i="3"/>
  <c r="P88" i="3" s="1"/>
  <c r="Q88" i="3" s="1"/>
  <c r="P87" i="3"/>
  <c r="Q87" i="3" s="1"/>
  <c r="O87" i="3"/>
  <c r="P86" i="3"/>
  <c r="Q86" i="3" s="1"/>
  <c r="O86" i="3"/>
  <c r="O85" i="3"/>
  <c r="P85" i="3" s="1"/>
  <c r="Q85" i="3" s="1"/>
  <c r="P84" i="3"/>
  <c r="Q84" i="3" s="1"/>
  <c r="O84" i="3"/>
  <c r="P83" i="3"/>
  <c r="Q83" i="3" s="1"/>
  <c r="O83" i="3"/>
  <c r="O82" i="3"/>
  <c r="P82" i="3" s="1"/>
  <c r="Q82" i="3" s="1"/>
  <c r="Q81" i="3"/>
  <c r="O81" i="3"/>
  <c r="P81" i="3" s="1"/>
  <c r="O80" i="3"/>
  <c r="P80" i="3" s="1"/>
  <c r="Q80" i="3" s="1"/>
  <c r="O79" i="3"/>
  <c r="P79" i="3" s="1"/>
  <c r="Q79" i="3" s="1"/>
  <c r="P78" i="3"/>
  <c r="Q78" i="3" s="1"/>
  <c r="O78" i="3"/>
  <c r="O77" i="3"/>
  <c r="P77" i="3" s="1"/>
  <c r="Q77" i="3" s="1"/>
  <c r="O76" i="3"/>
  <c r="P76" i="3" s="1"/>
  <c r="Q76" i="3" s="1"/>
  <c r="O75" i="3"/>
  <c r="P75" i="3" s="1"/>
  <c r="Q75" i="3" s="1"/>
  <c r="O74" i="3"/>
  <c r="P74" i="3" s="1"/>
  <c r="Q74" i="3" s="1"/>
  <c r="P73" i="3"/>
  <c r="Q73" i="3" s="1"/>
  <c r="O73" i="3"/>
  <c r="Q72" i="3"/>
  <c r="P72" i="3"/>
  <c r="O72" i="3"/>
  <c r="O71" i="3"/>
  <c r="P71" i="3" s="1"/>
  <c r="Q71" i="3" s="1"/>
  <c r="O70" i="3"/>
  <c r="P70" i="3" s="1"/>
  <c r="Q70" i="3" s="1"/>
  <c r="P69" i="3"/>
  <c r="Q69" i="3" s="1"/>
  <c r="O69" i="3"/>
  <c r="O68" i="3"/>
  <c r="P68" i="3" s="1"/>
  <c r="Q68" i="3" s="1"/>
  <c r="O67" i="3"/>
  <c r="P67" i="3" s="1"/>
  <c r="Q67" i="3" s="1"/>
  <c r="O66" i="3"/>
  <c r="P66" i="3" s="1"/>
  <c r="Q66" i="3" s="1"/>
  <c r="P65" i="3"/>
  <c r="Q65" i="3" s="1"/>
  <c r="O65" i="3"/>
  <c r="P64" i="3"/>
  <c r="Q64" i="3" s="1"/>
  <c r="O64" i="3"/>
  <c r="O63" i="3"/>
  <c r="P63" i="3" s="1"/>
  <c r="Q63" i="3" s="1"/>
  <c r="O62" i="3"/>
  <c r="P62" i="3" s="1"/>
  <c r="Q62" i="3" s="1"/>
  <c r="P61" i="3"/>
  <c r="Q61" i="3" s="1"/>
  <c r="O61" i="3"/>
  <c r="O60" i="3"/>
  <c r="P60" i="3" s="1"/>
  <c r="Q60" i="3" s="1"/>
  <c r="Q59" i="3"/>
  <c r="P59" i="3"/>
  <c r="O59" i="3"/>
  <c r="Q58" i="3"/>
  <c r="P58" i="3"/>
  <c r="O58" i="3"/>
  <c r="O57" i="3"/>
  <c r="P57" i="3" s="1"/>
  <c r="Q57" i="3" s="1"/>
  <c r="Q56" i="3"/>
  <c r="P56" i="3"/>
  <c r="O56" i="3"/>
  <c r="O55" i="3"/>
  <c r="P55" i="3" s="1"/>
  <c r="Q55" i="3" s="1"/>
  <c r="Q54" i="3"/>
  <c r="O54" i="3"/>
  <c r="P54" i="3" s="1"/>
  <c r="O53" i="3"/>
  <c r="P53" i="3" s="1"/>
  <c r="Q53" i="3" s="1"/>
  <c r="O52" i="3"/>
  <c r="P52" i="3" s="1"/>
  <c r="Q52" i="3" s="1"/>
  <c r="O51" i="3"/>
  <c r="P51" i="3" s="1"/>
  <c r="Q51" i="3" s="1"/>
  <c r="P50" i="3"/>
  <c r="Q50" i="3" s="1"/>
  <c r="O50" i="3"/>
  <c r="O49" i="3"/>
  <c r="P49" i="3" s="1"/>
  <c r="Q49" i="3" s="1"/>
  <c r="O48" i="3"/>
  <c r="P48" i="3" s="1"/>
  <c r="Q48" i="3" s="1"/>
  <c r="P47" i="3"/>
  <c r="Q47" i="3" s="1"/>
  <c r="O47" i="3"/>
  <c r="O46" i="3"/>
  <c r="P46" i="3" s="1"/>
  <c r="Q46" i="3" s="1"/>
  <c r="O45" i="3"/>
  <c r="P45" i="3" s="1"/>
  <c r="Q45" i="3" s="1"/>
  <c r="Q44" i="3"/>
  <c r="P44" i="3"/>
  <c r="O44" i="3"/>
  <c r="P43" i="3"/>
  <c r="Q43" i="3" s="1"/>
  <c r="O43" i="3"/>
  <c r="P42" i="3"/>
  <c r="Q42" i="3" s="1"/>
  <c r="O42" i="3"/>
  <c r="O41" i="3"/>
  <c r="P41" i="3" s="1"/>
  <c r="Q41" i="3" s="1"/>
  <c r="O40" i="3"/>
  <c r="P40" i="3" s="1"/>
  <c r="Q40" i="3" s="1"/>
  <c r="O39" i="3"/>
  <c r="P39" i="3" s="1"/>
  <c r="Q39" i="3" s="1"/>
  <c r="P38" i="3"/>
  <c r="Q38" i="3" s="1"/>
  <c r="O38" i="3"/>
  <c r="O37" i="3"/>
  <c r="P37" i="3" s="1"/>
  <c r="Q37" i="3" s="1"/>
  <c r="Q36" i="3"/>
  <c r="P36" i="3"/>
  <c r="O36" i="3"/>
  <c r="O35" i="3"/>
  <c r="P35" i="3" s="1"/>
  <c r="Q35" i="3" s="1"/>
  <c r="O34" i="3"/>
  <c r="P34" i="3" s="1"/>
  <c r="Q34" i="3" s="1"/>
  <c r="P33" i="3"/>
  <c r="Q33" i="3" s="1"/>
  <c r="O33" i="3"/>
  <c r="O32" i="3"/>
  <c r="P32" i="3" s="1"/>
  <c r="Q32" i="3" s="1"/>
  <c r="O31" i="3"/>
  <c r="P31" i="3" s="1"/>
  <c r="Q31" i="3" s="1"/>
  <c r="Q30" i="3"/>
  <c r="P30" i="3"/>
  <c r="O30" i="3"/>
  <c r="P29" i="3"/>
  <c r="Q29" i="3" s="1"/>
  <c r="O29" i="3"/>
  <c r="O28" i="3"/>
  <c r="P28" i="3" s="1"/>
  <c r="Q28" i="3" s="1"/>
  <c r="P27" i="3"/>
  <c r="Q27" i="3" s="1"/>
  <c r="O27" i="3"/>
  <c r="O26" i="3"/>
  <c r="P26" i="3" s="1"/>
  <c r="Q26" i="3" s="1"/>
  <c r="Q25" i="3"/>
  <c r="O25" i="3"/>
  <c r="P25" i="3" s="1"/>
  <c r="P24" i="3"/>
  <c r="Q24" i="3" s="1"/>
  <c r="O24" i="3"/>
  <c r="O23" i="3"/>
  <c r="P23" i="3" s="1"/>
  <c r="Q23" i="3" s="1"/>
  <c r="P22" i="3"/>
  <c r="Q22" i="3" s="1"/>
  <c r="O22" i="3"/>
  <c r="O21" i="3"/>
  <c r="P21" i="3" s="1"/>
  <c r="Q21" i="3" s="1"/>
  <c r="O20" i="3"/>
  <c r="P20" i="3" s="1"/>
  <c r="Q20" i="3" s="1"/>
  <c r="P19" i="3"/>
  <c r="Q19" i="3" s="1"/>
  <c r="O19" i="3"/>
  <c r="O18" i="3"/>
  <c r="P18" i="3" s="1"/>
  <c r="Q18" i="3" s="1"/>
  <c r="O17" i="3"/>
  <c r="P17" i="3" s="1"/>
  <c r="Q17" i="3" s="1"/>
  <c r="P16" i="3"/>
  <c r="Q16" i="3" s="1"/>
  <c r="O16" i="3"/>
  <c r="P15" i="3"/>
  <c r="Q15" i="3" s="1"/>
  <c r="O15" i="3"/>
  <c r="O14" i="3"/>
  <c r="P14" i="3" s="1"/>
  <c r="Q14" i="3" s="1"/>
  <c r="P13" i="3"/>
  <c r="Q13" i="3" s="1"/>
  <c r="O13" i="3"/>
  <c r="O12" i="3"/>
  <c r="P12" i="3" s="1"/>
  <c r="Q12" i="3" s="1"/>
  <c r="O11" i="3"/>
  <c r="P11" i="3" s="1"/>
  <c r="Q11" i="3" s="1"/>
  <c r="P10" i="3"/>
  <c r="Q10" i="3" s="1"/>
  <c r="O10" i="3"/>
  <c r="O9" i="3"/>
  <c r="P9" i="3" s="1"/>
  <c r="Q9" i="3" s="1"/>
  <c r="Q8" i="3"/>
  <c r="P8" i="3"/>
  <c r="O8" i="3"/>
  <c r="Q7" i="3"/>
  <c r="P7" i="3"/>
  <c r="O7" i="3"/>
  <c r="Q6" i="3"/>
  <c r="P6" i="3"/>
  <c r="O6" i="3"/>
  <c r="Q5" i="3"/>
  <c r="P5" i="3"/>
  <c r="O5" i="3"/>
  <c r="Q4" i="3"/>
  <c r="P4" i="3"/>
  <c r="O4" i="3"/>
  <c r="Q3" i="3"/>
  <c r="P3" i="3"/>
  <c r="O3" i="3"/>
  <c r="Q2" i="3"/>
  <c r="P2" i="3"/>
  <c r="O2" i="3"/>
  <c r="F21" i="10" l="1"/>
  <c r="F20" i="10"/>
  <c r="P8" i="10"/>
  <c r="P7" i="10"/>
  <c r="P6" i="10"/>
  <c r="O6" i="10"/>
  <c r="F6" i="10"/>
  <c r="O5" i="10"/>
  <c r="P5" i="10" s="1"/>
  <c r="O4" i="10"/>
  <c r="P4" i="10" s="1"/>
  <c r="G4" i="10"/>
  <c r="F4" i="10"/>
  <c r="F8" i="10" s="1"/>
  <c r="O3" i="10"/>
  <c r="P3" i="10" s="1"/>
</calcChain>
</file>

<file path=xl/sharedStrings.xml><?xml version="1.0" encoding="utf-8"?>
<sst xmlns="http://schemas.openxmlformats.org/spreadsheetml/2006/main" count="10889" uniqueCount="2580">
  <si>
    <t>Transfer Function</t>
  </si>
  <si>
    <t>unit</t>
  </si>
  <si>
    <t>type</t>
  </si>
  <si>
    <t>Pressure Min</t>
  </si>
  <si>
    <t>in H2O</t>
  </si>
  <si>
    <t>gauge</t>
  </si>
  <si>
    <t>Pressure Max</t>
  </si>
  <si>
    <t>Output Min</t>
  </si>
  <si>
    <t>%</t>
  </si>
  <si>
    <t>Output Max</t>
  </si>
  <si>
    <t>Supply Voltage:</t>
  </si>
  <si>
    <t>volts</t>
  </si>
  <si>
    <t>Pressure AZ</t>
  </si>
  <si>
    <t>Product Specification</t>
  </si>
  <si>
    <t>Spec Limits (+/- %FSS)</t>
  </si>
  <si>
    <t>25C Only?</t>
  </si>
  <si>
    <t>TEB Limit:</t>
  </si>
  <si>
    <t>Offset:</t>
  </si>
  <si>
    <t>Span:</t>
  </si>
  <si>
    <t>Linearity:</t>
  </si>
  <si>
    <t>Pressure Hyst:</t>
  </si>
  <si>
    <t>Temp Hyst:</t>
  </si>
  <si>
    <t>Accuracy (BSFL):</t>
  </si>
  <si>
    <t>Product Limits</t>
  </si>
  <si>
    <t>Low Output Rail:</t>
  </si>
  <si>
    <t>High Output Rail:</t>
  </si>
  <si>
    <t>Low Comp Temp:</t>
  </si>
  <si>
    <r>
      <rPr>
        <sz val="10"/>
        <rFont val="Symbol"/>
        <family val="1"/>
        <charset val="2"/>
      </rPr>
      <t>°</t>
    </r>
    <r>
      <rPr>
        <sz val="11"/>
        <color theme="1"/>
        <rFont val="Aptos Narrow"/>
        <family val="2"/>
        <scheme val="minor"/>
      </rPr>
      <t>C</t>
    </r>
  </si>
  <si>
    <t>High Comp Temp:</t>
  </si>
  <si>
    <t>Cable</t>
  </si>
  <si>
    <t>Sensors</t>
  </si>
  <si>
    <t>Temperatures</t>
  </si>
  <si>
    <t>Pressures</t>
  </si>
  <si>
    <t>Units</t>
  </si>
  <si>
    <t>psi</t>
  </si>
  <si>
    <t>Bar</t>
  </si>
  <si>
    <t>mBar</t>
  </si>
  <si>
    <t>kPa</t>
  </si>
  <si>
    <t>MPa</t>
  </si>
  <si>
    <t>cm H2O</t>
  </si>
  <si>
    <t>History</t>
  </si>
  <si>
    <t>Revision:</t>
  </si>
  <si>
    <t>7.3.1</t>
  </si>
  <si>
    <t>Product Information</t>
  </si>
  <si>
    <t>Date:</t>
  </si>
  <si>
    <t>Author:</t>
  </si>
  <si>
    <t>PBR</t>
  </si>
  <si>
    <t>Honeywell Part #:</t>
  </si>
  <si>
    <t>WR#203023</t>
  </si>
  <si>
    <t>Default Data Directory:</t>
  </si>
  <si>
    <t>C:\Users\E477457\Desktop\CHAR After REFLOW\Initial Char</t>
  </si>
  <si>
    <t>Loaded File:</t>
  </si>
  <si>
    <t>Instructions:</t>
  </si>
  <si>
    <t>1) Select Analysis Type with the pull down selector</t>
  </si>
  <si>
    <t>2) Enter Transfer Function information and/or Pressure Information</t>
  </si>
  <si>
    <t>3) Enter Specification and Product Limits -- if applicable</t>
  </si>
  <si>
    <t>4) Set the Default Data Directory where the data is located</t>
  </si>
  <si>
    <t>Ratiometric Voltage</t>
  </si>
  <si>
    <t>5) Press the "Import Data File" button and import your data</t>
  </si>
  <si>
    <t>Regulated Voltage</t>
    <phoneticPr fontId="0" type="noConversion"/>
  </si>
  <si>
    <t>Current Output</t>
  </si>
  <si>
    <t>Digital Output</t>
  </si>
  <si>
    <t>Sensor Element Only</t>
  </si>
  <si>
    <t>RAW Data</t>
  </si>
  <si>
    <t>Serial Number</t>
  </si>
  <si>
    <t>Date</t>
  </si>
  <si>
    <t>Time</t>
  </si>
  <si>
    <t>Temp Setpoint (C)</t>
  </si>
  <si>
    <t>Current Temp (C)</t>
  </si>
  <si>
    <t>Ratio Output (v/v)</t>
  </si>
  <si>
    <t>Supply Voltage (v)</t>
  </si>
  <si>
    <t>Sensor Current (A)</t>
  </si>
  <si>
    <t>Cable #</t>
  </si>
  <si>
    <t>Ideal Output</t>
  </si>
  <si>
    <t>Error (%FS)</t>
  </si>
  <si>
    <t>Abs Error</t>
  </si>
  <si>
    <t>Offset</t>
  </si>
  <si>
    <t>Offset Error</t>
  </si>
  <si>
    <t>FSO</t>
  </si>
  <si>
    <t>FSO Error</t>
  </si>
  <si>
    <t>Span</t>
  </si>
  <si>
    <t>Span Error</t>
  </si>
  <si>
    <t>BFSL Values</t>
  </si>
  <si>
    <t>Error from BFSL</t>
  </si>
  <si>
    <t>Linearity Error</t>
  </si>
  <si>
    <t>Worst Case Error</t>
  </si>
  <si>
    <t>TEB</t>
  </si>
  <si>
    <t>Pressure Hysteresis</t>
  </si>
  <si>
    <t>Temperature Hysteresis</t>
  </si>
  <si>
    <t>Accuracy</t>
  </si>
  <si>
    <t>TEB Limit</t>
  </si>
  <si>
    <t>PassFail</t>
  </si>
  <si>
    <t>Listing Number</t>
  </si>
  <si>
    <t>Offset Error @ 25C</t>
  </si>
  <si>
    <t>Offset Error @ -20C</t>
  </si>
  <si>
    <t>Offset Error @ 0C</t>
  </si>
  <si>
    <t>Offset Error @ 10C</t>
  </si>
  <si>
    <t>Offset Error @ 50C</t>
  </si>
  <si>
    <t>Offset Error @ 70C</t>
  </si>
  <si>
    <t>Offset Error @ 85C</t>
  </si>
  <si>
    <t>Span Error @ 25C</t>
  </si>
  <si>
    <t>Span Error @ -20C</t>
  </si>
  <si>
    <t>Span Error @ 0C</t>
  </si>
  <si>
    <t>Span Error @ 10C</t>
  </si>
  <si>
    <t>Span Error @ 50C</t>
  </si>
  <si>
    <t>Span Error @ 70C</t>
  </si>
  <si>
    <t>Span Error @ 85C</t>
  </si>
  <si>
    <t>Linearity Error @ 25C</t>
  </si>
  <si>
    <t>Linearity Error @ -20C</t>
  </si>
  <si>
    <t>Linearity Error @ 0C</t>
  </si>
  <si>
    <t>Linearity Error @ 10C</t>
  </si>
  <si>
    <t>Linearity Error @ 50C</t>
  </si>
  <si>
    <t>Linearity Error @ 70C</t>
  </si>
  <si>
    <t>Linearity Error @ 85C</t>
  </si>
  <si>
    <t>TEB @ 25C</t>
  </si>
  <si>
    <t>TEB @ -20C</t>
  </si>
  <si>
    <t>TEB @ 0C</t>
  </si>
  <si>
    <t>TEB @ 10C</t>
  </si>
  <si>
    <t>TEB @ 50C</t>
  </si>
  <si>
    <t>TEB @ 70C</t>
  </si>
  <si>
    <t>TEB @ 85C</t>
  </si>
  <si>
    <t>Pressure Hysteresis Error @ 25C</t>
  </si>
  <si>
    <t>Temperature Hysteresis Error</t>
  </si>
  <si>
    <t>Accuracy Error</t>
  </si>
  <si>
    <t>Fail-TEB</t>
  </si>
  <si>
    <t>Offset Shift</t>
  </si>
  <si>
    <t>Output AZ</t>
  </si>
  <si>
    <t>Error AZ (%FSS)</t>
  </si>
  <si>
    <t>Offset AZ</t>
  </si>
  <si>
    <t>Offset Error AZ</t>
  </si>
  <si>
    <t>FSO AZ</t>
  </si>
  <si>
    <t>FSO Error AZ</t>
  </si>
  <si>
    <t>Worst Case Error AZ</t>
  </si>
  <si>
    <t>TEB AZ</t>
  </si>
  <si>
    <t>Offset Error AZ @ 25C</t>
  </si>
  <si>
    <t>Offset Error AZ @ -20C</t>
  </si>
  <si>
    <t>Offset Error AZ @ 0C</t>
  </si>
  <si>
    <t>Offset Error AZ @ 10C</t>
  </si>
  <si>
    <t>Offset Error AZ @ 50C</t>
  </si>
  <si>
    <t>Offset Error AZ @ 70C</t>
  </si>
  <si>
    <t>Offset Error AZ @ 85C</t>
  </si>
  <si>
    <t>TEB AZ @ 25C</t>
  </si>
  <si>
    <t>TEB AZ @ -20C</t>
  </si>
  <si>
    <t>TEB AZ @ 0C</t>
  </si>
  <si>
    <t>TEB AZ @ 10C</t>
  </si>
  <si>
    <t>TEB AZ @ 50C</t>
  </si>
  <si>
    <t>TEB AZ @ 70C</t>
  </si>
  <si>
    <t>TEB AZ @ 85C</t>
  </si>
  <si>
    <t>1_51</t>
  </si>
  <si>
    <t>1_52</t>
  </si>
  <si>
    <t>1_53</t>
  </si>
  <si>
    <t>1_54</t>
  </si>
  <si>
    <t>1_55</t>
  </si>
  <si>
    <t>1_56</t>
  </si>
  <si>
    <t>1_57</t>
  </si>
  <si>
    <t>1_58</t>
  </si>
  <si>
    <t>1_59</t>
  </si>
  <si>
    <t>1_60</t>
  </si>
  <si>
    <t>1_10</t>
  </si>
  <si>
    <t>Offset Error (%FSS)</t>
  </si>
  <si>
    <t>Span Error (%FSS)</t>
  </si>
  <si>
    <t>TEB (%FSS)</t>
  </si>
  <si>
    <t>Linearity Error (%FSS)</t>
  </si>
  <si>
    <t>Temperature (Deg C)</t>
  </si>
  <si>
    <t>Offset Error AZ (%FSS)</t>
  </si>
  <si>
    <t>TEB AZ (%FSS)</t>
  </si>
  <si>
    <t>Pressure Setpoint (in H2O g)</t>
  </si>
  <si>
    <t>Current Pressure (in H2O g)</t>
  </si>
  <si>
    <t>Pressure Output (counts/V)</t>
  </si>
  <si>
    <t>Secondary Output (v)</t>
  </si>
  <si>
    <t>Temperature Output (counts/C)</t>
  </si>
  <si>
    <t>1_1</t>
  </si>
  <si>
    <t>1_2</t>
  </si>
  <si>
    <t>1_3</t>
  </si>
  <si>
    <t>1_4</t>
  </si>
  <si>
    <t>1_5</t>
  </si>
  <si>
    <t>1_6</t>
  </si>
  <si>
    <t>1_7</t>
  </si>
  <si>
    <t>1_8</t>
  </si>
  <si>
    <t>1_9</t>
  </si>
  <si>
    <t>1_11</t>
  </si>
  <si>
    <t>1_12</t>
  </si>
  <si>
    <t>1_13</t>
  </si>
  <si>
    <t>1_14</t>
  </si>
  <si>
    <t>1_15</t>
  </si>
  <si>
    <t>1_16</t>
  </si>
  <si>
    <t>1_17</t>
  </si>
  <si>
    <t>1_18</t>
  </si>
  <si>
    <t>1_19</t>
  </si>
  <si>
    <t>1_20</t>
  </si>
  <si>
    <t>1_21</t>
  </si>
  <si>
    <t>1_22</t>
  </si>
  <si>
    <t>1_23</t>
  </si>
  <si>
    <t>1_24</t>
  </si>
  <si>
    <t>1_25</t>
  </si>
  <si>
    <t>1_26</t>
  </si>
  <si>
    <t>1_27</t>
  </si>
  <si>
    <t>1_28</t>
  </si>
  <si>
    <t>1_29</t>
  </si>
  <si>
    <t>1_30</t>
  </si>
  <si>
    <t>1_31</t>
  </si>
  <si>
    <t>1_32</t>
  </si>
  <si>
    <t>2_1</t>
  </si>
  <si>
    <t>2_2</t>
  </si>
  <si>
    <t>2_3</t>
  </si>
  <si>
    <t>2_4</t>
  </si>
  <si>
    <t>2_5</t>
  </si>
  <si>
    <t>2_6</t>
  </si>
  <si>
    <t>2_7</t>
  </si>
  <si>
    <t>2_8</t>
  </si>
  <si>
    <t>A117</t>
  </si>
  <si>
    <t>2_9</t>
  </si>
  <si>
    <t>A118</t>
  </si>
  <si>
    <t>2_10</t>
  </si>
  <si>
    <t>A119</t>
  </si>
  <si>
    <t>2_11</t>
  </si>
  <si>
    <t>A120</t>
  </si>
  <si>
    <t>2_12</t>
  </si>
  <si>
    <t>A121</t>
  </si>
  <si>
    <t>2_13</t>
  </si>
  <si>
    <t>A122</t>
  </si>
  <si>
    <t>2_14</t>
  </si>
  <si>
    <t>A123</t>
  </si>
  <si>
    <t>2_15</t>
  </si>
  <si>
    <t>A124</t>
  </si>
  <si>
    <t>2_16</t>
  </si>
  <si>
    <t>A125</t>
  </si>
  <si>
    <t>2_17</t>
  </si>
  <si>
    <t>A126</t>
  </si>
  <si>
    <t>2_18</t>
  </si>
  <si>
    <t>A001</t>
  </si>
  <si>
    <t>8/14/2026</t>
  </si>
  <si>
    <t>9:02:43 PM</t>
  </si>
  <si>
    <t>A002</t>
  </si>
  <si>
    <t>9:02:44 PM</t>
  </si>
  <si>
    <t>A003</t>
  </si>
  <si>
    <t>9:02:45 PM</t>
  </si>
  <si>
    <t>A004</t>
  </si>
  <si>
    <t>9:02:46 PM</t>
  </si>
  <si>
    <t>A005</t>
  </si>
  <si>
    <t>9:02:47 PM</t>
  </si>
  <si>
    <t>A006</t>
  </si>
  <si>
    <t>9:02:48 PM</t>
  </si>
  <si>
    <t>A007</t>
  </si>
  <si>
    <t>9:02:49 PM</t>
  </si>
  <si>
    <t>A008</t>
  </si>
  <si>
    <t>9:02:50 PM</t>
  </si>
  <si>
    <t>A009</t>
  </si>
  <si>
    <t>9:02:51 PM</t>
  </si>
  <si>
    <t>A010</t>
  </si>
  <si>
    <t>9:02:52 PM</t>
  </si>
  <si>
    <t>A011</t>
  </si>
  <si>
    <t>A012</t>
  </si>
  <si>
    <t>9:02:53 PM</t>
  </si>
  <si>
    <t>A013</t>
  </si>
  <si>
    <t>9:02:54 PM</t>
  </si>
  <si>
    <t>A014</t>
  </si>
  <si>
    <t>9:02:55 PM</t>
  </si>
  <si>
    <t>A015</t>
  </si>
  <si>
    <t>9:02:56 PM</t>
  </si>
  <si>
    <t>A016</t>
  </si>
  <si>
    <t>9:02:57 PM</t>
  </si>
  <si>
    <t>A017</t>
  </si>
  <si>
    <t>9:02:58 PM</t>
  </si>
  <si>
    <t>A018</t>
  </si>
  <si>
    <t>9:02:59 PM</t>
  </si>
  <si>
    <t>A019</t>
  </si>
  <si>
    <t>9:03:00 PM</t>
  </si>
  <si>
    <t>A020</t>
  </si>
  <si>
    <t>9:03:01 PM</t>
  </si>
  <si>
    <t>A021</t>
  </si>
  <si>
    <t>9:03:02 PM</t>
  </si>
  <si>
    <t>A022</t>
  </si>
  <si>
    <t>9:03:03 PM</t>
  </si>
  <si>
    <t>A023</t>
  </si>
  <si>
    <t>A024</t>
  </si>
  <si>
    <t>9:03:04 PM</t>
  </si>
  <si>
    <t>A025</t>
  </si>
  <si>
    <t>9:03:05 PM</t>
  </si>
  <si>
    <t>A026</t>
  </si>
  <si>
    <t>9:03:06 PM</t>
  </si>
  <si>
    <t>A027</t>
  </si>
  <si>
    <t>9:03:07 PM</t>
  </si>
  <si>
    <t>A028</t>
  </si>
  <si>
    <t>9:03:08 PM</t>
  </si>
  <si>
    <t>A029</t>
  </si>
  <si>
    <t>9:03:09 PM</t>
  </si>
  <si>
    <t>A030</t>
  </si>
  <si>
    <t>9:03:10 PM</t>
  </si>
  <si>
    <t>A031</t>
  </si>
  <si>
    <t>9:03:11 PM</t>
  </si>
  <si>
    <t>A032</t>
  </si>
  <si>
    <t>9:03:12 PM</t>
  </si>
  <si>
    <t>A033</t>
  </si>
  <si>
    <t>9:03:13 PM</t>
  </si>
  <si>
    <t>A034</t>
  </si>
  <si>
    <t>A035</t>
  </si>
  <si>
    <t>9:03:14 PM</t>
  </si>
  <si>
    <t>A036</t>
  </si>
  <si>
    <t>9:03:15 PM</t>
  </si>
  <si>
    <t>A037</t>
  </si>
  <si>
    <t>9:03:16 PM</t>
  </si>
  <si>
    <t>A038</t>
  </si>
  <si>
    <t>9:03:17 PM</t>
  </si>
  <si>
    <t>A039</t>
  </si>
  <si>
    <t>9:03:18 PM</t>
  </si>
  <si>
    <t>A040</t>
  </si>
  <si>
    <t>9:03:19 PM</t>
  </si>
  <si>
    <t>9:04:06 PM</t>
  </si>
  <si>
    <t>9:04:07 PM</t>
  </si>
  <si>
    <t>9:04:08 PM</t>
  </si>
  <si>
    <t>9:04:09 PM</t>
  </si>
  <si>
    <t>9:04:10 PM</t>
  </si>
  <si>
    <t>9:04:11 PM</t>
  </si>
  <si>
    <t>9:04:12 PM</t>
  </si>
  <si>
    <t>9:04:13 PM</t>
  </si>
  <si>
    <t>9:04:14 PM</t>
  </si>
  <si>
    <t>9:04:15 PM</t>
  </si>
  <si>
    <t>9:04:16 PM</t>
  </si>
  <si>
    <t>9:04:17 PM</t>
  </si>
  <si>
    <t>9:04:18 PM</t>
  </si>
  <si>
    <t>9:04:19 PM</t>
  </si>
  <si>
    <t>9:04:20 PM</t>
  </si>
  <si>
    <t>9:04:21 PM</t>
  </si>
  <si>
    <t>9:04:22 PM</t>
  </si>
  <si>
    <t>9:04:23 PM</t>
  </si>
  <si>
    <t>9:04:24 PM</t>
  </si>
  <si>
    <t>9:04:25 PM</t>
  </si>
  <si>
    <t>9:04:26 PM</t>
  </si>
  <si>
    <t>9:04:27 PM</t>
  </si>
  <si>
    <t>9:04:28 PM</t>
  </si>
  <si>
    <t>9:04:29 PM</t>
  </si>
  <si>
    <t>9:04:30 PM</t>
  </si>
  <si>
    <t>9:04:31 PM</t>
  </si>
  <si>
    <t>9:04:32 PM</t>
  </si>
  <si>
    <t>9:04:33 PM</t>
  </si>
  <si>
    <t>9:04:34 PM</t>
  </si>
  <si>
    <t>9:04:35 PM</t>
  </si>
  <si>
    <t>9:04:36 PM</t>
  </si>
  <si>
    <t>9:04:37 PM</t>
  </si>
  <si>
    <t>9:04:38 PM</t>
  </si>
  <si>
    <t>9:04:39 PM</t>
  </si>
  <si>
    <t>9:04:40 PM</t>
  </si>
  <si>
    <t>9:04:41 PM</t>
  </si>
  <si>
    <t>9:05:29 PM</t>
  </si>
  <si>
    <t>9:05:30 PM</t>
  </si>
  <si>
    <t>9:05:31 PM</t>
  </si>
  <si>
    <t>9:05:32 PM</t>
  </si>
  <si>
    <t>9:05:33 PM</t>
  </si>
  <si>
    <t>9:05:34 PM</t>
  </si>
  <si>
    <t>9:05:35 PM</t>
  </si>
  <si>
    <t>9:05:36 PM</t>
  </si>
  <si>
    <t>9:05:37 PM</t>
  </si>
  <si>
    <t>9:05:38 PM</t>
  </si>
  <si>
    <t>9:05:39 PM</t>
  </si>
  <si>
    <t>9:05:40 PM</t>
  </si>
  <si>
    <t>9:05:41 PM</t>
  </si>
  <si>
    <t>9:05:42 PM</t>
  </si>
  <si>
    <t>9:05:43 PM</t>
  </si>
  <si>
    <t>9:05:44 PM</t>
  </si>
  <si>
    <t>9:05:45 PM</t>
  </si>
  <si>
    <t>9:05:46 PM</t>
  </si>
  <si>
    <t>9:05:47 PM</t>
  </si>
  <si>
    <t>9:05:48 PM</t>
  </si>
  <si>
    <t>9:05:49 PM</t>
  </si>
  <si>
    <t>9:05:50 PM</t>
  </si>
  <si>
    <t>9:05:51 PM</t>
  </si>
  <si>
    <t>9:05:52 PM</t>
  </si>
  <si>
    <t>9:05:53 PM</t>
  </si>
  <si>
    <t>9:05:54 PM</t>
  </si>
  <si>
    <t>9:05:55 PM</t>
  </si>
  <si>
    <t>9:05:56 PM</t>
  </si>
  <si>
    <t>9:05:57 PM</t>
  </si>
  <si>
    <t>9:05:58 PM</t>
  </si>
  <si>
    <t>9:05:59 PM</t>
  </si>
  <si>
    <t>9:06:00 PM</t>
  </si>
  <si>
    <t>9:06:01 PM</t>
  </si>
  <si>
    <t>9:06:02 PM</t>
  </si>
  <si>
    <t>9:06:03 PM</t>
  </si>
  <si>
    <t>9:06:04 PM</t>
  </si>
  <si>
    <t>9:06:05 PM</t>
  </si>
  <si>
    <t>9:06:52 PM</t>
  </si>
  <si>
    <t>9:06:53 PM</t>
  </si>
  <si>
    <t>9:06:54 PM</t>
  </si>
  <si>
    <t>9:06:55 PM</t>
  </si>
  <si>
    <t>9:06:56 PM</t>
  </si>
  <si>
    <t>9:06:57 PM</t>
  </si>
  <si>
    <t>9:06:58 PM</t>
  </si>
  <si>
    <t>9:06:59 PM</t>
  </si>
  <si>
    <t>9:07:00 PM</t>
  </si>
  <si>
    <t>9:07:01 PM</t>
  </si>
  <si>
    <t>9:07:02 PM</t>
  </si>
  <si>
    <t>9:07:03 PM</t>
  </si>
  <si>
    <t>9:07:04 PM</t>
  </si>
  <si>
    <t>9:07:05 PM</t>
  </si>
  <si>
    <t>9:07:06 PM</t>
  </si>
  <si>
    <t>9:07:07 PM</t>
  </si>
  <si>
    <t>9:07:08 PM</t>
  </si>
  <si>
    <t>9:07:09 PM</t>
  </si>
  <si>
    <t>9:07:10 PM</t>
  </si>
  <si>
    <t>9:07:11 PM</t>
  </si>
  <si>
    <t>9:07:12 PM</t>
  </si>
  <si>
    <t>9:07:13 PM</t>
  </si>
  <si>
    <t>9:07:14 PM</t>
  </si>
  <si>
    <t>9:07:15 PM</t>
  </si>
  <si>
    <t>9:07:16 PM</t>
  </si>
  <si>
    <t>9:07:17 PM</t>
  </si>
  <si>
    <t>9:07:18 PM</t>
  </si>
  <si>
    <t>9:07:19 PM</t>
  </si>
  <si>
    <t>9:07:20 PM</t>
  </si>
  <si>
    <t>9:07:21 PM</t>
  </si>
  <si>
    <t>9:07:22 PM</t>
  </si>
  <si>
    <t>9:07:23 PM</t>
  </si>
  <si>
    <t>9:07:24 PM</t>
  </si>
  <si>
    <t>9:07:25 PM</t>
  </si>
  <si>
    <t>9:07:26 PM</t>
  </si>
  <si>
    <t>9:07:27 PM</t>
  </si>
  <si>
    <t>9:07:28 PM</t>
  </si>
  <si>
    <t>9:08:16 PM</t>
  </si>
  <si>
    <t>9:08:17 PM</t>
  </si>
  <si>
    <t>9:08:18 PM</t>
  </si>
  <si>
    <t>9:08:19 PM</t>
  </si>
  <si>
    <t>9:08:20 PM</t>
  </si>
  <si>
    <t>9:08:21 PM</t>
  </si>
  <si>
    <t>9:08:22 PM</t>
  </si>
  <si>
    <t>9:08:23 PM</t>
  </si>
  <si>
    <t>9:08:24 PM</t>
  </si>
  <si>
    <t>9:08:25 PM</t>
  </si>
  <si>
    <t>9:08:26 PM</t>
  </si>
  <si>
    <t>9:08:27 PM</t>
  </si>
  <si>
    <t>9:08:28 PM</t>
  </si>
  <si>
    <t>9:08:29 PM</t>
  </si>
  <si>
    <t>9:08:30 PM</t>
  </si>
  <si>
    <t>9:08:31 PM</t>
  </si>
  <si>
    <t>9:08:32 PM</t>
  </si>
  <si>
    <t>9:08:33 PM</t>
  </si>
  <si>
    <t>9:08:34 PM</t>
  </si>
  <si>
    <t>9:08:35 PM</t>
  </si>
  <si>
    <t>9:08:36 PM</t>
  </si>
  <si>
    <t>9:08:37 PM</t>
  </si>
  <si>
    <t>9:08:38 PM</t>
  </si>
  <si>
    <t>9:08:39 PM</t>
  </si>
  <si>
    <t>9:08:40 PM</t>
  </si>
  <si>
    <t>9:08:41 PM</t>
  </si>
  <si>
    <t>9:08:42 PM</t>
  </si>
  <si>
    <t>9:08:43 PM</t>
  </si>
  <si>
    <t>9:08:44 PM</t>
  </si>
  <si>
    <t>9:08:45 PM</t>
  </si>
  <si>
    <t>9:08:46 PM</t>
  </si>
  <si>
    <t>9:08:47 PM</t>
  </si>
  <si>
    <t>9:08:48 PM</t>
  </si>
  <si>
    <t>9:08:49 PM</t>
  </si>
  <si>
    <t>9:08:50 PM</t>
  </si>
  <si>
    <t>9:08:51 PM</t>
  </si>
  <si>
    <t>9:08:52 PM</t>
  </si>
  <si>
    <t>9:09:41 PM</t>
  </si>
  <si>
    <t>9:09:42 PM</t>
  </si>
  <si>
    <t>9:09:43 PM</t>
  </si>
  <si>
    <t>9:09:44 PM</t>
  </si>
  <si>
    <t>9:09:45 PM</t>
  </si>
  <si>
    <t>9:09:46 PM</t>
  </si>
  <si>
    <t>9:09:47 PM</t>
  </si>
  <si>
    <t>9:09:48 PM</t>
  </si>
  <si>
    <t>9:09:49 PM</t>
  </si>
  <si>
    <t>9:09:50 PM</t>
  </si>
  <si>
    <t>9:09:51 PM</t>
  </si>
  <si>
    <t>9:09:52 PM</t>
  </si>
  <si>
    <t>9:09:53 PM</t>
  </si>
  <si>
    <t>9:09:54 PM</t>
  </si>
  <si>
    <t>9:09:55 PM</t>
  </si>
  <si>
    <t>9:09:56 PM</t>
  </si>
  <si>
    <t>9:09:57 PM</t>
  </si>
  <si>
    <t>9:09:58 PM</t>
  </si>
  <si>
    <t>9:09:59 PM</t>
  </si>
  <si>
    <t>9:10:00 PM</t>
  </si>
  <si>
    <t>9:10:01 PM</t>
  </si>
  <si>
    <t>9:10:02 PM</t>
  </si>
  <si>
    <t>9:10:03 PM</t>
  </si>
  <si>
    <t>9:10:04 PM</t>
  </si>
  <si>
    <t>9:10:05 PM</t>
  </si>
  <si>
    <t>9:10:06 PM</t>
  </si>
  <si>
    <t>9:10:07 PM</t>
  </si>
  <si>
    <t>9:10:08 PM</t>
  </si>
  <si>
    <t>9:10:09 PM</t>
  </si>
  <si>
    <t>9:10:10 PM</t>
  </si>
  <si>
    <t>9:10:11 PM</t>
  </si>
  <si>
    <t>9:10:12 PM</t>
  </si>
  <si>
    <t>9:10:13 PM</t>
  </si>
  <si>
    <t>9:10:14 PM</t>
  </si>
  <si>
    <t>9:10:15 PM</t>
  </si>
  <si>
    <t>9:10:16 PM</t>
  </si>
  <si>
    <t>9:10:17 PM</t>
  </si>
  <si>
    <t>9:11:06 PM</t>
  </si>
  <si>
    <t>9:11:07 PM</t>
  </si>
  <si>
    <t>9:11:08 PM</t>
  </si>
  <si>
    <t>9:11:09 PM</t>
  </si>
  <si>
    <t>9:11:10 PM</t>
  </si>
  <si>
    <t>9:11:11 PM</t>
  </si>
  <si>
    <t>9:11:12 PM</t>
  </si>
  <si>
    <t>9:11:13 PM</t>
  </si>
  <si>
    <t>9:11:14 PM</t>
  </si>
  <si>
    <t>9:11:15 PM</t>
  </si>
  <si>
    <t>9:11:16 PM</t>
  </si>
  <si>
    <t>9:11:17 PM</t>
  </si>
  <si>
    <t>9:11:18 PM</t>
  </si>
  <si>
    <t>9:11:19 PM</t>
  </si>
  <si>
    <t>9:11:20 PM</t>
  </si>
  <si>
    <t>9:11:21 PM</t>
  </si>
  <si>
    <t>9:11:22 PM</t>
  </si>
  <si>
    <t>9:11:23 PM</t>
  </si>
  <si>
    <t>9:11:24 PM</t>
  </si>
  <si>
    <t>9:11:25 PM</t>
  </si>
  <si>
    <t>9:11:26 PM</t>
  </si>
  <si>
    <t>9:11:27 PM</t>
  </si>
  <si>
    <t>9:11:28 PM</t>
  </si>
  <si>
    <t>9:11:29 PM</t>
  </si>
  <si>
    <t>9:11:30 PM</t>
  </si>
  <si>
    <t>9:11:31 PM</t>
  </si>
  <si>
    <t>9:11:32 PM</t>
  </si>
  <si>
    <t>9:11:33 PM</t>
  </si>
  <si>
    <t>9:11:34 PM</t>
  </si>
  <si>
    <t>9:11:35 PM</t>
  </si>
  <si>
    <t>9:11:36 PM</t>
  </si>
  <si>
    <t>9:11:37 PM</t>
  </si>
  <si>
    <t>9:11:38 PM</t>
  </si>
  <si>
    <t>9:11:39 PM</t>
  </si>
  <si>
    <t>9:11:40 PM</t>
  </si>
  <si>
    <t>9:11:41 PM</t>
  </si>
  <si>
    <t>9:11:42 PM</t>
  </si>
  <si>
    <t>10:03:41 PM</t>
  </si>
  <si>
    <t>10:03:42 PM</t>
  </si>
  <si>
    <t>10:03:43 PM</t>
  </si>
  <si>
    <t>10:03:44 PM</t>
  </si>
  <si>
    <t>10:03:45 PM</t>
  </si>
  <si>
    <t>10:03:46 PM</t>
  </si>
  <si>
    <t>10:03:47 PM</t>
  </si>
  <si>
    <t>10:03:48 PM</t>
  </si>
  <si>
    <t>10:03:49 PM</t>
  </si>
  <si>
    <t>10:03:50 PM</t>
  </si>
  <si>
    <t>10:03:51 PM</t>
  </si>
  <si>
    <t>10:03:52 PM</t>
  </si>
  <si>
    <t>10:03:53 PM</t>
  </si>
  <si>
    <t>10:03:54 PM</t>
  </si>
  <si>
    <t>10:03:55 PM</t>
  </si>
  <si>
    <t>10:03:56 PM</t>
  </si>
  <si>
    <t>10:03:57 PM</t>
  </si>
  <si>
    <t>10:03:58 PM</t>
  </si>
  <si>
    <t>10:03:59 PM</t>
  </si>
  <si>
    <t>10:04:00 PM</t>
  </si>
  <si>
    <t>10:04:01 PM</t>
  </si>
  <si>
    <t>10:04:02 PM</t>
  </si>
  <si>
    <t>10:04:03 PM</t>
  </si>
  <si>
    <t>10:04:04 PM</t>
  </si>
  <si>
    <t>10:04:05 PM</t>
  </si>
  <si>
    <t>10:04:06 PM</t>
  </si>
  <si>
    <t>10:04:07 PM</t>
  </si>
  <si>
    <t>10:04:08 PM</t>
  </si>
  <si>
    <t>10:04:09 PM</t>
  </si>
  <si>
    <t>10:04:10 PM</t>
  </si>
  <si>
    <t>10:04:11 PM</t>
  </si>
  <si>
    <t>10:04:12 PM</t>
  </si>
  <si>
    <t>10:04:13 PM</t>
  </si>
  <si>
    <t>10:04:14 PM</t>
  </si>
  <si>
    <t>10:04:15 PM</t>
  </si>
  <si>
    <t>10:04:16 PM</t>
  </si>
  <si>
    <t>10:04:17 PM</t>
  </si>
  <si>
    <t>10:05:06 PM</t>
  </si>
  <si>
    <t>10:05:07 PM</t>
  </si>
  <si>
    <t>10:05:08 PM</t>
  </si>
  <si>
    <t>10:05:09 PM</t>
  </si>
  <si>
    <t>10:05:10 PM</t>
  </si>
  <si>
    <t>10:05:11 PM</t>
  </si>
  <si>
    <t>10:05:12 PM</t>
  </si>
  <si>
    <t>10:05:13 PM</t>
  </si>
  <si>
    <t>10:05:14 PM</t>
  </si>
  <si>
    <t>10:05:15 PM</t>
  </si>
  <si>
    <t>10:05:16 PM</t>
  </si>
  <si>
    <t>10:05:17 PM</t>
  </si>
  <si>
    <t>10:05:18 PM</t>
  </si>
  <si>
    <t>10:05:19 PM</t>
  </si>
  <si>
    <t>10:05:20 PM</t>
  </si>
  <si>
    <t>10:05:21 PM</t>
  </si>
  <si>
    <t>10:05:22 PM</t>
  </si>
  <si>
    <t>10:05:23 PM</t>
  </si>
  <si>
    <t>10:05:24 PM</t>
  </si>
  <si>
    <t>10:05:25 PM</t>
  </si>
  <si>
    <t>10:05:26 PM</t>
  </si>
  <si>
    <t>10:05:27 PM</t>
  </si>
  <si>
    <t>10:05:28 PM</t>
  </si>
  <si>
    <t>10:05:29 PM</t>
  </si>
  <si>
    <t>10:05:30 PM</t>
  </si>
  <si>
    <t>10:05:31 PM</t>
  </si>
  <si>
    <t>10:05:32 PM</t>
  </si>
  <si>
    <t>10:05:33 PM</t>
  </si>
  <si>
    <t>10:05:34 PM</t>
  </si>
  <si>
    <t>10:05:35 PM</t>
  </si>
  <si>
    <t>10:05:36 PM</t>
  </si>
  <si>
    <t>10:05:37 PM</t>
  </si>
  <si>
    <t>10:05:38 PM</t>
  </si>
  <si>
    <t>10:05:39 PM</t>
  </si>
  <si>
    <t>10:05:40 PM</t>
  </si>
  <si>
    <t>10:05:41 PM</t>
  </si>
  <si>
    <t>10:05:42 PM</t>
  </si>
  <si>
    <t>10:06:31 PM</t>
  </si>
  <si>
    <t>10:06:32 PM</t>
  </si>
  <si>
    <t>10:06:33 PM</t>
  </si>
  <si>
    <t>10:06:34 PM</t>
  </si>
  <si>
    <t>10:06:35 PM</t>
  </si>
  <si>
    <t>10:06:36 PM</t>
  </si>
  <si>
    <t>10:06:37 PM</t>
  </si>
  <si>
    <t>10:06:38 PM</t>
  </si>
  <si>
    <t>10:06:39 PM</t>
  </si>
  <si>
    <t>10:06:40 PM</t>
  </si>
  <si>
    <t>10:06:41 PM</t>
  </si>
  <si>
    <t>10:06:42 PM</t>
  </si>
  <si>
    <t>10:06:43 PM</t>
  </si>
  <si>
    <t>10:06:44 PM</t>
  </si>
  <si>
    <t>10:06:45 PM</t>
  </si>
  <si>
    <t>10:06:46 PM</t>
  </si>
  <si>
    <t>10:06:47 PM</t>
  </si>
  <si>
    <t>10:06:48 PM</t>
  </si>
  <si>
    <t>10:06:49 PM</t>
  </si>
  <si>
    <t>10:06:50 PM</t>
  </si>
  <si>
    <t>10:06:51 PM</t>
  </si>
  <si>
    <t>10:06:52 PM</t>
  </si>
  <si>
    <t>10:06:53 PM</t>
  </si>
  <si>
    <t>10:06:54 PM</t>
  </si>
  <si>
    <t>10:06:55 PM</t>
  </si>
  <si>
    <t>10:06:56 PM</t>
  </si>
  <si>
    <t>10:06:57 PM</t>
  </si>
  <si>
    <t>10:06:58 PM</t>
  </si>
  <si>
    <t>10:06:59 PM</t>
  </si>
  <si>
    <t>10:07:00 PM</t>
  </si>
  <si>
    <t>10:07:01 PM</t>
  </si>
  <si>
    <t>10:07:02 PM</t>
  </si>
  <si>
    <t>10:07:03 PM</t>
  </si>
  <si>
    <t>10:07:04 PM</t>
  </si>
  <si>
    <t>10:07:05 PM</t>
  </si>
  <si>
    <t>10:07:06 PM</t>
  </si>
  <si>
    <t>10:07:55 PM</t>
  </si>
  <si>
    <t>10:07:56 PM</t>
  </si>
  <si>
    <t>10:07:57 PM</t>
  </si>
  <si>
    <t>10:07:58 PM</t>
  </si>
  <si>
    <t>10:07:59 PM</t>
  </si>
  <si>
    <t>10:08:00 PM</t>
  </si>
  <si>
    <t>10:08:01 PM</t>
  </si>
  <si>
    <t>10:08:02 PM</t>
  </si>
  <si>
    <t>10:08:03 PM</t>
  </si>
  <si>
    <t>10:08:04 PM</t>
  </si>
  <si>
    <t>10:08:05 PM</t>
  </si>
  <si>
    <t>10:08:06 PM</t>
  </si>
  <si>
    <t>10:08:07 PM</t>
  </si>
  <si>
    <t>10:08:08 PM</t>
  </si>
  <si>
    <t>10:08:09 PM</t>
  </si>
  <si>
    <t>10:08:10 PM</t>
  </si>
  <si>
    <t>10:08:11 PM</t>
  </si>
  <si>
    <t>10:08:12 PM</t>
  </si>
  <si>
    <t>10:08:13 PM</t>
  </si>
  <si>
    <t>10:08:14 PM</t>
  </si>
  <si>
    <t>10:08:15 PM</t>
  </si>
  <si>
    <t>10:08:16 PM</t>
  </si>
  <si>
    <t>10:08:17 PM</t>
  </si>
  <si>
    <t>10:08:18 PM</t>
  </si>
  <si>
    <t>10:08:19 PM</t>
  </si>
  <si>
    <t>10:08:20 PM</t>
  </si>
  <si>
    <t>10:08:21 PM</t>
  </si>
  <si>
    <t>10:08:22 PM</t>
  </si>
  <si>
    <t>10:08:23 PM</t>
  </si>
  <si>
    <t>10:08:24 PM</t>
  </si>
  <si>
    <t>10:08:25 PM</t>
  </si>
  <si>
    <t>10:08:26 PM</t>
  </si>
  <si>
    <t>10:08:27 PM</t>
  </si>
  <si>
    <t>10:08:28 PM</t>
  </si>
  <si>
    <t>10:08:29 PM</t>
  </si>
  <si>
    <t>10:08:30 PM</t>
  </si>
  <si>
    <t>10:09:19 PM</t>
  </si>
  <si>
    <t>10:09:20 PM</t>
  </si>
  <si>
    <t>10:09:21 PM</t>
  </si>
  <si>
    <t>10:09:22 PM</t>
  </si>
  <si>
    <t>10:09:23 PM</t>
  </si>
  <si>
    <t>10:09:24 PM</t>
  </si>
  <si>
    <t>10:09:25 PM</t>
  </si>
  <si>
    <t>10:09:26 PM</t>
  </si>
  <si>
    <t>10:09:27 PM</t>
  </si>
  <si>
    <t>10:09:28 PM</t>
  </si>
  <si>
    <t>10:09:29 PM</t>
  </si>
  <si>
    <t>10:09:30 PM</t>
  </si>
  <si>
    <t>10:09:31 PM</t>
  </si>
  <si>
    <t>10:09:32 PM</t>
  </si>
  <si>
    <t>10:09:33 PM</t>
  </si>
  <si>
    <t>10:09:34 PM</t>
  </si>
  <si>
    <t>10:09:35 PM</t>
  </si>
  <si>
    <t>10:09:36 PM</t>
  </si>
  <si>
    <t>10:09:37 PM</t>
  </si>
  <si>
    <t>10:09:38 PM</t>
  </si>
  <si>
    <t>10:09:39 PM</t>
  </si>
  <si>
    <t>10:09:40 PM</t>
  </si>
  <si>
    <t>10:09:41 PM</t>
  </si>
  <si>
    <t>10:09:42 PM</t>
  </si>
  <si>
    <t>10:09:43 PM</t>
  </si>
  <si>
    <t>10:09:44 PM</t>
  </si>
  <si>
    <t>10:09:45 PM</t>
  </si>
  <si>
    <t>10:09:46 PM</t>
  </si>
  <si>
    <t>10:09:47 PM</t>
  </si>
  <si>
    <t>10:09:48 PM</t>
  </si>
  <si>
    <t>10:09:49 PM</t>
  </si>
  <si>
    <t>10:09:50 PM</t>
  </si>
  <si>
    <t>10:09:51 PM</t>
  </si>
  <si>
    <t>10:09:52 PM</t>
  </si>
  <si>
    <t>10:09:53 PM</t>
  </si>
  <si>
    <t>10:09:54 PM</t>
  </si>
  <si>
    <t>10:09:55 PM</t>
  </si>
  <si>
    <t>10:10:45 PM</t>
  </si>
  <si>
    <t>10:10:46 PM</t>
  </si>
  <si>
    <t>10:10:47 PM</t>
  </si>
  <si>
    <t>10:10:48 PM</t>
  </si>
  <si>
    <t>10:10:49 PM</t>
  </si>
  <si>
    <t>10:10:50 PM</t>
  </si>
  <si>
    <t>10:10:51 PM</t>
  </si>
  <si>
    <t>10:10:52 PM</t>
  </si>
  <si>
    <t>10:10:53 PM</t>
  </si>
  <si>
    <t>10:10:54 PM</t>
  </si>
  <si>
    <t>10:10:55 PM</t>
  </si>
  <si>
    <t>10:10:56 PM</t>
  </si>
  <si>
    <t>10:10:57 PM</t>
  </si>
  <si>
    <t>10:10:58 PM</t>
  </si>
  <si>
    <t>10:10:59 PM</t>
  </si>
  <si>
    <t>10:11:00 PM</t>
  </si>
  <si>
    <t>10:11:01 PM</t>
  </si>
  <si>
    <t>10:11:02 PM</t>
  </si>
  <si>
    <t>10:11:03 PM</t>
  </si>
  <si>
    <t>10:11:04 PM</t>
  </si>
  <si>
    <t>10:11:05 PM</t>
  </si>
  <si>
    <t>10:11:06 PM</t>
  </si>
  <si>
    <t>10:11:07 PM</t>
  </si>
  <si>
    <t>10:11:08 PM</t>
  </si>
  <si>
    <t>10:11:09 PM</t>
  </si>
  <si>
    <t>10:11:10 PM</t>
  </si>
  <si>
    <t>10:11:11 PM</t>
  </si>
  <si>
    <t>10:11:12 PM</t>
  </si>
  <si>
    <t>10:11:13 PM</t>
  </si>
  <si>
    <t>10:11:14 PM</t>
  </si>
  <si>
    <t>10:11:15 PM</t>
  </si>
  <si>
    <t>10:11:16 PM</t>
  </si>
  <si>
    <t>10:11:17 PM</t>
  </si>
  <si>
    <t>10:11:18 PM</t>
  </si>
  <si>
    <t>10:11:19 PM</t>
  </si>
  <si>
    <t>10:11:20 PM</t>
  </si>
  <si>
    <t>10:12:11 PM</t>
  </si>
  <si>
    <t>10:12:12 PM</t>
  </si>
  <si>
    <t>10:12:13 PM</t>
  </si>
  <si>
    <t>10:12:14 PM</t>
  </si>
  <si>
    <t>10:12:15 PM</t>
  </si>
  <si>
    <t>10:12:16 PM</t>
  </si>
  <si>
    <t>10:12:17 PM</t>
  </si>
  <si>
    <t>10:12:18 PM</t>
  </si>
  <si>
    <t>10:12:19 PM</t>
  </si>
  <si>
    <t>10:12:20 PM</t>
  </si>
  <si>
    <t>10:12:21 PM</t>
  </si>
  <si>
    <t>10:12:22 PM</t>
  </si>
  <si>
    <t>10:12:23 PM</t>
  </si>
  <si>
    <t>10:12:24 PM</t>
  </si>
  <si>
    <t>10:12:25 PM</t>
  </si>
  <si>
    <t>10:12:26 PM</t>
  </si>
  <si>
    <t>10:12:27 PM</t>
  </si>
  <si>
    <t>10:12:28 PM</t>
  </si>
  <si>
    <t>10:12:29 PM</t>
  </si>
  <si>
    <t>10:12:30 PM</t>
  </si>
  <si>
    <t>10:12:31 PM</t>
  </si>
  <si>
    <t>10:12:32 PM</t>
  </si>
  <si>
    <t>10:12:33 PM</t>
  </si>
  <si>
    <t>10:12:34 PM</t>
  </si>
  <si>
    <t>10:12:35 PM</t>
  </si>
  <si>
    <t>10:12:36 PM</t>
  </si>
  <si>
    <t>10:12:37 PM</t>
  </si>
  <si>
    <t>10:12:38 PM</t>
  </si>
  <si>
    <t>10:12:39 PM</t>
  </si>
  <si>
    <t>10:12:40 PM</t>
  </si>
  <si>
    <t>10:12:41 PM</t>
  </si>
  <si>
    <t>10:12:42 PM</t>
  </si>
  <si>
    <t>10:12:43 PM</t>
  </si>
  <si>
    <t>10:12:44 PM</t>
  </si>
  <si>
    <t>10:12:45 PM</t>
  </si>
  <si>
    <t>10:12:46 PM</t>
  </si>
  <si>
    <t>11:01:04 PM</t>
  </si>
  <si>
    <t>11:01:05 PM</t>
  </si>
  <si>
    <t>11:01:06 PM</t>
  </si>
  <si>
    <t>11:01:07 PM</t>
  </si>
  <si>
    <t>11:01:08 PM</t>
  </si>
  <si>
    <t>11:01:09 PM</t>
  </si>
  <si>
    <t>11:01:10 PM</t>
  </si>
  <si>
    <t>11:01:11 PM</t>
  </si>
  <si>
    <t>11:01:12 PM</t>
  </si>
  <si>
    <t>11:01:13 PM</t>
  </si>
  <si>
    <t>11:01:14 PM</t>
  </si>
  <si>
    <t>11:01:15 PM</t>
  </si>
  <si>
    <t>11:01:16 PM</t>
  </si>
  <si>
    <t>11:01:17 PM</t>
  </si>
  <si>
    <t>11:01:18 PM</t>
  </si>
  <si>
    <t>11:01:19 PM</t>
  </si>
  <si>
    <t>11:01:20 PM</t>
  </si>
  <si>
    <t>11:01:21 PM</t>
  </si>
  <si>
    <t>11:01:22 PM</t>
  </si>
  <si>
    <t>11:01:23 PM</t>
  </si>
  <si>
    <t>11:01:24 PM</t>
  </si>
  <si>
    <t>11:01:25 PM</t>
  </si>
  <si>
    <t>11:01:26 PM</t>
  </si>
  <si>
    <t>11:01:27 PM</t>
  </si>
  <si>
    <t>11:01:28 PM</t>
  </si>
  <si>
    <t>11:01:29 PM</t>
  </si>
  <si>
    <t>11:01:30 PM</t>
  </si>
  <si>
    <t>11:01:31 PM</t>
  </si>
  <si>
    <t>11:01:32 PM</t>
  </si>
  <si>
    <t>11:01:33 PM</t>
  </si>
  <si>
    <t>11:01:34 PM</t>
  </si>
  <si>
    <t>11:01:35 PM</t>
  </si>
  <si>
    <t>11:01:36 PM</t>
  </si>
  <si>
    <t>11:01:37 PM</t>
  </si>
  <si>
    <t>11:01:38 PM</t>
  </si>
  <si>
    <t>11:01:39 PM</t>
  </si>
  <si>
    <t>11:01:40 PM</t>
  </si>
  <si>
    <t>11:02:30 PM</t>
  </si>
  <si>
    <t>11:02:31 PM</t>
  </si>
  <si>
    <t>11:02:32 PM</t>
  </si>
  <si>
    <t>11:02:33 PM</t>
  </si>
  <si>
    <t>11:02:34 PM</t>
  </si>
  <si>
    <t>11:02:35 PM</t>
  </si>
  <si>
    <t>11:02:36 PM</t>
  </si>
  <si>
    <t>11:02:37 PM</t>
  </si>
  <si>
    <t>11:02:38 PM</t>
  </si>
  <si>
    <t>11:02:39 PM</t>
  </si>
  <si>
    <t>11:02:40 PM</t>
  </si>
  <si>
    <t>11:02:41 PM</t>
  </si>
  <si>
    <t>11:02:42 PM</t>
  </si>
  <si>
    <t>11:02:43 PM</t>
  </si>
  <si>
    <t>11:02:44 PM</t>
  </si>
  <si>
    <t>11:02:45 PM</t>
  </si>
  <si>
    <t>11:02:46 PM</t>
  </si>
  <si>
    <t>11:02:47 PM</t>
  </si>
  <si>
    <t>11:02:48 PM</t>
  </si>
  <si>
    <t>11:02:49 PM</t>
  </si>
  <si>
    <t>11:02:50 PM</t>
  </si>
  <si>
    <t>11:02:51 PM</t>
  </si>
  <si>
    <t>11:02:52 PM</t>
  </si>
  <si>
    <t>11:02:53 PM</t>
  </si>
  <si>
    <t>11:02:54 PM</t>
  </si>
  <si>
    <t>11:02:55 PM</t>
  </si>
  <si>
    <t>11:02:56 PM</t>
  </si>
  <si>
    <t>11:02:57 PM</t>
  </si>
  <si>
    <t>11:02:58 PM</t>
  </si>
  <si>
    <t>11:02:59 PM</t>
  </si>
  <si>
    <t>11:03:00 PM</t>
  </si>
  <si>
    <t>11:03:01 PM</t>
  </si>
  <si>
    <t>11:03:02 PM</t>
  </si>
  <si>
    <t>11:03:03 PM</t>
  </si>
  <si>
    <t>11:03:04 PM</t>
  </si>
  <si>
    <t>11:03:05 PM</t>
  </si>
  <si>
    <t>11:03:53 PM</t>
  </si>
  <si>
    <t>11:03:54 PM</t>
  </si>
  <si>
    <t>11:03:55 PM</t>
  </si>
  <si>
    <t>11:03:56 PM</t>
  </si>
  <si>
    <t>11:03:57 PM</t>
  </si>
  <si>
    <t>11:03:58 PM</t>
  </si>
  <si>
    <t>11:03:59 PM</t>
  </si>
  <si>
    <t>11:04:00 PM</t>
  </si>
  <si>
    <t>11:04:01 PM</t>
  </si>
  <si>
    <t>11:04:02 PM</t>
  </si>
  <si>
    <t>11:04:03 PM</t>
  </si>
  <si>
    <t>11:04:04 PM</t>
  </si>
  <si>
    <t>11:04:05 PM</t>
  </si>
  <si>
    <t>11:04:06 PM</t>
  </si>
  <si>
    <t>11:04:07 PM</t>
  </si>
  <si>
    <t>11:04:08 PM</t>
  </si>
  <si>
    <t>11:04:09 PM</t>
  </si>
  <si>
    <t>11:04:10 PM</t>
  </si>
  <si>
    <t>11:04:11 PM</t>
  </si>
  <si>
    <t>11:04:12 PM</t>
  </si>
  <si>
    <t>11:04:13 PM</t>
  </si>
  <si>
    <t>11:04:14 PM</t>
  </si>
  <si>
    <t>11:04:15 PM</t>
  </si>
  <si>
    <t>11:04:16 PM</t>
  </si>
  <si>
    <t>11:04:17 PM</t>
  </si>
  <si>
    <t>11:04:18 PM</t>
  </si>
  <si>
    <t>11:04:19 PM</t>
  </si>
  <si>
    <t>11:04:20 PM</t>
  </si>
  <si>
    <t>11:04:21 PM</t>
  </si>
  <si>
    <t>11:04:22 PM</t>
  </si>
  <si>
    <t>11:04:23 PM</t>
  </si>
  <si>
    <t>11:04:24 PM</t>
  </si>
  <si>
    <t>11:04:25 PM</t>
  </si>
  <si>
    <t>11:04:26 PM</t>
  </si>
  <si>
    <t>11:04:27 PM</t>
  </si>
  <si>
    <t>11:04:28 PM</t>
  </si>
  <si>
    <t>11:05:15 PM</t>
  </si>
  <si>
    <t>11:05:16 PM</t>
  </si>
  <si>
    <t>11:05:17 PM</t>
  </si>
  <si>
    <t>11:05:18 PM</t>
  </si>
  <si>
    <t>11:05:19 PM</t>
  </si>
  <si>
    <t>11:05:20 PM</t>
  </si>
  <si>
    <t>11:05:21 PM</t>
  </si>
  <si>
    <t>11:05:22 PM</t>
  </si>
  <si>
    <t>11:05:23 PM</t>
  </si>
  <si>
    <t>11:05:24 PM</t>
  </si>
  <si>
    <t>11:05:25 PM</t>
  </si>
  <si>
    <t>11:05:26 PM</t>
  </si>
  <si>
    <t>11:05:27 PM</t>
  </si>
  <si>
    <t>11:05:28 PM</t>
  </si>
  <si>
    <t>11:05:29 PM</t>
  </si>
  <si>
    <t>11:05:30 PM</t>
  </si>
  <si>
    <t>11:05:31 PM</t>
  </si>
  <si>
    <t>11:05:32 PM</t>
  </si>
  <si>
    <t>11:05:33 PM</t>
  </si>
  <si>
    <t>11:05:34 PM</t>
  </si>
  <si>
    <t>11:05:35 PM</t>
  </si>
  <si>
    <t>11:05:36 PM</t>
  </si>
  <si>
    <t>11:05:37 PM</t>
  </si>
  <si>
    <t>11:05:38 PM</t>
  </si>
  <si>
    <t>11:05:39 PM</t>
  </si>
  <si>
    <t>11:05:40 PM</t>
  </si>
  <si>
    <t>11:05:41 PM</t>
  </si>
  <si>
    <t>11:05:42 PM</t>
  </si>
  <si>
    <t>11:05:43 PM</t>
  </si>
  <si>
    <t>11:05:44 PM</t>
  </si>
  <si>
    <t>11:05:45 PM</t>
  </si>
  <si>
    <t>11:05:46 PM</t>
  </si>
  <si>
    <t>11:05:47 PM</t>
  </si>
  <si>
    <t>11:05:48 PM</t>
  </si>
  <si>
    <t>11:05:49 PM</t>
  </si>
  <si>
    <t>11:05:50 PM</t>
  </si>
  <si>
    <t>11:05:51 PM</t>
  </si>
  <si>
    <t>11:06:39 PM</t>
  </si>
  <si>
    <t>11:06:40 PM</t>
  </si>
  <si>
    <t>11:06:41 PM</t>
  </si>
  <si>
    <t>11:06:42 PM</t>
  </si>
  <si>
    <t>11:06:43 PM</t>
  </si>
  <si>
    <t>11:06:44 PM</t>
  </si>
  <si>
    <t>11:06:45 PM</t>
  </si>
  <si>
    <t>11:06:46 PM</t>
  </si>
  <si>
    <t>11:06:47 PM</t>
  </si>
  <si>
    <t>11:06:48 PM</t>
  </si>
  <si>
    <t>11:06:49 PM</t>
  </si>
  <si>
    <t>11:06:50 PM</t>
  </si>
  <si>
    <t>11:06:51 PM</t>
  </si>
  <si>
    <t>11:06:52 PM</t>
  </si>
  <si>
    <t>11:06:53 PM</t>
  </si>
  <si>
    <t>11:06:54 PM</t>
  </si>
  <si>
    <t>11:06:55 PM</t>
  </si>
  <si>
    <t>11:06:56 PM</t>
  </si>
  <si>
    <t>11:06:57 PM</t>
  </si>
  <si>
    <t>11:06:58 PM</t>
  </si>
  <si>
    <t>11:06:59 PM</t>
  </si>
  <si>
    <t>11:07:00 PM</t>
  </si>
  <si>
    <t>11:07:01 PM</t>
  </si>
  <si>
    <t>11:07:02 PM</t>
  </si>
  <si>
    <t>11:07:03 PM</t>
  </si>
  <si>
    <t>11:07:04 PM</t>
  </si>
  <si>
    <t>11:07:05 PM</t>
  </si>
  <si>
    <t>11:07:06 PM</t>
  </si>
  <si>
    <t>11:07:07 PM</t>
  </si>
  <si>
    <t>11:07:08 PM</t>
  </si>
  <si>
    <t>11:07:09 PM</t>
  </si>
  <si>
    <t>11:07:10 PM</t>
  </si>
  <si>
    <t>11:07:11 PM</t>
  </si>
  <si>
    <t>11:07:12 PM</t>
  </si>
  <si>
    <t>11:07:13 PM</t>
  </si>
  <si>
    <t>11:07:14 PM</t>
  </si>
  <si>
    <t>11:07:15 PM</t>
  </si>
  <si>
    <t>11:08:05 PM</t>
  </si>
  <si>
    <t>11:08:06 PM</t>
  </si>
  <si>
    <t>11:08:07 PM</t>
  </si>
  <si>
    <t>11:08:08 PM</t>
  </si>
  <si>
    <t>11:08:09 PM</t>
  </si>
  <si>
    <t>11:08:10 PM</t>
  </si>
  <si>
    <t>11:08:11 PM</t>
  </si>
  <si>
    <t>11:08:12 PM</t>
  </si>
  <si>
    <t>11:08:13 PM</t>
  </si>
  <si>
    <t>11:08:14 PM</t>
  </si>
  <si>
    <t>11:08:15 PM</t>
  </si>
  <si>
    <t>11:08:16 PM</t>
  </si>
  <si>
    <t>11:08:17 PM</t>
  </si>
  <si>
    <t>11:08:18 PM</t>
  </si>
  <si>
    <t>11:08:19 PM</t>
  </si>
  <si>
    <t>11:08:20 PM</t>
  </si>
  <si>
    <t>11:08:21 PM</t>
  </si>
  <si>
    <t>11:08:22 PM</t>
  </si>
  <si>
    <t>11:08:23 PM</t>
  </si>
  <si>
    <t>11:08:24 PM</t>
  </si>
  <si>
    <t>11:08:25 PM</t>
  </si>
  <si>
    <t>11:08:26 PM</t>
  </si>
  <si>
    <t>11:08:27 PM</t>
  </si>
  <si>
    <t>11:08:28 PM</t>
  </si>
  <si>
    <t>11:08:29 PM</t>
  </si>
  <si>
    <t>11:08:30 PM</t>
  </si>
  <si>
    <t>11:08:31 PM</t>
  </si>
  <si>
    <t>11:08:32 PM</t>
  </si>
  <si>
    <t>11:08:33 PM</t>
  </si>
  <si>
    <t>11:08:34 PM</t>
  </si>
  <si>
    <t>11:08:35 PM</t>
  </si>
  <si>
    <t>11:08:36 PM</t>
  </si>
  <si>
    <t>11:08:37 PM</t>
  </si>
  <si>
    <t>11:08:38 PM</t>
  </si>
  <si>
    <t>11:08:39 PM</t>
  </si>
  <si>
    <t>11:08:40 PM</t>
  </si>
  <si>
    <t>11:09:28 PM</t>
  </si>
  <si>
    <t>11:09:29 PM</t>
  </si>
  <si>
    <t>11:09:30 PM</t>
  </si>
  <si>
    <t>11:09:31 PM</t>
  </si>
  <si>
    <t>11:09:32 PM</t>
  </si>
  <si>
    <t>11:09:33 PM</t>
  </si>
  <si>
    <t>11:09:34 PM</t>
  </si>
  <si>
    <t>11:09:35 PM</t>
  </si>
  <si>
    <t>11:09:36 PM</t>
  </si>
  <si>
    <t>11:09:37 PM</t>
  </si>
  <si>
    <t>11:09:38 PM</t>
  </si>
  <si>
    <t>11:09:39 PM</t>
  </si>
  <si>
    <t>11:09:40 PM</t>
  </si>
  <si>
    <t>11:09:41 PM</t>
  </si>
  <si>
    <t>11:09:42 PM</t>
  </si>
  <si>
    <t>11:09:43 PM</t>
  </si>
  <si>
    <t>11:09:44 PM</t>
  </si>
  <si>
    <t>11:09:45 PM</t>
  </si>
  <si>
    <t>11:09:46 PM</t>
  </si>
  <si>
    <t>11:09:47 PM</t>
  </si>
  <si>
    <t>11:09:48 PM</t>
  </si>
  <si>
    <t>11:09:49 PM</t>
  </si>
  <si>
    <t>11:09:50 PM</t>
  </si>
  <si>
    <t>11:09:51 PM</t>
  </si>
  <si>
    <t>11:09:52 PM</t>
  </si>
  <si>
    <t>11:09:53 PM</t>
  </si>
  <si>
    <t>11:09:54 PM</t>
  </si>
  <si>
    <t>11:09:55 PM</t>
  </si>
  <si>
    <t>11:09:56 PM</t>
  </si>
  <si>
    <t>11:09:57 PM</t>
  </si>
  <si>
    <t>11:09:58 PM</t>
  </si>
  <si>
    <t>11:09:59 PM</t>
  </si>
  <si>
    <t>11:10:00 PM</t>
  </si>
  <si>
    <t>11:10:01 PM</t>
  </si>
  <si>
    <t>11:10:02 PM</t>
  </si>
  <si>
    <t>11:10:03 PM</t>
  </si>
  <si>
    <t>11:57:47 PM</t>
  </si>
  <si>
    <t>11:57:48 PM</t>
  </si>
  <si>
    <t>11:57:49 PM</t>
  </si>
  <si>
    <t>11:57:50 PM</t>
  </si>
  <si>
    <t>11:57:51 PM</t>
  </si>
  <si>
    <t>11:57:52 PM</t>
  </si>
  <si>
    <t>11:57:53 PM</t>
  </si>
  <si>
    <t>11:57:54 PM</t>
  </si>
  <si>
    <t>11:57:55 PM</t>
  </si>
  <si>
    <t>11:57:56 PM</t>
  </si>
  <si>
    <t>11:57:57 PM</t>
  </si>
  <si>
    <t>11:57:58 PM</t>
  </si>
  <si>
    <t>11:57:59 PM</t>
  </si>
  <si>
    <t>11:58:00 PM</t>
  </si>
  <si>
    <t>11:58:01 PM</t>
  </si>
  <si>
    <t>11:58:02 PM</t>
  </si>
  <si>
    <t>11:58:03 PM</t>
  </si>
  <si>
    <t>11:58:04 PM</t>
  </si>
  <si>
    <t>11:58:05 PM</t>
  </si>
  <si>
    <t>11:58:06 PM</t>
  </si>
  <si>
    <t>11:58:07 PM</t>
  </si>
  <si>
    <t>11:58:08 PM</t>
  </si>
  <si>
    <t>11:58:09 PM</t>
  </si>
  <si>
    <t>11:58:10 PM</t>
  </si>
  <si>
    <t>11:58:11 PM</t>
  </si>
  <si>
    <t>11:58:12 PM</t>
  </si>
  <si>
    <t>11:58:13 PM</t>
  </si>
  <si>
    <t>11:58:14 PM</t>
  </si>
  <si>
    <t>11:58:15 PM</t>
  </si>
  <si>
    <t>11:58:16 PM</t>
  </si>
  <si>
    <t>11:58:17 PM</t>
  </si>
  <si>
    <t>11:58:18 PM</t>
  </si>
  <si>
    <t>11:58:19 PM</t>
  </si>
  <si>
    <t>11:58:20 PM</t>
  </si>
  <si>
    <t>11:58:21 PM</t>
  </si>
  <si>
    <t>11:58:22 PM</t>
  </si>
  <si>
    <t>11:59:12 PM</t>
  </si>
  <si>
    <t>11:59:13 PM</t>
  </si>
  <si>
    <t>11:59:14 PM</t>
  </si>
  <si>
    <t>11:59:15 PM</t>
  </si>
  <si>
    <t>11:59:16 PM</t>
  </si>
  <si>
    <t>11:59:17 PM</t>
  </si>
  <si>
    <t>11:59:18 PM</t>
  </si>
  <si>
    <t>11:59:19 PM</t>
  </si>
  <si>
    <t>11:59:20 PM</t>
  </si>
  <si>
    <t>11:59:21 PM</t>
  </si>
  <si>
    <t>11:59:22 PM</t>
  </si>
  <si>
    <t>11:59:23 PM</t>
  </si>
  <si>
    <t>11:59:24 PM</t>
  </si>
  <si>
    <t>11:59:25 PM</t>
  </si>
  <si>
    <t>11:59:26 PM</t>
  </si>
  <si>
    <t>11:59:27 PM</t>
  </si>
  <si>
    <t>11:59:28 PM</t>
  </si>
  <si>
    <t>11:59:29 PM</t>
  </si>
  <si>
    <t>11:59:30 PM</t>
  </si>
  <si>
    <t>11:59:31 PM</t>
  </si>
  <si>
    <t>11:59:32 PM</t>
  </si>
  <si>
    <t>11:59:33 PM</t>
  </si>
  <si>
    <t>11:59:34 PM</t>
  </si>
  <si>
    <t>11:59:35 PM</t>
  </si>
  <si>
    <t>11:59:36 PM</t>
  </si>
  <si>
    <t>11:59:37 PM</t>
  </si>
  <si>
    <t>11:59:38 PM</t>
  </si>
  <si>
    <t>11:59:39 PM</t>
  </si>
  <si>
    <t>11:59:40 PM</t>
  </si>
  <si>
    <t>11:59:41 PM</t>
  </si>
  <si>
    <t>11:59:42 PM</t>
  </si>
  <si>
    <t>11:59:43 PM</t>
  </si>
  <si>
    <t>11:59:44 PM</t>
  </si>
  <si>
    <t>11:59:45 PM</t>
  </si>
  <si>
    <t>11:59:46 PM</t>
  </si>
  <si>
    <t>11:59:47 PM</t>
  </si>
  <si>
    <t>8/15/2026</t>
  </si>
  <si>
    <t>12:00:37 AM</t>
  </si>
  <si>
    <t>12:00:38 AM</t>
  </si>
  <si>
    <t>12:00:39 AM</t>
  </si>
  <si>
    <t>12:00:40 AM</t>
  </si>
  <si>
    <t>12:00:41 AM</t>
  </si>
  <si>
    <t>12:00:42 AM</t>
  </si>
  <si>
    <t>12:00:43 AM</t>
  </si>
  <si>
    <t>12:00:44 AM</t>
  </si>
  <si>
    <t>12:00:45 AM</t>
  </si>
  <si>
    <t>12:00:46 AM</t>
  </si>
  <si>
    <t>12:00:47 AM</t>
  </si>
  <si>
    <t>12:00:48 AM</t>
  </si>
  <si>
    <t>12:00:49 AM</t>
  </si>
  <si>
    <t>12:00:50 AM</t>
  </si>
  <si>
    <t>12:00:51 AM</t>
  </si>
  <si>
    <t>12:00:52 AM</t>
  </si>
  <si>
    <t>12:00:53 AM</t>
  </si>
  <si>
    <t>12:00:54 AM</t>
  </si>
  <si>
    <t>12:00:55 AM</t>
  </si>
  <si>
    <t>12:00:56 AM</t>
  </si>
  <si>
    <t>12:00:57 AM</t>
  </si>
  <si>
    <t>12:00:58 AM</t>
  </si>
  <si>
    <t>12:00:59 AM</t>
  </si>
  <si>
    <t>12:01:00 AM</t>
  </si>
  <si>
    <t>12:01:01 AM</t>
  </si>
  <si>
    <t>12:01:02 AM</t>
  </si>
  <si>
    <t>12:01:03 AM</t>
  </si>
  <si>
    <t>12:01:04 AM</t>
  </si>
  <si>
    <t>12:01:05 AM</t>
  </si>
  <si>
    <t>12:01:06 AM</t>
  </si>
  <si>
    <t>12:01:07 AM</t>
  </si>
  <si>
    <t>12:01:08 AM</t>
  </si>
  <si>
    <t>12:01:09 AM</t>
  </si>
  <si>
    <t>12:01:10 AM</t>
  </si>
  <si>
    <t>12:01:11 AM</t>
  </si>
  <si>
    <t>12:01:12 AM</t>
  </si>
  <si>
    <t>12:01:13 AM</t>
  </si>
  <si>
    <t>12:02:00 AM</t>
  </si>
  <si>
    <t>12:02:01 AM</t>
  </si>
  <si>
    <t>12:02:02 AM</t>
  </si>
  <si>
    <t>12:02:03 AM</t>
  </si>
  <si>
    <t>12:02:04 AM</t>
  </si>
  <si>
    <t>12:02:05 AM</t>
  </si>
  <si>
    <t>12:02:06 AM</t>
  </si>
  <si>
    <t>12:02:07 AM</t>
  </si>
  <si>
    <t>12:02:08 AM</t>
  </si>
  <si>
    <t>12:02:09 AM</t>
  </si>
  <si>
    <t>12:02:10 AM</t>
  </si>
  <si>
    <t>12:02:11 AM</t>
  </si>
  <si>
    <t>12:02:12 AM</t>
  </si>
  <si>
    <t>12:02:13 AM</t>
  </si>
  <si>
    <t>12:02:14 AM</t>
  </si>
  <si>
    <t>12:02:15 AM</t>
  </si>
  <si>
    <t>12:02:16 AM</t>
  </si>
  <si>
    <t>12:02:17 AM</t>
  </si>
  <si>
    <t>12:02:18 AM</t>
  </si>
  <si>
    <t>12:02:19 AM</t>
  </si>
  <si>
    <t>12:02:20 AM</t>
  </si>
  <si>
    <t>12:02:21 AM</t>
  </si>
  <si>
    <t>12:02:22 AM</t>
  </si>
  <si>
    <t>12:02:23 AM</t>
  </si>
  <si>
    <t>12:02:24 AM</t>
  </si>
  <si>
    <t>12:02:25 AM</t>
  </si>
  <si>
    <t>12:02:26 AM</t>
  </si>
  <si>
    <t>12:02:27 AM</t>
  </si>
  <si>
    <t>12:02:28 AM</t>
  </si>
  <si>
    <t>12:02:29 AM</t>
  </si>
  <si>
    <t>12:02:30 AM</t>
  </si>
  <si>
    <t>12:02:31 AM</t>
  </si>
  <si>
    <t>12:02:32 AM</t>
  </si>
  <si>
    <t>12:02:33 AM</t>
  </si>
  <si>
    <t>12:02:34 AM</t>
  </si>
  <si>
    <t>12:02:35 AM</t>
  </si>
  <si>
    <t>12:02:36 AM</t>
  </si>
  <si>
    <t>12:03:23 AM</t>
  </si>
  <si>
    <t>12:03:24 AM</t>
  </si>
  <si>
    <t>12:03:25 AM</t>
  </si>
  <si>
    <t>12:03:26 AM</t>
  </si>
  <si>
    <t>12:03:27 AM</t>
  </si>
  <si>
    <t>12:03:28 AM</t>
  </si>
  <si>
    <t>12:03:29 AM</t>
  </si>
  <si>
    <t>12:03:30 AM</t>
  </si>
  <si>
    <t>12:03:31 AM</t>
  </si>
  <si>
    <t>12:03:32 AM</t>
  </si>
  <si>
    <t>12:03:33 AM</t>
  </si>
  <si>
    <t>12:03:34 AM</t>
  </si>
  <si>
    <t>12:03:35 AM</t>
  </si>
  <si>
    <t>12:03:36 AM</t>
  </si>
  <si>
    <t>12:03:37 AM</t>
  </si>
  <si>
    <t>12:03:38 AM</t>
  </si>
  <si>
    <t>12:03:39 AM</t>
  </si>
  <si>
    <t>12:03:40 AM</t>
  </si>
  <si>
    <t>12:03:41 AM</t>
  </si>
  <si>
    <t>12:03:42 AM</t>
  </si>
  <si>
    <t>12:03:43 AM</t>
  </si>
  <si>
    <t>12:03:44 AM</t>
  </si>
  <si>
    <t>12:03:45 AM</t>
  </si>
  <si>
    <t>12:03:46 AM</t>
  </si>
  <si>
    <t>12:03:47 AM</t>
  </si>
  <si>
    <t>12:03:48 AM</t>
  </si>
  <si>
    <t>12:03:49 AM</t>
  </si>
  <si>
    <t>12:03:50 AM</t>
  </si>
  <si>
    <t>12:03:51 AM</t>
  </si>
  <si>
    <t>12:03:52 AM</t>
  </si>
  <si>
    <t>12:03:53 AM</t>
  </si>
  <si>
    <t>12:03:54 AM</t>
  </si>
  <si>
    <t>12:03:55 AM</t>
  </si>
  <si>
    <t>12:03:56 AM</t>
  </si>
  <si>
    <t>12:03:57 AM</t>
  </si>
  <si>
    <t>12:03:58 AM</t>
  </si>
  <si>
    <t>12:03:59 AM</t>
  </si>
  <si>
    <t>12:04:49 AM</t>
  </si>
  <si>
    <t>12:04:50 AM</t>
  </si>
  <si>
    <t>12:04:51 AM</t>
  </si>
  <si>
    <t>12:04:52 AM</t>
  </si>
  <si>
    <t>12:04:53 AM</t>
  </si>
  <si>
    <t>12:04:54 AM</t>
  </si>
  <si>
    <t>12:04:55 AM</t>
  </si>
  <si>
    <t>12:04:56 AM</t>
  </si>
  <si>
    <t>12:04:57 AM</t>
  </si>
  <si>
    <t>12:04:58 AM</t>
  </si>
  <si>
    <t>12:04:59 AM</t>
  </si>
  <si>
    <t>12:05:00 AM</t>
  </si>
  <si>
    <t>12:05:01 AM</t>
  </si>
  <si>
    <t>12:05:02 AM</t>
  </si>
  <si>
    <t>12:05:03 AM</t>
  </si>
  <si>
    <t>12:05:04 AM</t>
  </si>
  <si>
    <t>12:05:05 AM</t>
  </si>
  <si>
    <t>12:05:06 AM</t>
  </si>
  <si>
    <t>12:05:07 AM</t>
  </si>
  <si>
    <t>12:05:08 AM</t>
  </si>
  <si>
    <t>12:05:09 AM</t>
  </si>
  <si>
    <t>12:05:10 AM</t>
  </si>
  <si>
    <t>12:05:11 AM</t>
  </si>
  <si>
    <t>12:05:12 AM</t>
  </si>
  <si>
    <t>12:05:13 AM</t>
  </si>
  <si>
    <t>12:05:14 AM</t>
  </si>
  <si>
    <t>12:05:15 AM</t>
  </si>
  <si>
    <t>12:05:16 AM</t>
  </si>
  <si>
    <t>12:05:17 AM</t>
  </si>
  <si>
    <t>12:05:18 AM</t>
  </si>
  <si>
    <t>12:05:19 AM</t>
  </si>
  <si>
    <t>12:05:20 AM</t>
  </si>
  <si>
    <t>12:05:21 AM</t>
  </si>
  <si>
    <t>12:05:22 AM</t>
  </si>
  <si>
    <t>12:05:23 AM</t>
  </si>
  <si>
    <t>12:05:24 AM</t>
  </si>
  <si>
    <t>12:06:14 AM</t>
  </si>
  <si>
    <t>12:06:15 AM</t>
  </si>
  <si>
    <t>12:06:16 AM</t>
  </si>
  <si>
    <t>12:06:17 AM</t>
  </si>
  <si>
    <t>12:06:18 AM</t>
  </si>
  <si>
    <t>12:06:19 AM</t>
  </si>
  <si>
    <t>12:06:20 AM</t>
  </si>
  <si>
    <t>12:06:21 AM</t>
  </si>
  <si>
    <t>12:06:22 AM</t>
  </si>
  <si>
    <t>12:06:23 AM</t>
  </si>
  <si>
    <t>12:06:24 AM</t>
  </si>
  <si>
    <t>12:06:25 AM</t>
  </si>
  <si>
    <t>12:06:26 AM</t>
  </si>
  <si>
    <t>12:06:27 AM</t>
  </si>
  <si>
    <t>12:06:28 AM</t>
  </si>
  <si>
    <t>12:06:29 AM</t>
  </si>
  <si>
    <t>12:06:30 AM</t>
  </si>
  <si>
    <t>12:06:31 AM</t>
  </si>
  <si>
    <t>12:06:32 AM</t>
  </si>
  <si>
    <t>12:06:33 AM</t>
  </si>
  <si>
    <t>12:06:34 AM</t>
  </si>
  <si>
    <t>12:06:35 AM</t>
  </si>
  <si>
    <t>12:06:36 AM</t>
  </si>
  <si>
    <t>12:06:37 AM</t>
  </si>
  <si>
    <t>12:06:38 AM</t>
  </si>
  <si>
    <t>12:06:39 AM</t>
  </si>
  <si>
    <t>12:06:40 AM</t>
  </si>
  <si>
    <t>12:06:41 AM</t>
  </si>
  <si>
    <t>12:06:42 AM</t>
  </si>
  <si>
    <t>12:06:43 AM</t>
  </si>
  <si>
    <t>12:06:44 AM</t>
  </si>
  <si>
    <t>12:06:45 AM</t>
  </si>
  <si>
    <t>12:06:46 AM</t>
  </si>
  <si>
    <t>12:06:47 AM</t>
  </si>
  <si>
    <t>12:06:48 AM</t>
  </si>
  <si>
    <t>12:06:49 AM</t>
  </si>
  <si>
    <t>12:54:53 AM</t>
  </si>
  <si>
    <t>12:54:54 AM</t>
  </si>
  <si>
    <t>12:54:55 AM</t>
  </si>
  <si>
    <t>12:54:56 AM</t>
  </si>
  <si>
    <t>12:54:57 AM</t>
  </si>
  <si>
    <t>12:54:58 AM</t>
  </si>
  <si>
    <t>12:54:59 AM</t>
  </si>
  <si>
    <t>12:55:00 AM</t>
  </si>
  <si>
    <t>12:55:01 AM</t>
  </si>
  <si>
    <t>12:55:02 AM</t>
  </si>
  <si>
    <t>12:55:03 AM</t>
  </si>
  <si>
    <t>12:55:04 AM</t>
  </si>
  <si>
    <t>12:55:05 AM</t>
  </si>
  <si>
    <t>12:55:06 AM</t>
  </si>
  <si>
    <t>12:55:07 AM</t>
  </si>
  <si>
    <t>12:55:08 AM</t>
  </si>
  <si>
    <t>12:55:09 AM</t>
  </si>
  <si>
    <t>12:55:10 AM</t>
  </si>
  <si>
    <t>12:55:11 AM</t>
  </si>
  <si>
    <t>12:55:12 AM</t>
  </si>
  <si>
    <t>12:55:13 AM</t>
  </si>
  <si>
    <t>12:55:14 AM</t>
  </si>
  <si>
    <t>12:55:15 AM</t>
  </si>
  <si>
    <t>12:55:16 AM</t>
  </si>
  <si>
    <t>12:55:17 AM</t>
  </si>
  <si>
    <t>12:55:18 AM</t>
  </si>
  <si>
    <t>12:55:19 AM</t>
  </si>
  <si>
    <t>12:55:20 AM</t>
  </si>
  <si>
    <t>12:55:21 AM</t>
  </si>
  <si>
    <t>12:55:22 AM</t>
  </si>
  <si>
    <t>12:55:23 AM</t>
  </si>
  <si>
    <t>12:55:24 AM</t>
  </si>
  <si>
    <t>12:55:25 AM</t>
  </si>
  <si>
    <t>12:55:26 AM</t>
  </si>
  <si>
    <t>12:55:27 AM</t>
  </si>
  <si>
    <t>12:55:28 AM</t>
  </si>
  <si>
    <t>12:55:29 AM</t>
  </si>
  <si>
    <t>12:56:18 AM</t>
  </si>
  <si>
    <t>12:56:19 AM</t>
  </si>
  <si>
    <t>12:56:20 AM</t>
  </si>
  <si>
    <t>12:56:21 AM</t>
  </si>
  <si>
    <t>12:56:22 AM</t>
  </si>
  <si>
    <t>12:56:23 AM</t>
  </si>
  <si>
    <t>12:56:24 AM</t>
  </si>
  <si>
    <t>12:56:25 AM</t>
  </si>
  <si>
    <t>12:56:26 AM</t>
  </si>
  <si>
    <t>12:56:27 AM</t>
  </si>
  <si>
    <t>12:56:28 AM</t>
  </si>
  <si>
    <t>12:56:29 AM</t>
  </si>
  <si>
    <t>12:56:30 AM</t>
  </si>
  <si>
    <t>12:56:31 AM</t>
  </si>
  <si>
    <t>12:56:32 AM</t>
  </si>
  <si>
    <t>12:56:33 AM</t>
  </si>
  <si>
    <t>12:56:34 AM</t>
  </si>
  <si>
    <t>12:56:35 AM</t>
  </si>
  <si>
    <t>12:56:36 AM</t>
  </si>
  <si>
    <t>12:56:37 AM</t>
  </si>
  <si>
    <t>12:56:38 AM</t>
  </si>
  <si>
    <t>12:56:39 AM</t>
  </si>
  <si>
    <t>12:56:40 AM</t>
  </si>
  <si>
    <t>12:56:41 AM</t>
  </si>
  <si>
    <t>12:56:42 AM</t>
  </si>
  <si>
    <t>12:56:43 AM</t>
  </si>
  <si>
    <t>12:56:44 AM</t>
  </si>
  <si>
    <t>12:56:45 AM</t>
  </si>
  <si>
    <t>12:56:46 AM</t>
  </si>
  <si>
    <t>12:56:47 AM</t>
  </si>
  <si>
    <t>12:56:48 AM</t>
  </si>
  <si>
    <t>12:56:49 AM</t>
  </si>
  <si>
    <t>12:56:50 AM</t>
  </si>
  <si>
    <t>12:56:51 AM</t>
  </si>
  <si>
    <t>12:56:52 AM</t>
  </si>
  <si>
    <t>12:56:53 AM</t>
  </si>
  <si>
    <t>12:57:43 AM</t>
  </si>
  <si>
    <t>12:57:44 AM</t>
  </si>
  <si>
    <t>12:57:45 AM</t>
  </si>
  <si>
    <t>12:57:46 AM</t>
  </si>
  <si>
    <t>12:57:47 AM</t>
  </si>
  <si>
    <t>12:57:48 AM</t>
  </si>
  <si>
    <t>12:57:49 AM</t>
  </si>
  <si>
    <t>12:57:50 AM</t>
  </si>
  <si>
    <t>12:57:51 AM</t>
  </si>
  <si>
    <t>12:57:52 AM</t>
  </si>
  <si>
    <t>12:57:53 AM</t>
  </si>
  <si>
    <t>12:57:54 AM</t>
  </si>
  <si>
    <t>12:57:55 AM</t>
  </si>
  <si>
    <t>12:57:56 AM</t>
  </si>
  <si>
    <t>12:57:57 AM</t>
  </si>
  <si>
    <t>12:57:58 AM</t>
  </si>
  <si>
    <t>12:57:59 AM</t>
  </si>
  <si>
    <t>12:58:00 AM</t>
  </si>
  <si>
    <t>12:58:01 AM</t>
  </si>
  <si>
    <t>12:58:02 AM</t>
  </si>
  <si>
    <t>12:58:03 AM</t>
  </si>
  <si>
    <t>12:58:04 AM</t>
  </si>
  <si>
    <t>12:58:05 AM</t>
  </si>
  <si>
    <t>12:58:06 AM</t>
  </si>
  <si>
    <t>12:58:07 AM</t>
  </si>
  <si>
    <t>12:58:08 AM</t>
  </si>
  <si>
    <t>12:58:09 AM</t>
  </si>
  <si>
    <t>12:58:10 AM</t>
  </si>
  <si>
    <t>12:58:11 AM</t>
  </si>
  <si>
    <t>12:58:12 AM</t>
  </si>
  <si>
    <t>12:58:13 AM</t>
  </si>
  <si>
    <t>12:58:14 AM</t>
  </si>
  <si>
    <t>12:58:15 AM</t>
  </si>
  <si>
    <t>12:58:16 AM</t>
  </si>
  <si>
    <t>12:58:17 AM</t>
  </si>
  <si>
    <t>12:58:18 AM</t>
  </si>
  <si>
    <t>12:58:19 AM</t>
  </si>
  <si>
    <t>12:59:06 AM</t>
  </si>
  <si>
    <t>12:59:07 AM</t>
  </si>
  <si>
    <t>12:59:08 AM</t>
  </si>
  <si>
    <t>12:59:09 AM</t>
  </si>
  <si>
    <t>12:59:10 AM</t>
  </si>
  <si>
    <t>12:59:11 AM</t>
  </si>
  <si>
    <t>12:59:12 AM</t>
  </si>
  <si>
    <t>12:59:13 AM</t>
  </si>
  <si>
    <t>12:59:14 AM</t>
  </si>
  <si>
    <t>12:59:15 AM</t>
  </si>
  <si>
    <t>12:59:16 AM</t>
  </si>
  <si>
    <t>12:59:17 AM</t>
  </si>
  <si>
    <t>12:59:18 AM</t>
  </si>
  <si>
    <t>12:59:19 AM</t>
  </si>
  <si>
    <t>12:59:20 AM</t>
  </si>
  <si>
    <t>12:59:21 AM</t>
  </si>
  <si>
    <t>12:59:22 AM</t>
  </si>
  <si>
    <t>12:59:23 AM</t>
  </si>
  <si>
    <t>12:59:24 AM</t>
  </si>
  <si>
    <t>12:59:25 AM</t>
  </si>
  <si>
    <t>12:59:26 AM</t>
  </si>
  <si>
    <t>12:59:27 AM</t>
  </si>
  <si>
    <t>12:59:28 AM</t>
  </si>
  <si>
    <t>12:59:29 AM</t>
  </si>
  <si>
    <t>12:59:30 AM</t>
  </si>
  <si>
    <t>12:59:31 AM</t>
  </si>
  <si>
    <t>12:59:32 AM</t>
  </si>
  <si>
    <t>12:59:33 AM</t>
  </si>
  <si>
    <t>12:59:34 AM</t>
  </si>
  <si>
    <t>12:59:35 AM</t>
  </si>
  <si>
    <t>12:59:36 AM</t>
  </si>
  <si>
    <t>12:59:37 AM</t>
  </si>
  <si>
    <t>12:59:38 AM</t>
  </si>
  <si>
    <t>12:59:39 AM</t>
  </si>
  <si>
    <t>12:59:40 AM</t>
  </si>
  <si>
    <t>12:59:41 AM</t>
  </si>
  <si>
    <t>12:59:42 AM</t>
  </si>
  <si>
    <t>1:00:30 AM</t>
  </si>
  <si>
    <t>1:00:31 AM</t>
  </si>
  <si>
    <t>1:00:32 AM</t>
  </si>
  <si>
    <t>1:00:33 AM</t>
  </si>
  <si>
    <t>1:00:34 AM</t>
  </si>
  <si>
    <t>1:00:35 AM</t>
  </si>
  <si>
    <t>1:00:36 AM</t>
  </si>
  <si>
    <t>1:00:37 AM</t>
  </si>
  <si>
    <t>1:00:38 AM</t>
  </si>
  <si>
    <t>1:00:39 AM</t>
  </si>
  <si>
    <t>1:00:40 AM</t>
  </si>
  <si>
    <t>1:00:41 AM</t>
  </si>
  <si>
    <t>1:00:42 AM</t>
  </si>
  <si>
    <t>1:00:43 AM</t>
  </si>
  <si>
    <t>1:00:44 AM</t>
  </si>
  <si>
    <t>1:00:45 AM</t>
  </si>
  <si>
    <t>1:00:46 AM</t>
  </si>
  <si>
    <t>1:00:47 AM</t>
  </si>
  <si>
    <t>1:00:48 AM</t>
  </si>
  <si>
    <t>1:00:49 AM</t>
  </si>
  <si>
    <t>1:00:50 AM</t>
  </si>
  <si>
    <t>1:00:51 AM</t>
  </si>
  <si>
    <t>1:00:52 AM</t>
  </si>
  <si>
    <t>1:00:53 AM</t>
  </si>
  <si>
    <t>1:00:54 AM</t>
  </si>
  <si>
    <t>1:00:55 AM</t>
  </si>
  <si>
    <t>1:00:56 AM</t>
  </si>
  <si>
    <t>1:00:57 AM</t>
  </si>
  <si>
    <t>1:00:58 AM</t>
  </si>
  <si>
    <t>1:00:59 AM</t>
  </si>
  <si>
    <t>1:01:00 AM</t>
  </si>
  <si>
    <t>1:01:01 AM</t>
  </si>
  <si>
    <t>1:01:02 AM</t>
  </si>
  <si>
    <t>1:01:03 AM</t>
  </si>
  <si>
    <t>1:01:04 AM</t>
  </si>
  <si>
    <t>1:01:05 AM</t>
  </si>
  <si>
    <t>1:01:55 AM</t>
  </si>
  <si>
    <t>1:01:56 AM</t>
  </si>
  <si>
    <t>1:01:57 AM</t>
  </si>
  <si>
    <t>1:01:58 AM</t>
  </si>
  <si>
    <t>1:01:59 AM</t>
  </si>
  <si>
    <t>1:02:00 AM</t>
  </si>
  <si>
    <t>1:02:01 AM</t>
  </si>
  <si>
    <t>1:02:02 AM</t>
  </si>
  <si>
    <t>1:02:03 AM</t>
  </si>
  <si>
    <t>1:02:04 AM</t>
  </si>
  <si>
    <t>1:02:05 AM</t>
  </si>
  <si>
    <t>1:02:06 AM</t>
  </si>
  <si>
    <t>1:02:07 AM</t>
  </si>
  <si>
    <t>1:02:08 AM</t>
  </si>
  <si>
    <t>1:02:09 AM</t>
  </si>
  <si>
    <t>1:02:10 AM</t>
  </si>
  <si>
    <t>1:02:11 AM</t>
  </si>
  <si>
    <t>1:02:12 AM</t>
  </si>
  <si>
    <t>1:02:13 AM</t>
  </si>
  <si>
    <t>1:02:14 AM</t>
  </si>
  <si>
    <t>1:02:15 AM</t>
  </si>
  <si>
    <t>1:02:16 AM</t>
  </si>
  <si>
    <t>1:02:17 AM</t>
  </si>
  <si>
    <t>1:02:18 AM</t>
  </si>
  <si>
    <t>1:02:19 AM</t>
  </si>
  <si>
    <t>1:02:20 AM</t>
  </si>
  <si>
    <t>1:02:21 AM</t>
  </si>
  <si>
    <t>1:02:22 AM</t>
  </si>
  <si>
    <t>1:02:23 AM</t>
  </si>
  <si>
    <t>1:02:24 AM</t>
  </si>
  <si>
    <t>1:02:25 AM</t>
  </si>
  <si>
    <t>1:02:26 AM</t>
  </si>
  <si>
    <t>1:02:27 AM</t>
  </si>
  <si>
    <t>1:02:28 AM</t>
  </si>
  <si>
    <t>1:02:29 AM</t>
  </si>
  <si>
    <t>1:02:30 AM</t>
  </si>
  <si>
    <t>1:02:31 AM</t>
  </si>
  <si>
    <t>1:03:20 AM</t>
  </si>
  <si>
    <t>1:03:21 AM</t>
  </si>
  <si>
    <t>1:03:22 AM</t>
  </si>
  <si>
    <t>1:03:23 AM</t>
  </si>
  <si>
    <t>1:03:24 AM</t>
  </si>
  <si>
    <t>1:03:25 AM</t>
  </si>
  <si>
    <t>1:03:26 AM</t>
  </si>
  <si>
    <t>1:03:27 AM</t>
  </si>
  <si>
    <t>1:03:28 AM</t>
  </si>
  <si>
    <t>1:03:29 AM</t>
  </si>
  <si>
    <t>1:03:30 AM</t>
  </si>
  <si>
    <t>1:03:31 AM</t>
  </si>
  <si>
    <t>1:03:32 AM</t>
  </si>
  <si>
    <t>1:03:33 AM</t>
  </si>
  <si>
    <t>1:03:34 AM</t>
  </si>
  <si>
    <t>1:03:35 AM</t>
  </si>
  <si>
    <t>1:03:36 AM</t>
  </si>
  <si>
    <t>1:03:37 AM</t>
  </si>
  <si>
    <t>1:03:38 AM</t>
  </si>
  <si>
    <t>1:03:39 AM</t>
  </si>
  <si>
    <t>1:03:40 AM</t>
  </si>
  <si>
    <t>1:03:41 AM</t>
  </si>
  <si>
    <t>1:03:42 AM</t>
  </si>
  <si>
    <t>1:03:43 AM</t>
  </si>
  <si>
    <t>1:03:44 AM</t>
  </si>
  <si>
    <t>1:03:45 AM</t>
  </si>
  <si>
    <t>1:03:46 AM</t>
  </si>
  <si>
    <t>1:03:47 AM</t>
  </si>
  <si>
    <t>1:03:48 AM</t>
  </si>
  <si>
    <t>1:03:49 AM</t>
  </si>
  <si>
    <t>1:03:50 AM</t>
  </si>
  <si>
    <t>1:03:51 AM</t>
  </si>
  <si>
    <t>1:03:52 AM</t>
  </si>
  <si>
    <t>1:03:53 AM</t>
  </si>
  <si>
    <t>1:03:54 AM</t>
  </si>
  <si>
    <t>1:03:55 AM</t>
  </si>
  <si>
    <t>1:03:56 AM</t>
  </si>
  <si>
    <t>1:52:40 AM</t>
  </si>
  <si>
    <t>1:52:41 AM</t>
  </si>
  <si>
    <t>1:52:42 AM</t>
  </si>
  <si>
    <t>1:52:43 AM</t>
  </si>
  <si>
    <t>1:52:44 AM</t>
  </si>
  <si>
    <t>1:52:45 AM</t>
  </si>
  <si>
    <t>1:52:46 AM</t>
  </si>
  <si>
    <t>1:52:47 AM</t>
  </si>
  <si>
    <t>1:52:48 AM</t>
  </si>
  <si>
    <t>1:52:49 AM</t>
  </si>
  <si>
    <t>1:52:50 AM</t>
  </si>
  <si>
    <t>1:52:51 AM</t>
  </si>
  <si>
    <t>1:52:52 AM</t>
  </si>
  <si>
    <t>1:52:53 AM</t>
  </si>
  <si>
    <t>1:52:54 AM</t>
  </si>
  <si>
    <t>1:52:55 AM</t>
  </si>
  <si>
    <t>1:52:56 AM</t>
  </si>
  <si>
    <t>1:52:57 AM</t>
  </si>
  <si>
    <t>1:52:58 AM</t>
  </si>
  <si>
    <t>1:52:59 AM</t>
  </si>
  <si>
    <t>1:53:00 AM</t>
  </si>
  <si>
    <t>1:53:01 AM</t>
  </si>
  <si>
    <t>1:53:02 AM</t>
  </si>
  <si>
    <t>1:53:03 AM</t>
  </si>
  <si>
    <t>1:53:04 AM</t>
  </si>
  <si>
    <t>1:53:05 AM</t>
  </si>
  <si>
    <t>1:53:06 AM</t>
  </si>
  <si>
    <t>1:53:07 AM</t>
  </si>
  <si>
    <t>1:53:08 AM</t>
  </si>
  <si>
    <t>1:53:09 AM</t>
  </si>
  <si>
    <t>1:53:10 AM</t>
  </si>
  <si>
    <t>1:53:11 AM</t>
  </si>
  <si>
    <t>1:53:12 AM</t>
  </si>
  <si>
    <t>1:53:13 AM</t>
  </si>
  <si>
    <t>1:53:14 AM</t>
  </si>
  <si>
    <t>1:53:15 AM</t>
  </si>
  <si>
    <t>1:54:03 AM</t>
  </si>
  <si>
    <t>1:54:04 AM</t>
  </si>
  <si>
    <t>1:54:05 AM</t>
  </si>
  <si>
    <t>1:54:06 AM</t>
  </si>
  <si>
    <t>1:54:07 AM</t>
  </si>
  <si>
    <t>1:54:08 AM</t>
  </si>
  <si>
    <t>1:54:09 AM</t>
  </si>
  <si>
    <t>1:54:10 AM</t>
  </si>
  <si>
    <t>1:54:11 AM</t>
  </si>
  <si>
    <t>1:54:12 AM</t>
  </si>
  <si>
    <t>1:54:13 AM</t>
  </si>
  <si>
    <t>1:54:14 AM</t>
  </si>
  <si>
    <t>1:54:15 AM</t>
  </si>
  <si>
    <t>1:54:16 AM</t>
  </si>
  <si>
    <t>1:54:17 AM</t>
  </si>
  <si>
    <t>1:54:18 AM</t>
  </si>
  <si>
    <t>1:54:19 AM</t>
  </si>
  <si>
    <t>1:54:20 AM</t>
  </si>
  <si>
    <t>1:54:21 AM</t>
  </si>
  <si>
    <t>1:54:22 AM</t>
  </si>
  <si>
    <t>1:54:23 AM</t>
  </si>
  <si>
    <t>1:54:24 AM</t>
  </si>
  <si>
    <t>1:54:25 AM</t>
  </si>
  <si>
    <t>1:54:26 AM</t>
  </si>
  <si>
    <t>1:54:27 AM</t>
  </si>
  <si>
    <t>1:54:28 AM</t>
  </si>
  <si>
    <t>1:54:29 AM</t>
  </si>
  <si>
    <t>1:54:30 AM</t>
  </si>
  <si>
    <t>1:54:31 AM</t>
  </si>
  <si>
    <t>1:54:32 AM</t>
  </si>
  <si>
    <t>1:54:33 AM</t>
  </si>
  <si>
    <t>1:54:34 AM</t>
  </si>
  <si>
    <t>1:54:35 AM</t>
  </si>
  <si>
    <t>1:54:36 AM</t>
  </si>
  <si>
    <t>1:54:37 AM</t>
  </si>
  <si>
    <t>1:54:38 AM</t>
  </si>
  <si>
    <t>1:54:39 AM</t>
  </si>
  <si>
    <t>1:55:25 AM</t>
  </si>
  <si>
    <t>1:55:26 AM</t>
  </si>
  <si>
    <t>1:55:27 AM</t>
  </si>
  <si>
    <t>1:55:28 AM</t>
  </si>
  <si>
    <t>1:55:29 AM</t>
  </si>
  <si>
    <t>1:55:30 AM</t>
  </si>
  <si>
    <t>1:55:31 AM</t>
  </si>
  <si>
    <t>1:55:32 AM</t>
  </si>
  <si>
    <t>1:55:33 AM</t>
  </si>
  <si>
    <t>1:55:34 AM</t>
  </si>
  <si>
    <t>1:55:35 AM</t>
  </si>
  <si>
    <t>1:55:36 AM</t>
  </si>
  <si>
    <t>1:55:37 AM</t>
  </si>
  <si>
    <t>1:55:38 AM</t>
  </si>
  <si>
    <t>1:55:39 AM</t>
  </si>
  <si>
    <t>1:55:40 AM</t>
  </si>
  <si>
    <t>1:55:41 AM</t>
  </si>
  <si>
    <t>1:55:42 AM</t>
  </si>
  <si>
    <t>1:55:43 AM</t>
  </si>
  <si>
    <t>1:55:44 AM</t>
  </si>
  <si>
    <t>1:55:45 AM</t>
  </si>
  <si>
    <t>1:55:46 AM</t>
  </si>
  <si>
    <t>1:55:47 AM</t>
  </si>
  <si>
    <t>1:55:48 AM</t>
  </si>
  <si>
    <t>1:55:49 AM</t>
  </si>
  <si>
    <t>1:55:50 AM</t>
  </si>
  <si>
    <t>1:55:51 AM</t>
  </si>
  <si>
    <t>1:55:52 AM</t>
  </si>
  <si>
    <t>1:55:53 AM</t>
  </si>
  <si>
    <t>1:55:54 AM</t>
  </si>
  <si>
    <t>1:55:55 AM</t>
  </si>
  <si>
    <t>1:55:56 AM</t>
  </si>
  <si>
    <t>1:55:57 AM</t>
  </si>
  <si>
    <t>1:55:58 AM</t>
  </si>
  <si>
    <t>1:55:59 AM</t>
  </si>
  <si>
    <t>1:56:00 AM</t>
  </si>
  <si>
    <t>1:56:01 AM</t>
  </si>
  <si>
    <t>1:56:51 AM</t>
  </si>
  <si>
    <t>1:56:52 AM</t>
  </si>
  <si>
    <t>1:56:53 AM</t>
  </si>
  <si>
    <t>1:56:54 AM</t>
  </si>
  <si>
    <t>1:56:55 AM</t>
  </si>
  <si>
    <t>1:56:56 AM</t>
  </si>
  <si>
    <t>1:56:57 AM</t>
  </si>
  <si>
    <t>1:56:58 AM</t>
  </si>
  <si>
    <t>1:56:59 AM</t>
  </si>
  <si>
    <t>1:57:00 AM</t>
  </si>
  <si>
    <t>1:57:01 AM</t>
  </si>
  <si>
    <t>1:57:02 AM</t>
  </si>
  <si>
    <t>1:57:03 AM</t>
  </si>
  <si>
    <t>1:57:04 AM</t>
  </si>
  <si>
    <t>1:57:05 AM</t>
  </si>
  <si>
    <t>1:57:06 AM</t>
  </si>
  <si>
    <t>1:57:07 AM</t>
  </si>
  <si>
    <t>1:57:08 AM</t>
  </si>
  <si>
    <t>1:57:09 AM</t>
  </si>
  <si>
    <t>1:57:10 AM</t>
  </si>
  <si>
    <t>1:57:11 AM</t>
  </si>
  <si>
    <t>1:57:12 AM</t>
  </si>
  <si>
    <t>1:57:13 AM</t>
  </si>
  <si>
    <t>1:57:14 AM</t>
  </si>
  <si>
    <t>1:57:15 AM</t>
  </si>
  <si>
    <t>1:57:16 AM</t>
  </si>
  <si>
    <t>1:57:17 AM</t>
  </si>
  <si>
    <t>1:57:18 AM</t>
  </si>
  <si>
    <t>1:57:19 AM</t>
  </si>
  <si>
    <t>1:57:20 AM</t>
  </si>
  <si>
    <t>1:57:21 AM</t>
  </si>
  <si>
    <t>1:57:22 AM</t>
  </si>
  <si>
    <t>1:57:23 AM</t>
  </si>
  <si>
    <t>1:57:24 AM</t>
  </si>
  <si>
    <t>1:57:25 AM</t>
  </si>
  <si>
    <t>1:57:26 AM</t>
  </si>
  <si>
    <t>1:57:27 AM</t>
  </si>
  <si>
    <t>1:58:16 AM</t>
  </si>
  <si>
    <t>1:58:17 AM</t>
  </si>
  <si>
    <t>1:58:18 AM</t>
  </si>
  <si>
    <t>1:58:19 AM</t>
  </si>
  <si>
    <t>1:58:20 AM</t>
  </si>
  <si>
    <t>1:58:21 AM</t>
  </si>
  <si>
    <t>1:58:22 AM</t>
  </si>
  <si>
    <t>1:58:23 AM</t>
  </si>
  <si>
    <t>1:58:24 AM</t>
  </si>
  <si>
    <t>1:58:25 AM</t>
  </si>
  <si>
    <t>1:58:26 AM</t>
  </si>
  <si>
    <t>1:58:27 AM</t>
  </si>
  <si>
    <t>1:58:28 AM</t>
  </si>
  <si>
    <t>1:58:29 AM</t>
  </si>
  <si>
    <t>1:58:30 AM</t>
  </si>
  <si>
    <t>1:58:31 AM</t>
  </si>
  <si>
    <t>1:58:32 AM</t>
  </si>
  <si>
    <t>1:58:33 AM</t>
  </si>
  <si>
    <t>1:58:34 AM</t>
  </si>
  <si>
    <t>1:58:35 AM</t>
  </si>
  <si>
    <t>1:58:36 AM</t>
  </si>
  <si>
    <t>1:58:37 AM</t>
  </si>
  <si>
    <t>1:58:38 AM</t>
  </si>
  <si>
    <t>1:58:39 AM</t>
  </si>
  <si>
    <t>1:58:40 AM</t>
  </si>
  <si>
    <t>1:58:41 AM</t>
  </si>
  <si>
    <t>1:58:42 AM</t>
  </si>
  <si>
    <t>1:58:43 AM</t>
  </si>
  <si>
    <t>1:58:44 AM</t>
  </si>
  <si>
    <t>1:58:45 AM</t>
  </si>
  <si>
    <t>1:58:46 AM</t>
  </si>
  <si>
    <t>1:58:47 AM</t>
  </si>
  <si>
    <t>1:58:48 AM</t>
  </si>
  <si>
    <t>1:58:49 AM</t>
  </si>
  <si>
    <t>1:58:50 AM</t>
  </si>
  <si>
    <t>1:58:51 AM</t>
  </si>
  <si>
    <t>1:59:40 AM</t>
  </si>
  <si>
    <t>1:59:41 AM</t>
  </si>
  <si>
    <t>1:59:42 AM</t>
  </si>
  <si>
    <t>1:59:43 AM</t>
  </si>
  <si>
    <t>1:59:44 AM</t>
  </si>
  <si>
    <t>1:59:45 AM</t>
  </si>
  <si>
    <t>1:59:46 AM</t>
  </si>
  <si>
    <t>1:59:47 AM</t>
  </si>
  <si>
    <t>1:59:48 AM</t>
  </si>
  <si>
    <t>1:59:49 AM</t>
  </si>
  <si>
    <t>1:59:50 AM</t>
  </si>
  <si>
    <t>1:59:51 AM</t>
  </si>
  <si>
    <t>1:59:52 AM</t>
  </si>
  <si>
    <t>1:59:53 AM</t>
  </si>
  <si>
    <t>1:59:54 AM</t>
  </si>
  <si>
    <t>1:59:55 AM</t>
  </si>
  <si>
    <t>1:59:56 AM</t>
  </si>
  <si>
    <t>1:59:57 AM</t>
  </si>
  <si>
    <t>1:59:58 AM</t>
  </si>
  <si>
    <t>1:59:59 AM</t>
  </si>
  <si>
    <t>2:00:00 AM</t>
  </si>
  <si>
    <t>2:00:01 AM</t>
  </si>
  <si>
    <t>2:00:02 AM</t>
  </si>
  <si>
    <t>2:00:03 AM</t>
  </si>
  <si>
    <t>2:00:04 AM</t>
  </si>
  <si>
    <t>2:00:05 AM</t>
  </si>
  <si>
    <t>2:00:06 AM</t>
  </si>
  <si>
    <t>2:00:07 AM</t>
  </si>
  <si>
    <t>2:00:08 AM</t>
  </si>
  <si>
    <t>2:00:09 AM</t>
  </si>
  <si>
    <t>2:00:10 AM</t>
  </si>
  <si>
    <t>2:00:11 AM</t>
  </si>
  <si>
    <t>2:00:12 AM</t>
  </si>
  <si>
    <t>2:00:13 AM</t>
  </si>
  <si>
    <t>2:00:14 AM</t>
  </si>
  <si>
    <t>2:00:15 AM</t>
  </si>
  <si>
    <t>2:00:16 AM</t>
  </si>
  <si>
    <t>2:01:10 AM</t>
  </si>
  <si>
    <t>2:01:11 AM</t>
  </si>
  <si>
    <t>2:01:12 AM</t>
  </si>
  <si>
    <t>2:01:13 AM</t>
  </si>
  <si>
    <t>2:01:14 AM</t>
  </si>
  <si>
    <t>2:01:15 AM</t>
  </si>
  <si>
    <t>2:01:16 AM</t>
  </si>
  <si>
    <t>2:01:17 AM</t>
  </si>
  <si>
    <t>2:01:18 AM</t>
  </si>
  <si>
    <t>2:01:19 AM</t>
  </si>
  <si>
    <t>2:01:20 AM</t>
  </si>
  <si>
    <t>2:01:21 AM</t>
  </si>
  <si>
    <t>2:01:22 AM</t>
  </si>
  <si>
    <t>2:01:23 AM</t>
  </si>
  <si>
    <t>2:01:24 AM</t>
  </si>
  <si>
    <t>2:01:25 AM</t>
  </si>
  <si>
    <t>2:01:26 AM</t>
  </si>
  <si>
    <t>2:01:27 AM</t>
  </si>
  <si>
    <t>2:01:28 AM</t>
  </si>
  <si>
    <t>2:01:29 AM</t>
  </si>
  <si>
    <t>2:01:30 AM</t>
  </si>
  <si>
    <t>2:01:31 AM</t>
  </si>
  <si>
    <t>2:01:32 AM</t>
  </si>
  <si>
    <t>2:01:33 AM</t>
  </si>
  <si>
    <t>2:01:34 AM</t>
  </si>
  <si>
    <t>2:01:35 AM</t>
  </si>
  <si>
    <t>2:01:36 AM</t>
  </si>
  <si>
    <t>2:01:37 AM</t>
  </si>
  <si>
    <t>2:01:38 AM</t>
  </si>
  <si>
    <t>2:01:39 AM</t>
  </si>
  <si>
    <t>2:01:40 AM</t>
  </si>
  <si>
    <t>2:01:41 AM</t>
  </si>
  <si>
    <t>2:01:42 AM</t>
  </si>
  <si>
    <t>2:01:43 AM</t>
  </si>
  <si>
    <t>2:01:44 AM</t>
  </si>
  <si>
    <t>2:01:45 AM</t>
  </si>
  <si>
    <t>2:01:46 AM</t>
  </si>
  <si>
    <t>2:50:11 AM</t>
  </si>
  <si>
    <t>2:50:12 AM</t>
  </si>
  <si>
    <t>2:50:13 AM</t>
  </si>
  <si>
    <t>2:50:14 AM</t>
  </si>
  <si>
    <t>2:50:15 AM</t>
  </si>
  <si>
    <t>2:50:16 AM</t>
  </si>
  <si>
    <t>2:50:17 AM</t>
  </si>
  <si>
    <t>2:50:18 AM</t>
  </si>
  <si>
    <t>2:50:19 AM</t>
  </si>
  <si>
    <t>2:50:20 AM</t>
  </si>
  <si>
    <t>2:50:21 AM</t>
  </si>
  <si>
    <t>2:50:22 AM</t>
  </si>
  <si>
    <t>2:50:23 AM</t>
  </si>
  <si>
    <t>2:50:24 AM</t>
  </si>
  <si>
    <t>2:50:25 AM</t>
  </si>
  <si>
    <t>2:50:26 AM</t>
  </si>
  <si>
    <t>2:50:27 AM</t>
  </si>
  <si>
    <t>2:50:28 AM</t>
  </si>
  <si>
    <t>2:50:29 AM</t>
  </si>
  <si>
    <t>2:50:30 AM</t>
  </si>
  <si>
    <t>2:50:31 AM</t>
  </si>
  <si>
    <t>2:50:32 AM</t>
  </si>
  <si>
    <t>2:50:33 AM</t>
  </si>
  <si>
    <t>2:50:34 AM</t>
  </si>
  <si>
    <t>2:50:35 AM</t>
  </si>
  <si>
    <t>2:50:36 AM</t>
  </si>
  <si>
    <t>2:50:37 AM</t>
  </si>
  <si>
    <t>2:50:38 AM</t>
  </si>
  <si>
    <t>2:50:39 AM</t>
  </si>
  <si>
    <t>2:50:40 AM</t>
  </si>
  <si>
    <t>2:50:41 AM</t>
  </si>
  <si>
    <t>2:50:42 AM</t>
  </si>
  <si>
    <t>2:50:43 AM</t>
  </si>
  <si>
    <t>2:50:44 AM</t>
  </si>
  <si>
    <t>2:50:45 AM</t>
  </si>
  <si>
    <t>2:50:46 AM</t>
  </si>
  <si>
    <t>2:50:47 AM</t>
  </si>
  <si>
    <t>2:51:36 AM</t>
  </si>
  <si>
    <t>2:51:37 AM</t>
  </si>
  <si>
    <t>2:51:38 AM</t>
  </si>
  <si>
    <t>2:51:39 AM</t>
  </si>
  <si>
    <t>2:51:40 AM</t>
  </si>
  <si>
    <t>2:51:41 AM</t>
  </si>
  <si>
    <t>2:51:42 AM</t>
  </si>
  <si>
    <t>2:51:43 AM</t>
  </si>
  <si>
    <t>2:51:44 AM</t>
  </si>
  <si>
    <t>2:51:45 AM</t>
  </si>
  <si>
    <t>2:51:46 AM</t>
  </si>
  <si>
    <t>2:51:47 AM</t>
  </si>
  <si>
    <t>2:51:48 AM</t>
  </si>
  <si>
    <t>2:51:49 AM</t>
  </si>
  <si>
    <t>2:51:50 AM</t>
  </si>
  <si>
    <t>2:51:51 AM</t>
  </si>
  <si>
    <t>2:51:52 AM</t>
  </si>
  <si>
    <t>2:51:53 AM</t>
  </si>
  <si>
    <t>2:51:54 AM</t>
  </si>
  <si>
    <t>2:51:55 AM</t>
  </si>
  <si>
    <t>2:51:56 AM</t>
  </si>
  <si>
    <t>2:51:57 AM</t>
  </si>
  <si>
    <t>2:51:58 AM</t>
  </si>
  <si>
    <t>2:51:59 AM</t>
  </si>
  <si>
    <t>2:52:00 AM</t>
  </si>
  <si>
    <t>2:52:01 AM</t>
  </si>
  <si>
    <t>2:52:02 AM</t>
  </si>
  <si>
    <t>2:52:03 AM</t>
  </si>
  <si>
    <t>2:52:04 AM</t>
  </si>
  <si>
    <t>2:52:05 AM</t>
  </si>
  <si>
    <t>2:52:06 AM</t>
  </si>
  <si>
    <t>2:52:07 AM</t>
  </si>
  <si>
    <t>2:52:08 AM</t>
  </si>
  <si>
    <t>2:52:09 AM</t>
  </si>
  <si>
    <t>2:52:10 AM</t>
  </si>
  <si>
    <t>2:52:11 AM</t>
  </si>
  <si>
    <t>2:52:12 AM</t>
  </si>
  <si>
    <t>2:53:02 AM</t>
  </si>
  <si>
    <t>2:53:03 AM</t>
  </si>
  <si>
    <t>2:53:04 AM</t>
  </si>
  <si>
    <t>2:53:05 AM</t>
  </si>
  <si>
    <t>2:53:06 AM</t>
  </si>
  <si>
    <t>2:53:07 AM</t>
  </si>
  <si>
    <t>2:53:08 AM</t>
  </si>
  <si>
    <t>2:53:09 AM</t>
  </si>
  <si>
    <t>2:53:10 AM</t>
  </si>
  <si>
    <t>2:53:11 AM</t>
  </si>
  <si>
    <t>2:53:12 AM</t>
  </si>
  <si>
    <t>2:53:13 AM</t>
  </si>
  <si>
    <t>2:53:14 AM</t>
  </si>
  <si>
    <t>2:53:15 AM</t>
  </si>
  <si>
    <t>2:53:16 AM</t>
  </si>
  <si>
    <t>2:53:17 AM</t>
  </si>
  <si>
    <t>2:53:18 AM</t>
  </si>
  <si>
    <t>2:53:19 AM</t>
  </si>
  <si>
    <t>2:53:20 AM</t>
  </si>
  <si>
    <t>2:53:21 AM</t>
  </si>
  <si>
    <t>2:53:22 AM</t>
  </si>
  <si>
    <t>2:53:23 AM</t>
  </si>
  <si>
    <t>2:53:24 AM</t>
  </si>
  <si>
    <t>2:53:25 AM</t>
  </si>
  <si>
    <t>2:53:26 AM</t>
  </si>
  <si>
    <t>2:53:27 AM</t>
  </si>
  <si>
    <t>2:53:28 AM</t>
  </si>
  <si>
    <t>2:53:29 AM</t>
  </si>
  <si>
    <t>2:53:30 AM</t>
  </si>
  <si>
    <t>2:53:31 AM</t>
  </si>
  <si>
    <t>2:53:32 AM</t>
  </si>
  <si>
    <t>2:53:33 AM</t>
  </si>
  <si>
    <t>2:53:34 AM</t>
  </si>
  <si>
    <t>2:53:35 AM</t>
  </si>
  <si>
    <t>2:53:36 AM</t>
  </si>
  <si>
    <t>2:53:37 AM</t>
  </si>
  <si>
    <t>2:54:25 AM</t>
  </si>
  <si>
    <t>2:54:26 AM</t>
  </si>
  <si>
    <t>2:54:27 AM</t>
  </si>
  <si>
    <t>2:54:28 AM</t>
  </si>
  <si>
    <t>2:54:29 AM</t>
  </si>
  <si>
    <t>2:54:30 AM</t>
  </si>
  <si>
    <t>2:54:31 AM</t>
  </si>
  <si>
    <t>2:54:32 AM</t>
  </si>
  <si>
    <t>2:54:33 AM</t>
  </si>
  <si>
    <t>2:54:34 AM</t>
  </si>
  <si>
    <t>2:54:35 AM</t>
  </si>
  <si>
    <t>2:54:36 AM</t>
  </si>
  <si>
    <t>2:54:37 AM</t>
  </si>
  <si>
    <t>2:54:38 AM</t>
  </si>
  <si>
    <t>2:54:39 AM</t>
  </si>
  <si>
    <t>2:54:40 AM</t>
  </si>
  <si>
    <t>2:54:41 AM</t>
  </si>
  <si>
    <t>2:54:42 AM</t>
  </si>
  <si>
    <t>2:54:43 AM</t>
  </si>
  <si>
    <t>2:54:44 AM</t>
  </si>
  <si>
    <t>2:54:45 AM</t>
  </si>
  <si>
    <t>2:54:46 AM</t>
  </si>
  <si>
    <t>2:54:47 AM</t>
  </si>
  <si>
    <t>2:54:48 AM</t>
  </si>
  <si>
    <t>2:54:49 AM</t>
  </si>
  <si>
    <t>2:54:50 AM</t>
  </si>
  <si>
    <t>2:54:51 AM</t>
  </si>
  <si>
    <t>2:54:52 AM</t>
  </si>
  <si>
    <t>2:54:53 AM</t>
  </si>
  <si>
    <t>2:54:54 AM</t>
  </si>
  <si>
    <t>2:54:55 AM</t>
  </si>
  <si>
    <t>2:54:56 AM</t>
  </si>
  <si>
    <t>2:54:57 AM</t>
  </si>
  <si>
    <t>2:54:58 AM</t>
  </si>
  <si>
    <t>2:54:59 AM</t>
  </si>
  <si>
    <t>2:55:00 AM</t>
  </si>
  <si>
    <t>2:55:01 AM</t>
  </si>
  <si>
    <t>2:55:50 AM</t>
  </si>
  <si>
    <t>2:55:51 AM</t>
  </si>
  <si>
    <t>2:55:52 AM</t>
  </si>
  <si>
    <t>2:55:53 AM</t>
  </si>
  <si>
    <t>2:55:54 AM</t>
  </si>
  <si>
    <t>2:55:55 AM</t>
  </si>
  <si>
    <t>2:55:56 AM</t>
  </si>
  <si>
    <t>2:55:57 AM</t>
  </si>
  <si>
    <t>2:55:58 AM</t>
  </si>
  <si>
    <t>2:55:59 AM</t>
  </si>
  <si>
    <t>2:56:00 AM</t>
  </si>
  <si>
    <t>2:56:01 AM</t>
  </si>
  <si>
    <t>2:56:02 AM</t>
  </si>
  <si>
    <t>2:56:03 AM</t>
  </si>
  <si>
    <t>2:56:04 AM</t>
  </si>
  <si>
    <t>2:56:05 AM</t>
  </si>
  <si>
    <t>2:56:06 AM</t>
  </si>
  <si>
    <t>2:56:07 AM</t>
  </si>
  <si>
    <t>2:56:08 AM</t>
  </si>
  <si>
    <t>2:56:09 AM</t>
  </si>
  <si>
    <t>2:56:10 AM</t>
  </si>
  <si>
    <t>2:56:11 AM</t>
  </si>
  <si>
    <t>2:56:12 AM</t>
  </si>
  <si>
    <t>2:56:13 AM</t>
  </si>
  <si>
    <t>2:56:14 AM</t>
  </si>
  <si>
    <t>2:56:15 AM</t>
  </si>
  <si>
    <t>2:56:16 AM</t>
  </si>
  <si>
    <t>2:56:17 AM</t>
  </si>
  <si>
    <t>2:56:18 AM</t>
  </si>
  <si>
    <t>2:56:19 AM</t>
  </si>
  <si>
    <t>2:56:20 AM</t>
  </si>
  <si>
    <t>2:56:21 AM</t>
  </si>
  <si>
    <t>2:56:22 AM</t>
  </si>
  <si>
    <t>2:56:23 AM</t>
  </si>
  <si>
    <t>2:56:24 AM</t>
  </si>
  <si>
    <t>2:56:25 AM</t>
  </si>
  <si>
    <t>2:57:19 AM</t>
  </si>
  <si>
    <t>2:57:20 AM</t>
  </si>
  <si>
    <t>2:57:21 AM</t>
  </si>
  <si>
    <t>2:57:22 AM</t>
  </si>
  <si>
    <t>2:57:23 AM</t>
  </si>
  <si>
    <t>2:57:24 AM</t>
  </si>
  <si>
    <t>2:57:25 AM</t>
  </si>
  <si>
    <t>2:57:26 AM</t>
  </si>
  <si>
    <t>2:57:27 AM</t>
  </si>
  <si>
    <t>2:57:28 AM</t>
  </si>
  <si>
    <t>2:57:29 AM</t>
  </si>
  <si>
    <t>2:57:30 AM</t>
  </si>
  <si>
    <t>2:57:31 AM</t>
  </si>
  <si>
    <t>2:57:32 AM</t>
  </si>
  <si>
    <t>2:57:33 AM</t>
  </si>
  <si>
    <t>2:57:34 AM</t>
  </si>
  <si>
    <t>2:57:35 AM</t>
  </si>
  <si>
    <t>2:57:36 AM</t>
  </si>
  <si>
    <t>2:57:37 AM</t>
  </si>
  <si>
    <t>2:57:38 AM</t>
  </si>
  <si>
    <t>2:57:39 AM</t>
  </si>
  <si>
    <t>2:57:40 AM</t>
  </si>
  <si>
    <t>2:57:41 AM</t>
  </si>
  <si>
    <t>2:57:42 AM</t>
  </si>
  <si>
    <t>2:57:43 AM</t>
  </si>
  <si>
    <t>2:57:44 AM</t>
  </si>
  <si>
    <t>2:57:45 AM</t>
  </si>
  <si>
    <t>2:57:46 AM</t>
  </si>
  <si>
    <t>2:57:47 AM</t>
  </si>
  <si>
    <t>2:57:48 AM</t>
  </si>
  <si>
    <t>2:57:49 AM</t>
  </si>
  <si>
    <t>2:57:50 AM</t>
  </si>
  <si>
    <t>2:57:51 AM</t>
  </si>
  <si>
    <t>2:57:52 AM</t>
  </si>
  <si>
    <t>2:57:53 AM</t>
  </si>
  <si>
    <t>2:57:54 AM</t>
  </si>
  <si>
    <t>2:57:55 AM</t>
  </si>
  <si>
    <t>2:58:45 AM</t>
  </si>
  <si>
    <t>2:58:46 AM</t>
  </si>
  <si>
    <t>2:58:47 AM</t>
  </si>
  <si>
    <t>2:58:48 AM</t>
  </si>
  <si>
    <t>2:58:49 AM</t>
  </si>
  <si>
    <t>2:58:50 AM</t>
  </si>
  <si>
    <t>2:58:51 AM</t>
  </si>
  <si>
    <t>2:58:52 AM</t>
  </si>
  <si>
    <t>2:58:53 AM</t>
  </si>
  <si>
    <t>2:58:54 AM</t>
  </si>
  <si>
    <t>2:58:55 AM</t>
  </si>
  <si>
    <t>2:58:56 AM</t>
  </si>
  <si>
    <t>2:58:57 AM</t>
  </si>
  <si>
    <t>2:58:58 AM</t>
  </si>
  <si>
    <t>2:58:59 AM</t>
  </si>
  <si>
    <t>2:59:00 AM</t>
  </si>
  <si>
    <t>2:59:01 AM</t>
  </si>
  <si>
    <t>2:59:02 AM</t>
  </si>
  <si>
    <t>2:59:03 AM</t>
  </si>
  <si>
    <t>2:59:04 AM</t>
  </si>
  <si>
    <t>2:59:05 AM</t>
  </si>
  <si>
    <t>2:59:06 AM</t>
  </si>
  <si>
    <t>2:59:07 AM</t>
  </si>
  <si>
    <t>2:59:08 AM</t>
  </si>
  <si>
    <t>2:59:09 AM</t>
  </si>
  <si>
    <t>2:59:10 AM</t>
  </si>
  <si>
    <t>2:59:11 AM</t>
  </si>
  <si>
    <t>2:59:12 AM</t>
  </si>
  <si>
    <t>2:59:13 AM</t>
  </si>
  <si>
    <t>2:59:14 AM</t>
  </si>
  <si>
    <t>2:59:15 AM</t>
  </si>
  <si>
    <t>2:59:16 AM</t>
  </si>
  <si>
    <t>2:59:17 AM</t>
  </si>
  <si>
    <t>2:59:18 AM</t>
  </si>
  <si>
    <t>2:59:19 AM</t>
  </si>
  <si>
    <t>2:59:20 AM</t>
  </si>
  <si>
    <t>3:47:26 AM</t>
  </si>
  <si>
    <t>3:47:27 AM</t>
  </si>
  <si>
    <t>3:47:28 AM</t>
  </si>
  <si>
    <t>3:47:29 AM</t>
  </si>
  <si>
    <t>3:47:30 AM</t>
  </si>
  <si>
    <t>3:47:31 AM</t>
  </si>
  <si>
    <t>3:47:32 AM</t>
  </si>
  <si>
    <t>3:47:33 AM</t>
  </si>
  <si>
    <t>3:47:34 AM</t>
  </si>
  <si>
    <t>3:47:35 AM</t>
  </si>
  <si>
    <t>3:47:36 AM</t>
  </si>
  <si>
    <t>3:47:37 AM</t>
  </si>
  <si>
    <t>3:47:38 AM</t>
  </si>
  <si>
    <t>3:47:39 AM</t>
  </si>
  <si>
    <t>3:47:40 AM</t>
  </si>
  <si>
    <t>3:47:41 AM</t>
  </si>
  <si>
    <t>3:47:42 AM</t>
  </si>
  <si>
    <t>3:47:43 AM</t>
  </si>
  <si>
    <t>3:47:44 AM</t>
  </si>
  <si>
    <t>3:47:45 AM</t>
  </si>
  <si>
    <t>3:47:46 AM</t>
  </si>
  <si>
    <t>3:47:47 AM</t>
  </si>
  <si>
    <t>3:47:48 AM</t>
  </si>
  <si>
    <t>3:47:49 AM</t>
  </si>
  <si>
    <t>3:47:50 AM</t>
  </si>
  <si>
    <t>3:47:51 AM</t>
  </si>
  <si>
    <t>3:47:52 AM</t>
  </si>
  <si>
    <t>3:47:53 AM</t>
  </si>
  <si>
    <t>3:47:54 AM</t>
  </si>
  <si>
    <t>3:47:55 AM</t>
  </si>
  <si>
    <t>3:47:56 AM</t>
  </si>
  <si>
    <t>3:47:57 AM</t>
  </si>
  <si>
    <t>3:47:58 AM</t>
  </si>
  <si>
    <t>3:47:59 AM</t>
  </si>
  <si>
    <t>3:48:00 AM</t>
  </si>
  <si>
    <t>3:48:01 AM</t>
  </si>
  <si>
    <t>3:48:49 AM</t>
  </si>
  <si>
    <t>3:48:50 AM</t>
  </si>
  <si>
    <t>3:48:51 AM</t>
  </si>
  <si>
    <t>3:48:52 AM</t>
  </si>
  <si>
    <t>3:48:53 AM</t>
  </si>
  <si>
    <t>3:48:54 AM</t>
  </si>
  <si>
    <t>3:48:55 AM</t>
  </si>
  <si>
    <t>3:48:56 AM</t>
  </si>
  <si>
    <t>3:48:57 AM</t>
  </si>
  <si>
    <t>3:48:58 AM</t>
  </si>
  <si>
    <t>3:48:59 AM</t>
  </si>
  <si>
    <t>3:49:00 AM</t>
  </si>
  <si>
    <t>3:49:01 AM</t>
  </si>
  <si>
    <t>3:49:02 AM</t>
  </si>
  <si>
    <t>3:49:03 AM</t>
  </si>
  <si>
    <t>3:49:04 AM</t>
  </si>
  <si>
    <t>3:49:05 AM</t>
  </si>
  <si>
    <t>3:49:06 AM</t>
  </si>
  <si>
    <t>3:49:07 AM</t>
  </si>
  <si>
    <t>3:49:08 AM</t>
  </si>
  <si>
    <t>3:49:09 AM</t>
  </si>
  <si>
    <t>3:49:10 AM</t>
  </si>
  <si>
    <t>3:49:11 AM</t>
  </si>
  <si>
    <t>3:49:12 AM</t>
  </si>
  <si>
    <t>3:49:13 AM</t>
  </si>
  <si>
    <t>3:49:14 AM</t>
  </si>
  <si>
    <t>3:49:15 AM</t>
  </si>
  <si>
    <t>3:49:16 AM</t>
  </si>
  <si>
    <t>3:49:17 AM</t>
  </si>
  <si>
    <t>3:49:18 AM</t>
  </si>
  <si>
    <t>3:49:19 AM</t>
  </si>
  <si>
    <t>3:49:20 AM</t>
  </si>
  <si>
    <t>3:49:21 AM</t>
  </si>
  <si>
    <t>3:49:22 AM</t>
  </si>
  <si>
    <t>3:49:23 AM</t>
  </si>
  <si>
    <t>3:49:24 AM</t>
  </si>
  <si>
    <t>3:50:14 AM</t>
  </si>
  <si>
    <t>3:50:15 AM</t>
  </si>
  <si>
    <t>3:50:16 AM</t>
  </si>
  <si>
    <t>3:50:17 AM</t>
  </si>
  <si>
    <t>3:50:18 AM</t>
  </si>
  <si>
    <t>3:50:19 AM</t>
  </si>
  <si>
    <t>3:50:20 AM</t>
  </si>
  <si>
    <t>3:50:21 AM</t>
  </si>
  <si>
    <t>3:50:22 AM</t>
  </si>
  <si>
    <t>3:50:23 AM</t>
  </si>
  <si>
    <t>3:50:24 AM</t>
  </si>
  <si>
    <t>3:50:25 AM</t>
  </si>
  <si>
    <t>3:50:26 AM</t>
  </si>
  <si>
    <t>3:50:27 AM</t>
  </si>
  <si>
    <t>3:50:28 AM</t>
  </si>
  <si>
    <t>3:50:29 AM</t>
  </si>
  <si>
    <t>3:50:30 AM</t>
  </si>
  <si>
    <t>3:50:31 AM</t>
  </si>
  <si>
    <t>3:50:32 AM</t>
  </si>
  <si>
    <t>3:50:33 AM</t>
  </si>
  <si>
    <t>3:50:34 AM</t>
  </si>
  <si>
    <t>3:50:35 AM</t>
  </si>
  <si>
    <t>3:50:36 AM</t>
  </si>
  <si>
    <t>3:50:37 AM</t>
  </si>
  <si>
    <t>3:50:38 AM</t>
  </si>
  <si>
    <t>3:50:39 AM</t>
  </si>
  <si>
    <t>3:50:40 AM</t>
  </si>
  <si>
    <t>3:50:41 AM</t>
  </si>
  <si>
    <t>3:50:42 AM</t>
  </si>
  <si>
    <t>3:50:43 AM</t>
  </si>
  <si>
    <t>3:50:44 AM</t>
  </si>
  <si>
    <t>3:50:45 AM</t>
  </si>
  <si>
    <t>3:50:46 AM</t>
  </si>
  <si>
    <t>3:50:47 AM</t>
  </si>
  <si>
    <t>3:50:48 AM</t>
  </si>
  <si>
    <t>3:50:49 AM</t>
  </si>
  <si>
    <t>3:50:50 AM</t>
  </si>
  <si>
    <t>3:51:39 AM</t>
  </si>
  <si>
    <t>3:51:40 AM</t>
  </si>
  <si>
    <t>3:51:41 AM</t>
  </si>
  <si>
    <t>3:51:42 AM</t>
  </si>
  <si>
    <t>3:51:43 AM</t>
  </si>
  <si>
    <t>3:51:44 AM</t>
  </si>
  <si>
    <t>3:51:45 AM</t>
  </si>
  <si>
    <t>3:51:46 AM</t>
  </si>
  <si>
    <t>3:51:47 AM</t>
  </si>
  <si>
    <t>3:51:48 AM</t>
  </si>
  <si>
    <t>3:51:49 AM</t>
  </si>
  <si>
    <t>3:51:50 AM</t>
  </si>
  <si>
    <t>3:51:51 AM</t>
  </si>
  <si>
    <t>3:51:52 AM</t>
  </si>
  <si>
    <t>3:51:53 AM</t>
  </si>
  <si>
    <t>3:51:54 AM</t>
  </si>
  <si>
    <t>3:51:55 AM</t>
  </si>
  <si>
    <t>3:51:56 AM</t>
  </si>
  <si>
    <t>3:51:57 AM</t>
  </si>
  <si>
    <t>3:51:58 AM</t>
  </si>
  <si>
    <t>3:51:59 AM</t>
  </si>
  <si>
    <t>3:52:00 AM</t>
  </si>
  <si>
    <t>3:52:01 AM</t>
  </si>
  <si>
    <t>3:52:02 AM</t>
  </si>
  <si>
    <t>3:52:03 AM</t>
  </si>
  <si>
    <t>3:52:04 AM</t>
  </si>
  <si>
    <t>3:52:05 AM</t>
  </si>
  <si>
    <t>3:52:06 AM</t>
  </si>
  <si>
    <t>3:52:07 AM</t>
  </si>
  <si>
    <t>3:52:08 AM</t>
  </si>
  <si>
    <t>3:52:09 AM</t>
  </si>
  <si>
    <t>3:52:10 AM</t>
  </si>
  <si>
    <t>3:52:11 AM</t>
  </si>
  <si>
    <t>3:52:12 AM</t>
  </si>
  <si>
    <t>3:52:13 AM</t>
  </si>
  <si>
    <t>3:52:14 AM</t>
  </si>
  <si>
    <t>3:52:15 AM</t>
  </si>
  <si>
    <t>3:53:05 AM</t>
  </si>
  <si>
    <t>3:53:06 AM</t>
  </si>
  <si>
    <t>3:53:07 AM</t>
  </si>
  <si>
    <t>3:53:08 AM</t>
  </si>
  <si>
    <t>3:53:09 AM</t>
  </si>
  <si>
    <t>3:53:10 AM</t>
  </si>
  <si>
    <t>3:53:11 AM</t>
  </si>
  <si>
    <t>3:53:12 AM</t>
  </si>
  <si>
    <t>3:53:13 AM</t>
  </si>
  <si>
    <t>3:53:14 AM</t>
  </si>
  <si>
    <t>3:53:15 AM</t>
  </si>
  <si>
    <t>3:53:16 AM</t>
  </si>
  <si>
    <t>3:53:17 AM</t>
  </si>
  <si>
    <t>3:53:18 AM</t>
  </si>
  <si>
    <t>3:53:19 AM</t>
  </si>
  <si>
    <t>3:53:20 AM</t>
  </si>
  <si>
    <t>3:53:21 AM</t>
  </si>
  <si>
    <t>3:53:22 AM</t>
  </si>
  <si>
    <t>3:53:23 AM</t>
  </si>
  <si>
    <t>3:53:24 AM</t>
  </si>
  <si>
    <t>3:53:25 AM</t>
  </si>
  <si>
    <t>3:53:26 AM</t>
  </si>
  <si>
    <t>3:53:27 AM</t>
  </si>
  <si>
    <t>3:53:28 AM</t>
  </si>
  <si>
    <t>3:53:29 AM</t>
  </si>
  <si>
    <t>3:53:30 AM</t>
  </si>
  <si>
    <t>3:53:31 AM</t>
  </si>
  <si>
    <t>3:53:32 AM</t>
  </si>
  <si>
    <t>3:53:33 AM</t>
  </si>
  <si>
    <t>3:53:34 AM</t>
  </si>
  <si>
    <t>3:53:35 AM</t>
  </si>
  <si>
    <t>3:53:36 AM</t>
  </si>
  <si>
    <t>3:53:37 AM</t>
  </si>
  <si>
    <t>3:53:38 AM</t>
  </si>
  <si>
    <t>3:53:39 AM</t>
  </si>
  <si>
    <t>3:53:40 AM</t>
  </si>
  <si>
    <t>3:54:34 AM</t>
  </si>
  <si>
    <t>3:54:35 AM</t>
  </si>
  <si>
    <t>3:54:36 AM</t>
  </si>
  <si>
    <t>3:54:37 AM</t>
  </si>
  <si>
    <t>3:54:38 AM</t>
  </si>
  <si>
    <t>3:54:39 AM</t>
  </si>
  <si>
    <t>3:54:40 AM</t>
  </si>
  <si>
    <t>3:54:41 AM</t>
  </si>
  <si>
    <t>3:54:42 AM</t>
  </si>
  <si>
    <t>3:54:43 AM</t>
  </si>
  <si>
    <t>3:54:44 AM</t>
  </si>
  <si>
    <t>3:54:45 AM</t>
  </si>
  <si>
    <t>3:54:46 AM</t>
  </si>
  <si>
    <t>3:54:47 AM</t>
  </si>
  <si>
    <t>3:54:48 AM</t>
  </si>
  <si>
    <t>3:54:49 AM</t>
  </si>
  <si>
    <t>3:54:50 AM</t>
  </si>
  <si>
    <t>3:54:51 AM</t>
  </si>
  <si>
    <t>3:54:52 AM</t>
  </si>
  <si>
    <t>3:54:53 AM</t>
  </si>
  <si>
    <t>3:54:54 AM</t>
  </si>
  <si>
    <t>3:54:55 AM</t>
  </si>
  <si>
    <t>3:54:56 AM</t>
  </si>
  <si>
    <t>3:54:57 AM</t>
  </si>
  <si>
    <t>3:54:58 AM</t>
  </si>
  <si>
    <t>3:54:59 AM</t>
  </si>
  <si>
    <t>3:55:00 AM</t>
  </si>
  <si>
    <t>3:55:01 AM</t>
  </si>
  <si>
    <t>3:55:02 AM</t>
  </si>
  <si>
    <t>3:55:03 AM</t>
  </si>
  <si>
    <t>3:55:04 AM</t>
  </si>
  <si>
    <t>3:55:05 AM</t>
  </si>
  <si>
    <t>3:55:06 AM</t>
  </si>
  <si>
    <t>3:55:07 AM</t>
  </si>
  <si>
    <t>3:55:08 AM</t>
  </si>
  <si>
    <t>3:55:09 AM</t>
  </si>
  <si>
    <t>3:55:10 AM</t>
  </si>
  <si>
    <t>3:56:03 AM</t>
  </si>
  <si>
    <t>3:56:04 AM</t>
  </si>
  <si>
    <t>3:56:05 AM</t>
  </si>
  <si>
    <t>3:56:06 AM</t>
  </si>
  <si>
    <t>3:56:07 AM</t>
  </si>
  <si>
    <t>3:56:08 AM</t>
  </si>
  <si>
    <t>3:56:09 AM</t>
  </si>
  <si>
    <t>3:56:10 AM</t>
  </si>
  <si>
    <t>3:56:11 AM</t>
  </si>
  <si>
    <t>3:56:12 AM</t>
  </si>
  <si>
    <t>3:56:13 AM</t>
  </si>
  <si>
    <t>3:56:14 AM</t>
  </si>
  <si>
    <t>3:56:15 AM</t>
  </si>
  <si>
    <t>3:56:16 AM</t>
  </si>
  <si>
    <t>3:56:17 AM</t>
  </si>
  <si>
    <t>3:56:18 AM</t>
  </si>
  <si>
    <t>3:56:19 AM</t>
  </si>
  <si>
    <t>3:56:20 AM</t>
  </si>
  <si>
    <t>3:56:21 AM</t>
  </si>
  <si>
    <t>3:56:22 AM</t>
  </si>
  <si>
    <t>3:56:23 AM</t>
  </si>
  <si>
    <t>3:56:24 AM</t>
  </si>
  <si>
    <t>3:56:25 AM</t>
  </si>
  <si>
    <t>3:56:26 AM</t>
  </si>
  <si>
    <t>3:56:27 AM</t>
  </si>
  <si>
    <t>3:56:28 AM</t>
  </si>
  <si>
    <t>3:56:29 AM</t>
  </si>
  <si>
    <t>3:56:30 AM</t>
  </si>
  <si>
    <t>3:56:31 AM</t>
  </si>
  <si>
    <t>3:56:32 AM</t>
  </si>
  <si>
    <t>3:56:33 AM</t>
  </si>
  <si>
    <t>3:56:34 AM</t>
  </si>
  <si>
    <t>3:56:35 AM</t>
  </si>
  <si>
    <t>3:56:36 AM</t>
  </si>
  <si>
    <t>3:56:37 AM</t>
  </si>
  <si>
    <t>3:56:38 AM</t>
  </si>
  <si>
    <t>3:56:39 AM</t>
  </si>
  <si>
    <t>4:48:44 AM</t>
  </si>
  <si>
    <t>4:48:45 AM</t>
  </si>
  <si>
    <t>4:48:46 AM</t>
  </si>
  <si>
    <t>4:48:47 AM</t>
  </si>
  <si>
    <t>4:48:48 AM</t>
  </si>
  <si>
    <t>4:48:49 AM</t>
  </si>
  <si>
    <t>4:48:50 AM</t>
  </si>
  <si>
    <t>4:48:51 AM</t>
  </si>
  <si>
    <t>4:48:52 AM</t>
  </si>
  <si>
    <t>4:48:53 AM</t>
  </si>
  <si>
    <t>4:48:54 AM</t>
  </si>
  <si>
    <t>4:48:55 AM</t>
  </si>
  <si>
    <t>4:48:56 AM</t>
  </si>
  <si>
    <t>4:48:57 AM</t>
  </si>
  <si>
    <t>4:48:58 AM</t>
  </si>
  <si>
    <t>4:48:59 AM</t>
  </si>
  <si>
    <t>4:49:00 AM</t>
  </si>
  <si>
    <t>4:49:01 AM</t>
  </si>
  <si>
    <t>4:49:02 AM</t>
  </si>
  <si>
    <t>4:49:03 AM</t>
  </si>
  <si>
    <t>4:49:04 AM</t>
  </si>
  <si>
    <t>4:49:05 AM</t>
  </si>
  <si>
    <t>4:49:06 AM</t>
  </si>
  <si>
    <t>4:49:07 AM</t>
  </si>
  <si>
    <t>4:49:08 AM</t>
  </si>
  <si>
    <t>4:49:09 AM</t>
  </si>
  <si>
    <t>4:49:10 AM</t>
  </si>
  <si>
    <t>4:49:11 AM</t>
  </si>
  <si>
    <t>4:49:12 AM</t>
  </si>
  <si>
    <t>4:49:13 AM</t>
  </si>
  <si>
    <t>4:49:14 AM</t>
  </si>
  <si>
    <t>4:49:15 AM</t>
  </si>
  <si>
    <t>4:49:16 AM</t>
  </si>
  <si>
    <t>4:49:17 AM</t>
  </si>
  <si>
    <t>4:49:18 AM</t>
  </si>
  <si>
    <t>4:49:19 AM</t>
  </si>
  <si>
    <t>4:49:20 AM</t>
  </si>
  <si>
    <t>4:50:08 AM</t>
  </si>
  <si>
    <t>4:50:09 AM</t>
  </si>
  <si>
    <t>4:50:10 AM</t>
  </si>
  <si>
    <t>4:50:11 AM</t>
  </si>
  <si>
    <t>4:50:12 AM</t>
  </si>
  <si>
    <t>4:50:13 AM</t>
  </si>
  <si>
    <t>4:50:14 AM</t>
  </si>
  <si>
    <t>4:50:15 AM</t>
  </si>
  <si>
    <t>4:50:16 AM</t>
  </si>
  <si>
    <t>4:50:17 AM</t>
  </si>
  <si>
    <t>4:50:18 AM</t>
  </si>
  <si>
    <t>4:50:19 AM</t>
  </si>
  <si>
    <t>4:50:20 AM</t>
  </si>
  <si>
    <t>4:50:21 AM</t>
  </si>
  <si>
    <t>4:50:22 AM</t>
  </si>
  <si>
    <t>4:50:23 AM</t>
  </si>
  <si>
    <t>4:50:24 AM</t>
  </si>
  <si>
    <t>4:50:25 AM</t>
  </si>
  <si>
    <t>4:50:26 AM</t>
  </si>
  <si>
    <t>4:50:27 AM</t>
  </si>
  <si>
    <t>4:50:28 AM</t>
  </si>
  <si>
    <t>4:50:29 AM</t>
  </si>
  <si>
    <t>4:50:30 AM</t>
  </si>
  <si>
    <t>4:50:31 AM</t>
  </si>
  <si>
    <t>4:50:32 AM</t>
  </si>
  <si>
    <t>4:50:33 AM</t>
  </si>
  <si>
    <t>4:50:34 AM</t>
  </si>
  <si>
    <t>4:50:35 AM</t>
  </si>
  <si>
    <t>4:50:36 AM</t>
  </si>
  <si>
    <t>4:50:37 AM</t>
  </si>
  <si>
    <t>4:50:38 AM</t>
  </si>
  <si>
    <t>4:50:39 AM</t>
  </si>
  <si>
    <t>4:50:40 AM</t>
  </si>
  <si>
    <t>4:50:41 AM</t>
  </si>
  <si>
    <t>4:50:42 AM</t>
  </si>
  <si>
    <t>4:50:43 AM</t>
  </si>
  <si>
    <t>4:51:31 AM</t>
  </si>
  <si>
    <t>4:51:32 AM</t>
  </si>
  <si>
    <t>4:51:33 AM</t>
  </si>
  <si>
    <t>4:51:34 AM</t>
  </si>
  <si>
    <t>4:51:35 AM</t>
  </si>
  <si>
    <t>4:51:36 AM</t>
  </si>
  <si>
    <t>4:51:37 AM</t>
  </si>
  <si>
    <t>4:51:38 AM</t>
  </si>
  <si>
    <t>4:51:39 AM</t>
  </si>
  <si>
    <t>4:51:40 AM</t>
  </si>
  <si>
    <t>4:51:41 AM</t>
  </si>
  <si>
    <t>4:51:42 AM</t>
  </si>
  <si>
    <t>4:51:43 AM</t>
  </si>
  <si>
    <t>4:51:44 AM</t>
  </si>
  <si>
    <t>4:51:45 AM</t>
  </si>
  <si>
    <t>4:51:46 AM</t>
  </si>
  <si>
    <t>4:51:47 AM</t>
  </si>
  <si>
    <t>4:51:48 AM</t>
  </si>
  <si>
    <t>4:51:49 AM</t>
  </si>
  <si>
    <t>4:51:50 AM</t>
  </si>
  <si>
    <t>4:51:51 AM</t>
  </si>
  <si>
    <t>4:51:52 AM</t>
  </si>
  <si>
    <t>4:51:53 AM</t>
  </si>
  <si>
    <t>4:51:54 AM</t>
  </si>
  <si>
    <t>4:51:55 AM</t>
  </si>
  <si>
    <t>4:51:56 AM</t>
  </si>
  <si>
    <t>4:51:57 AM</t>
  </si>
  <si>
    <t>4:51:58 AM</t>
  </si>
  <si>
    <t>4:51:59 AM</t>
  </si>
  <si>
    <t>4:52:00 AM</t>
  </si>
  <si>
    <t>4:52:01 AM</t>
  </si>
  <si>
    <t>4:52:02 AM</t>
  </si>
  <si>
    <t>4:52:03 AM</t>
  </si>
  <si>
    <t>4:52:04 AM</t>
  </si>
  <si>
    <t>4:52:05 AM</t>
  </si>
  <si>
    <t>4:52:06 AM</t>
  </si>
  <si>
    <t>4:52:07 AM</t>
  </si>
  <si>
    <t>4:52:56 AM</t>
  </si>
  <si>
    <t>4:52:57 AM</t>
  </si>
  <si>
    <t>4:52:58 AM</t>
  </si>
  <si>
    <t>4:52:59 AM</t>
  </si>
  <si>
    <t>4:53:00 AM</t>
  </si>
  <si>
    <t>4:53:01 AM</t>
  </si>
  <si>
    <t>4:53:02 AM</t>
  </si>
  <si>
    <t>4:53:03 AM</t>
  </si>
  <si>
    <t>4:53:04 AM</t>
  </si>
  <si>
    <t>4:53:05 AM</t>
  </si>
  <si>
    <t>4:53:06 AM</t>
  </si>
  <si>
    <t>4:53:07 AM</t>
  </si>
  <si>
    <t>4:53:08 AM</t>
  </si>
  <si>
    <t>4:53:09 AM</t>
  </si>
  <si>
    <t>4:53:10 AM</t>
  </si>
  <si>
    <t>4:53:11 AM</t>
  </si>
  <si>
    <t>4:53:12 AM</t>
  </si>
  <si>
    <t>4:53:13 AM</t>
  </si>
  <si>
    <t>4:53:14 AM</t>
  </si>
  <si>
    <t>4:53:15 AM</t>
  </si>
  <si>
    <t>4:53:16 AM</t>
  </si>
  <si>
    <t>4:53:17 AM</t>
  </si>
  <si>
    <t>4:53:18 AM</t>
  </si>
  <si>
    <t>4:53:19 AM</t>
  </si>
  <si>
    <t>4:53:20 AM</t>
  </si>
  <si>
    <t>4:53:21 AM</t>
  </si>
  <si>
    <t>4:53:22 AM</t>
  </si>
  <si>
    <t>4:53:23 AM</t>
  </si>
  <si>
    <t>4:53:24 AM</t>
  </si>
  <si>
    <t>4:53:25 AM</t>
  </si>
  <si>
    <t>4:53:26 AM</t>
  </si>
  <si>
    <t>4:53:27 AM</t>
  </si>
  <si>
    <t>4:53:28 AM</t>
  </si>
  <si>
    <t>4:53:29 AM</t>
  </si>
  <si>
    <t>4:53:30 AM</t>
  </si>
  <si>
    <t>4:53:31 AM</t>
  </si>
  <si>
    <t>4:53:32 AM</t>
  </si>
  <si>
    <t>4:54:21 AM</t>
  </si>
  <si>
    <t>4:54:22 AM</t>
  </si>
  <si>
    <t>4:54:23 AM</t>
  </si>
  <si>
    <t>4:54:24 AM</t>
  </si>
  <si>
    <t>4:54:25 AM</t>
  </si>
  <si>
    <t>4:54:26 AM</t>
  </si>
  <si>
    <t>4:54:27 AM</t>
  </si>
  <si>
    <t>4:54:28 AM</t>
  </si>
  <si>
    <t>4:54:29 AM</t>
  </si>
  <si>
    <t>4:54:30 AM</t>
  </si>
  <si>
    <t>4:54:31 AM</t>
  </si>
  <si>
    <t>4:54:32 AM</t>
  </si>
  <si>
    <t>4:54:33 AM</t>
  </si>
  <si>
    <t>4:54:34 AM</t>
  </si>
  <si>
    <t>4:54:35 AM</t>
  </si>
  <si>
    <t>4:54:36 AM</t>
  </si>
  <si>
    <t>4:54:37 AM</t>
  </si>
  <si>
    <t>4:54:38 AM</t>
  </si>
  <si>
    <t>4:54:39 AM</t>
  </si>
  <si>
    <t>4:54:40 AM</t>
  </si>
  <si>
    <t>4:54:41 AM</t>
  </si>
  <si>
    <t>4:54:42 AM</t>
  </si>
  <si>
    <t>4:54:43 AM</t>
  </si>
  <si>
    <t>4:54:44 AM</t>
  </si>
  <si>
    <t>4:54:45 AM</t>
  </si>
  <si>
    <t>4:54:46 AM</t>
  </si>
  <si>
    <t>4:54:47 AM</t>
  </si>
  <si>
    <t>4:54:48 AM</t>
  </si>
  <si>
    <t>4:54:49 AM</t>
  </si>
  <si>
    <t>4:54:50 AM</t>
  </si>
  <si>
    <t>4:54:51 AM</t>
  </si>
  <si>
    <t>4:54:52 AM</t>
  </si>
  <si>
    <t>4:54:53 AM</t>
  </si>
  <si>
    <t>4:54:54 AM</t>
  </si>
  <si>
    <t>4:54:55 AM</t>
  </si>
  <si>
    <t>4:54:56 AM</t>
  </si>
  <si>
    <t>4:54:57 AM</t>
  </si>
  <si>
    <t>4:55:51 AM</t>
  </si>
  <si>
    <t>4:55:52 AM</t>
  </si>
  <si>
    <t>4:55:53 AM</t>
  </si>
  <si>
    <t>4:55:54 AM</t>
  </si>
  <si>
    <t>4:55:55 AM</t>
  </si>
  <si>
    <t>4:55:56 AM</t>
  </si>
  <si>
    <t>4:55:57 AM</t>
  </si>
  <si>
    <t>4:55:58 AM</t>
  </si>
  <si>
    <t>4:55:59 AM</t>
  </si>
  <si>
    <t>4:56:00 AM</t>
  </si>
  <si>
    <t>4:56:01 AM</t>
  </si>
  <si>
    <t>4:56:02 AM</t>
  </si>
  <si>
    <t>4:56:03 AM</t>
  </si>
  <si>
    <t>4:56:04 AM</t>
  </si>
  <si>
    <t>4:56:05 AM</t>
  </si>
  <si>
    <t>4:56:06 AM</t>
  </si>
  <si>
    <t>4:56:07 AM</t>
  </si>
  <si>
    <t>4:56:08 AM</t>
  </si>
  <si>
    <t>4:56:09 AM</t>
  </si>
  <si>
    <t>4:56:10 AM</t>
  </si>
  <si>
    <t>4:56:11 AM</t>
  </si>
  <si>
    <t>4:56:12 AM</t>
  </si>
  <si>
    <t>4:56:13 AM</t>
  </si>
  <si>
    <t>4:56:14 AM</t>
  </si>
  <si>
    <t>4:56:15 AM</t>
  </si>
  <si>
    <t>4:56:16 AM</t>
  </si>
  <si>
    <t>4:56:17 AM</t>
  </si>
  <si>
    <t>4:56:18 AM</t>
  </si>
  <si>
    <t>4:56:19 AM</t>
  </si>
  <si>
    <t>4:56:20 AM</t>
  </si>
  <si>
    <t>4:56:21 AM</t>
  </si>
  <si>
    <t>4:56:22 AM</t>
  </si>
  <si>
    <t>4:56:23 AM</t>
  </si>
  <si>
    <t>4:56:24 AM</t>
  </si>
  <si>
    <t>4:56:25 AM</t>
  </si>
  <si>
    <t>4:56:26 AM</t>
  </si>
  <si>
    <t>4:57:16 AM</t>
  </si>
  <si>
    <t>4:57:18 AM</t>
  </si>
  <si>
    <t>4:57:19 AM</t>
  </si>
  <si>
    <t>4:57:20 AM</t>
  </si>
  <si>
    <t>4:57:21 AM</t>
  </si>
  <si>
    <t>4:57:22 AM</t>
  </si>
  <si>
    <t>4:57:23 AM</t>
  </si>
  <si>
    <t>4:57:24 AM</t>
  </si>
  <si>
    <t>4:57:25 AM</t>
  </si>
  <si>
    <t>4:57:26 AM</t>
  </si>
  <si>
    <t>4:57:27 AM</t>
  </si>
  <si>
    <t>4:57:28 AM</t>
  </si>
  <si>
    <t>4:57:29 AM</t>
  </si>
  <si>
    <t>4:57:30 AM</t>
  </si>
  <si>
    <t>4:57:31 AM</t>
  </si>
  <si>
    <t>4:57:32 AM</t>
  </si>
  <si>
    <t>4:57:33 AM</t>
  </si>
  <si>
    <t>4:57:34 AM</t>
  </si>
  <si>
    <t>4:57:35 AM</t>
  </si>
  <si>
    <t>4:57:36 AM</t>
  </si>
  <si>
    <t>4:57:37 AM</t>
  </si>
  <si>
    <t>4:57:38 AM</t>
  </si>
  <si>
    <t>4:57:39 AM</t>
  </si>
  <si>
    <t>4:57:40 AM</t>
  </si>
  <si>
    <t>4:57:41 AM</t>
  </si>
  <si>
    <t>4:57:42 AM</t>
  </si>
  <si>
    <t>4:57:43 AM</t>
  </si>
  <si>
    <t>4:57:44 AM</t>
  </si>
  <si>
    <t>4:57:45 AM</t>
  </si>
  <si>
    <t>4:57:46 AM</t>
  </si>
  <si>
    <t>4:57:47 AM</t>
  </si>
  <si>
    <t>4:57:48 AM</t>
  </si>
  <si>
    <t>4:57:49 AM</t>
  </si>
  <si>
    <t>4:57:50 AM</t>
  </si>
  <si>
    <t>4:57:51 AM</t>
  </si>
  <si>
    <t>C:\Users\H660735\Downloads\minitab_automation\PTS_report.xlsx</t>
  </si>
  <si>
    <t>Fail-Lin</t>
  </si>
  <si>
    <t>Pass</t>
  </si>
  <si>
    <t>Fail-Span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</si>
</sst>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[$-409]d\-mmm\-yyyy;@"/>
    <numFmt numFmtId="166" formatCode="m/dd/yyyy"/>
  </numFmts>
  <fonts count="15" x14ac:knownFonts="1">
    <font>
      <sz val="11"/>
      <color theme="1"/>
      <name val="Aptos Narrow"/>
      <family val="2"/>
      <scheme val="minor"/>
    </font>
    <font>
      <b/>
      <sz val="12"/>
      <color theme="0"/>
      <name val="Arial"/>
      <family val="2"/>
    </font>
    <font>
      <b/>
      <i/>
      <sz val="10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10"/>
      <name val="Symbol"/>
      <family val="1"/>
      <charset val="2"/>
    </font>
    <font>
      <sz val="12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color rgb="FF008000"/>
      <name val="Arial"/>
      <family val="2"/>
    </font>
    <font>
      <b/>
      <sz val="12"/>
      <name val="Arial"/>
      <family val="2"/>
    </font>
    <font>
      <b/>
      <sz val="9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</borders>
  <cellStyleXfs count="2">
    <xf numFmtId="0" fontId="0" fillId="0" borderId="0"/>
    <xf numFmtId="0" fontId="14" fillId="0" borderId="0"/>
  </cellStyleXfs>
  <cellXfs count="133">
    <xf numFmtId="0" fontId="0" fillId="0" borderId="0" xfId="0"/>
    <xf numFmtId="0" fontId="14" fillId="0" borderId="0" xfId="1"/>
    <xf numFmtId="0" fontId="6" fillId="0" borderId="0" xfId="1" applyFont="1" applyAlignment="1">
      <alignment horizontal="center" vertical="center"/>
    </xf>
    <xf numFmtId="0" fontId="7" fillId="7" borderId="4" xfId="1" applyFont="1" applyFill="1" applyBorder="1" applyAlignment="1">
      <alignment horizontal="center" vertical="center"/>
    </xf>
    <xf numFmtId="0" fontId="7" fillId="8" borderId="4" xfId="1" applyFont="1" applyFill="1" applyBorder="1" applyAlignment="1">
      <alignment horizontal="center" vertical="center"/>
    </xf>
    <xf numFmtId="0" fontId="7" fillId="9" borderId="6" xfId="1" applyFont="1" applyFill="1" applyBorder="1" applyAlignment="1">
      <alignment horizontal="center" vertical="center"/>
    </xf>
    <xf numFmtId="0" fontId="7" fillId="0" borderId="0" xfId="1" applyFont="1"/>
    <xf numFmtId="0" fontId="14" fillId="2" borderId="4" xfId="1" applyFill="1" applyBorder="1"/>
    <xf numFmtId="0" fontId="14" fillId="2" borderId="5" xfId="1" applyFill="1" applyBorder="1" applyAlignment="1">
      <alignment horizontal="center"/>
    </xf>
    <xf numFmtId="0" fontId="2" fillId="3" borderId="4" xfId="1" applyFont="1" applyFill="1" applyBorder="1" applyAlignment="1">
      <alignment horizontal="center"/>
    </xf>
    <xf numFmtId="0" fontId="2" fillId="3" borderId="6" xfId="1" applyFont="1" applyFill="1" applyBorder="1" applyAlignment="1">
      <alignment horizontal="center"/>
    </xf>
    <xf numFmtId="0" fontId="14" fillId="0" borderId="0" xfId="1" applyAlignment="1">
      <alignment horizontal="center"/>
    </xf>
    <xf numFmtId="0" fontId="14" fillId="10" borderId="7" xfId="1" applyFill="1" applyBorder="1" applyAlignment="1" applyProtection="1">
      <alignment horizontal="center"/>
      <protection locked="0"/>
    </xf>
    <xf numFmtId="0" fontId="4" fillId="11" borderId="34" xfId="1" applyFont="1" applyFill="1" applyBorder="1" applyAlignment="1" applyProtection="1">
      <alignment horizontal="center"/>
      <protection locked="0"/>
    </xf>
    <xf numFmtId="2" fontId="14" fillId="12" borderId="35" xfId="1" applyNumberFormat="1" applyFill="1" applyBorder="1" applyAlignment="1" applyProtection="1">
      <alignment horizontal="center"/>
      <protection locked="0"/>
    </xf>
    <xf numFmtId="0" fontId="9" fillId="0" borderId="0" xfId="1" applyFont="1"/>
    <xf numFmtId="0" fontId="3" fillId="4" borderId="7" xfId="1" applyFont="1" applyFill="1" applyBorder="1" applyAlignment="1">
      <alignment horizontal="right"/>
    </xf>
    <xf numFmtId="0" fontId="14" fillId="5" borderId="8" xfId="1" applyFill="1" applyBorder="1" applyAlignment="1" applyProtection="1">
      <alignment horizontal="center"/>
      <protection locked="0"/>
    </xf>
    <xf numFmtId="0" fontId="14" fillId="5" borderId="9" xfId="1" applyFill="1" applyBorder="1" applyAlignment="1" applyProtection="1">
      <alignment horizontal="center"/>
      <protection locked="0"/>
    </xf>
    <xf numFmtId="0" fontId="14" fillId="5" borderId="10" xfId="1" applyFill="1" applyBorder="1" applyAlignment="1" applyProtection="1">
      <alignment horizontal="center"/>
      <protection locked="0"/>
    </xf>
    <xf numFmtId="0" fontId="14" fillId="10" borderId="28" xfId="1" applyFill="1" applyBorder="1" applyAlignment="1" applyProtection="1">
      <alignment horizontal="center"/>
      <protection locked="0"/>
    </xf>
    <xf numFmtId="0" fontId="10" fillId="10" borderId="28" xfId="1" applyFont="1" applyFill="1" applyBorder="1" applyAlignment="1" applyProtection="1">
      <alignment horizontal="center"/>
      <protection locked="0"/>
    </xf>
    <xf numFmtId="0" fontId="4" fillId="11" borderId="28" xfId="1" applyFont="1" applyFill="1" applyBorder="1" applyAlignment="1" applyProtection="1">
      <alignment horizontal="center"/>
      <protection locked="0"/>
    </xf>
    <xf numFmtId="2" fontId="14" fillId="12" borderId="29" xfId="1" applyNumberFormat="1" applyFill="1" applyBorder="1" applyAlignment="1" applyProtection="1">
      <alignment horizontal="center"/>
      <protection locked="0"/>
    </xf>
    <xf numFmtId="0" fontId="3" fillId="4" borderId="11" xfId="1" applyFont="1" applyFill="1" applyBorder="1" applyAlignment="1">
      <alignment horizontal="right"/>
    </xf>
    <xf numFmtId="0" fontId="14" fillId="5" borderId="12" xfId="1" applyFill="1" applyBorder="1" applyAlignment="1" applyProtection="1">
      <alignment horizontal="center"/>
      <protection locked="0"/>
    </xf>
    <xf numFmtId="0" fontId="14" fillId="4" borderId="13" xfId="1" applyFill="1" applyBorder="1" applyAlignment="1">
      <alignment horizontal="center"/>
    </xf>
    <xf numFmtId="0" fontId="14" fillId="4" borderId="14" xfId="1" applyFill="1" applyBorder="1" applyAlignment="1">
      <alignment horizontal="center"/>
    </xf>
    <xf numFmtId="0" fontId="4" fillId="6" borderId="8" xfId="1" applyFont="1" applyFill="1" applyBorder="1" applyAlignment="1" applyProtection="1">
      <alignment horizontal="center"/>
      <protection locked="0"/>
    </xf>
    <xf numFmtId="0" fontId="14" fillId="4" borderId="9" xfId="1" applyFill="1" applyBorder="1" applyAlignment="1">
      <alignment horizontal="center"/>
    </xf>
    <xf numFmtId="0" fontId="14" fillId="2" borderId="15" xfId="1" applyFill="1" applyBorder="1" applyAlignment="1">
      <alignment horizontal="center"/>
    </xf>
    <xf numFmtId="1" fontId="14" fillId="0" borderId="0" xfId="1" applyNumberFormat="1"/>
    <xf numFmtId="0" fontId="3" fillId="4" borderId="16" xfId="1" applyFont="1" applyFill="1" applyBorder="1" applyAlignment="1">
      <alignment horizontal="right"/>
    </xf>
    <xf numFmtId="0" fontId="4" fillId="6" borderId="17" xfId="1" applyFont="1" applyFill="1" applyBorder="1" applyAlignment="1" applyProtection="1">
      <alignment horizontal="center"/>
      <protection locked="0"/>
    </xf>
    <xf numFmtId="0" fontId="14" fillId="4" borderId="18" xfId="1" applyFill="1" applyBorder="1" applyAlignment="1">
      <alignment horizontal="center"/>
    </xf>
    <xf numFmtId="0" fontId="9" fillId="0" borderId="0" xfId="1" quotePrefix="1" applyFont="1"/>
    <xf numFmtId="0" fontId="3" fillId="4" borderId="19" xfId="1" applyFont="1" applyFill="1" applyBorder="1" applyAlignment="1">
      <alignment horizontal="right"/>
    </xf>
    <xf numFmtId="164" fontId="4" fillId="6" borderId="20" xfId="1" applyNumberFormat="1" applyFont="1" applyFill="1" applyBorder="1" applyAlignment="1" applyProtection="1">
      <alignment horizontal="center"/>
      <protection locked="0"/>
    </xf>
    <xf numFmtId="0" fontId="14" fillId="4" borderId="21" xfId="1" applyFill="1" applyBorder="1" applyAlignment="1">
      <alignment horizontal="center"/>
    </xf>
    <xf numFmtId="0" fontId="14" fillId="2" borderId="22" xfId="1" applyFill="1" applyBorder="1" applyAlignment="1">
      <alignment horizontal="center"/>
    </xf>
    <xf numFmtId="0" fontId="14" fillId="0" borderId="0" xfId="1" quotePrefix="1" applyAlignment="1">
      <alignment horizontal="center"/>
    </xf>
    <xf numFmtId="0" fontId="8" fillId="10" borderId="28" xfId="1" applyFont="1" applyFill="1" applyBorder="1" applyAlignment="1" applyProtection="1">
      <alignment horizontal="center"/>
      <protection locked="0"/>
    </xf>
    <xf numFmtId="0" fontId="2" fillId="3" borderId="26" xfId="1" applyFont="1" applyFill="1" applyBorder="1" applyAlignment="1">
      <alignment horizontal="center"/>
    </xf>
    <xf numFmtId="0" fontId="14" fillId="2" borderId="27" xfId="1" applyFill="1" applyBorder="1"/>
    <xf numFmtId="0" fontId="4" fillId="6" borderId="7" xfId="1" applyFont="1" applyFill="1" applyBorder="1" applyAlignment="1" applyProtection="1">
      <alignment horizontal="center"/>
      <protection locked="0"/>
    </xf>
    <xf numFmtId="0" fontId="14" fillId="2" borderId="10" xfId="1" applyFill="1" applyBorder="1" applyAlignment="1">
      <alignment horizontal="center"/>
    </xf>
    <xf numFmtId="0" fontId="14" fillId="2" borderId="26" xfId="1" applyFill="1" applyBorder="1" applyAlignment="1">
      <alignment horizontal="center"/>
    </xf>
    <xf numFmtId="0" fontId="3" fillId="4" borderId="28" xfId="1" applyFont="1" applyFill="1" applyBorder="1" applyAlignment="1">
      <alignment horizontal="right"/>
    </xf>
    <xf numFmtId="2" fontId="4" fillId="6" borderId="28" xfId="1" applyNumberFormat="1" applyFont="1" applyFill="1" applyBorder="1" applyAlignment="1" applyProtection="1">
      <alignment horizontal="center"/>
      <protection locked="0"/>
    </xf>
    <xf numFmtId="0" fontId="14" fillId="6" borderId="29" xfId="1" applyFill="1" applyBorder="1" applyAlignment="1">
      <alignment horizontal="center"/>
    </xf>
    <xf numFmtId="0" fontId="14" fillId="2" borderId="29" xfId="1" applyFill="1" applyBorder="1" applyAlignment="1">
      <alignment horizontal="center"/>
    </xf>
    <xf numFmtId="0" fontId="3" fillId="4" borderId="29" xfId="1" applyFont="1" applyFill="1" applyBorder="1" applyAlignment="1">
      <alignment horizontal="right"/>
    </xf>
    <xf numFmtId="0" fontId="14" fillId="2" borderId="30" xfId="1" applyFill="1" applyBorder="1" applyAlignment="1">
      <alignment horizontal="center"/>
    </xf>
    <xf numFmtId="0" fontId="14" fillId="2" borderId="31" xfId="1" applyFill="1" applyBorder="1" applyAlignment="1">
      <alignment horizontal="center"/>
    </xf>
    <xf numFmtId="0" fontId="3" fillId="4" borderId="14" xfId="1" applyFont="1" applyFill="1" applyBorder="1" applyAlignment="1">
      <alignment horizontal="right"/>
    </xf>
    <xf numFmtId="0" fontId="14" fillId="2" borderId="0" xfId="1" applyFill="1" applyAlignment="1">
      <alignment horizontal="center"/>
    </xf>
    <xf numFmtId="0" fontId="14" fillId="2" borderId="27" xfId="1" applyFill="1" applyBorder="1" applyAlignment="1">
      <alignment horizontal="center"/>
    </xf>
    <xf numFmtId="0" fontId="14" fillId="4" borderId="10" xfId="1" applyFill="1" applyBorder="1" applyAlignment="1">
      <alignment horizontal="center"/>
    </xf>
    <xf numFmtId="0" fontId="4" fillId="6" borderId="28" xfId="1" applyFont="1" applyFill="1" applyBorder="1" applyAlignment="1" applyProtection="1">
      <alignment horizontal="center"/>
      <protection locked="0"/>
    </xf>
    <xf numFmtId="0" fontId="14" fillId="4" borderId="29" xfId="1" applyFill="1" applyBorder="1" applyAlignment="1">
      <alignment horizontal="center"/>
    </xf>
    <xf numFmtId="0" fontId="3" fillId="0" borderId="15" xfId="1" applyFont="1" applyBorder="1" applyAlignment="1" applyProtection="1">
      <alignment vertical="center" wrapText="1"/>
      <protection locked="0"/>
    </xf>
    <xf numFmtId="0" fontId="4" fillId="6" borderId="16" xfId="1" applyFont="1" applyFill="1" applyBorder="1" applyAlignment="1" applyProtection="1">
      <alignment horizontal="center"/>
      <protection locked="0"/>
    </xf>
    <xf numFmtId="0" fontId="3" fillId="4" borderId="34" xfId="1" applyFont="1" applyFill="1" applyBorder="1" applyAlignment="1">
      <alignment horizontal="right"/>
    </xf>
    <xf numFmtId="165" fontId="14" fillId="4" borderId="29" xfId="1" applyNumberFormat="1" applyFill="1" applyBorder="1" applyAlignment="1">
      <alignment horizontal="center"/>
    </xf>
    <xf numFmtId="0" fontId="3" fillId="4" borderId="6" xfId="1" applyFont="1" applyFill="1" applyBorder="1" applyAlignment="1">
      <alignment horizontal="right"/>
    </xf>
    <xf numFmtId="0" fontId="12" fillId="0" borderId="2" xfId="1" applyFont="1" applyBorder="1"/>
    <xf numFmtId="0" fontId="3" fillId="0" borderId="2" xfId="1" applyFont="1" applyBorder="1"/>
    <xf numFmtId="0" fontId="14" fillId="0" borderId="2" xfId="1" applyBorder="1" applyAlignment="1">
      <alignment horizontal="center"/>
    </xf>
    <xf numFmtId="0" fontId="14" fillId="0" borderId="3" xfId="1" applyBorder="1" applyAlignment="1">
      <alignment horizontal="center"/>
    </xf>
    <xf numFmtId="0" fontId="12" fillId="0" borderId="0" xfId="1" applyFont="1"/>
    <xf numFmtId="0" fontId="3" fillId="0" borderId="0" xfId="1" applyFont="1"/>
    <xf numFmtId="0" fontId="14" fillId="0" borderId="15" xfId="1" applyBorder="1" applyAlignment="1">
      <alignment horizontal="center"/>
    </xf>
    <xf numFmtId="0" fontId="3" fillId="0" borderId="37" xfId="1" applyFont="1" applyBorder="1"/>
    <xf numFmtId="0" fontId="13" fillId="0" borderId="0" xfId="1" applyFont="1" applyAlignment="1">
      <alignment horizontal="center"/>
    </xf>
    <xf numFmtId="0" fontId="3" fillId="0" borderId="19" xfId="1" applyFont="1" applyBorder="1"/>
    <xf numFmtId="0" fontId="3" fillId="0" borderId="23" xfId="1" applyFont="1" applyBorder="1"/>
    <xf numFmtId="0" fontId="12" fillId="0" borderId="23" xfId="1" applyFont="1" applyBorder="1"/>
    <xf numFmtId="0" fontId="14" fillId="0" borderId="23" xfId="1" applyBorder="1" applyAlignment="1">
      <alignment horizontal="center"/>
    </xf>
    <xf numFmtId="0" fontId="14" fillId="0" borderId="22" xfId="1" applyBorder="1" applyAlignment="1">
      <alignment horizontal="center"/>
    </xf>
    <xf numFmtId="0" fontId="14" fillId="10" borderId="16" xfId="1" applyFill="1" applyBorder="1" applyAlignment="1" applyProtection="1">
      <alignment horizontal="center"/>
      <protection locked="0"/>
    </xf>
    <xf numFmtId="0" fontId="4" fillId="11" borderId="16" xfId="1" applyFont="1" applyFill="1" applyBorder="1" applyAlignment="1" applyProtection="1">
      <alignment horizontal="center"/>
      <protection locked="0"/>
    </xf>
    <xf numFmtId="2" fontId="14" fillId="12" borderId="14" xfId="1" applyNumberFormat="1" applyFill="1" applyBorder="1" applyAlignment="1" applyProtection="1">
      <alignment horizontal="center"/>
      <protection locked="0"/>
    </xf>
    <xf numFmtId="2" fontId="14" fillId="0" borderId="0" xfId="1" applyNumberFormat="1" applyAlignment="1">
      <alignment horizontal="center"/>
    </xf>
    <xf numFmtId="0" fontId="0" fillId="0" borderId="39" xfId="0" applyBorder="1" applyAlignment="1">
      <alignment horizontal="center" wrapText="1"/>
    </xf>
    <xf numFmtId="166" fontId="0" fillId="0" borderId="0" xfId="0" applyNumberFormat="1"/>
    <xf numFmtId="0" fontId="3" fillId="0" borderId="23" xfId="0" applyFont="1" applyBorder="1" applyAlignment="1">
      <alignment horizontal="center" vertical="center" wrapText="1"/>
    </xf>
    <xf numFmtId="0" fontId="8" fillId="10" borderId="16" xfId="1" applyFont="1" applyFill="1" applyBorder="1" applyAlignment="1" applyProtection="1">
      <alignment horizontal="center"/>
      <protection locked="0"/>
    </xf>
    <xf numFmtId="0" fontId="8" fillId="10" borderId="7" xfId="1" applyFont="1" applyFill="1" applyBorder="1" applyAlignment="1" applyProtection="1">
      <alignment horizontal="center"/>
      <protection locked="0"/>
    </xf>
    <xf numFmtId="0" fontId="11" fillId="0" borderId="1" xfId="1" applyFont="1" applyBorder="1" applyAlignment="1">
      <alignment horizontal="center" vertical="top"/>
    </xf>
    <xf numFmtId="0" fontId="11" fillId="0" borderId="2" xfId="1" applyFont="1" applyBorder="1" applyAlignment="1">
      <alignment horizontal="center" vertical="top"/>
    </xf>
    <xf numFmtId="0" fontId="11" fillId="0" borderId="37" xfId="1" applyFont="1" applyBorder="1" applyAlignment="1">
      <alignment horizontal="center" vertical="top"/>
    </xf>
    <xf numFmtId="0" fontId="11" fillId="0" borderId="0" xfId="1" applyFont="1" applyAlignment="1">
      <alignment horizontal="center" vertical="top"/>
    </xf>
    <xf numFmtId="0" fontId="1" fillId="2" borderId="1" xfId="1" applyFont="1" applyFill="1" applyBorder="1" applyAlignment="1">
      <alignment horizontal="center" vertical="center"/>
    </xf>
    <xf numFmtId="0" fontId="1" fillId="2" borderId="2" xfId="1" applyFont="1" applyFill="1" applyBorder="1" applyAlignment="1">
      <alignment horizontal="center" vertical="center"/>
    </xf>
    <xf numFmtId="0" fontId="1" fillId="2" borderId="3" xfId="1" applyFont="1" applyFill="1" applyBorder="1" applyAlignment="1">
      <alignment horizontal="center" vertical="center"/>
    </xf>
    <xf numFmtId="0" fontId="1" fillId="2" borderId="19" xfId="1" applyFont="1" applyFill="1" applyBorder="1" applyAlignment="1">
      <alignment horizontal="center" vertical="center"/>
    </xf>
    <xf numFmtId="0" fontId="1" fillId="2" borderId="23" xfId="1" applyFont="1" applyFill="1" applyBorder="1" applyAlignment="1">
      <alignment horizontal="center" vertical="center"/>
    </xf>
    <xf numFmtId="0" fontId="1" fillId="2" borderId="22" xfId="1" applyFont="1" applyFill="1" applyBorder="1" applyAlignment="1">
      <alignment horizontal="center" vertical="center"/>
    </xf>
    <xf numFmtId="0" fontId="2" fillId="3" borderId="24" xfId="1" applyFont="1" applyFill="1" applyBorder="1" applyAlignment="1">
      <alignment horizontal="center"/>
    </xf>
    <xf numFmtId="0" fontId="2" fillId="3" borderId="25" xfId="1" applyFont="1" applyFill="1" applyBorder="1" applyAlignment="1">
      <alignment horizontal="center"/>
    </xf>
    <xf numFmtId="0" fontId="2" fillId="3" borderId="32" xfId="1" applyFont="1" applyFill="1" applyBorder="1" applyAlignment="1">
      <alignment horizontal="center"/>
    </xf>
    <xf numFmtId="0" fontId="2" fillId="3" borderId="33" xfId="1" applyFont="1" applyFill="1" applyBorder="1" applyAlignment="1">
      <alignment horizontal="center"/>
    </xf>
    <xf numFmtId="0" fontId="2" fillId="3" borderId="36" xfId="1" applyFont="1" applyFill="1" applyBorder="1" applyAlignment="1">
      <alignment horizontal="center"/>
    </xf>
    <xf numFmtId="0" fontId="1" fillId="2" borderId="37" xfId="1" applyFont="1" applyFill="1" applyBorder="1" applyAlignment="1">
      <alignment horizontal="center" vertical="center"/>
    </xf>
    <xf numFmtId="0" fontId="1" fillId="2" borderId="0" xfId="1" applyFont="1" applyFill="1" applyAlignment="1">
      <alignment horizontal="center" vertical="center"/>
    </xf>
    <xf numFmtId="0" fontId="1" fillId="2" borderId="15" xfId="1" applyFont="1" applyFill="1" applyBorder="1" applyAlignment="1">
      <alignment horizontal="center" vertical="center"/>
    </xf>
    <xf numFmtId="0" fontId="14" fillId="13" borderId="32" xfId="1" applyFill="1" applyBorder="1" applyAlignment="1" applyProtection="1">
      <alignment horizontal="center"/>
      <protection locked="0"/>
    </xf>
    <xf numFmtId="0" fontId="14" fillId="13" borderId="38" xfId="1" applyFill="1" applyBorder="1" applyAlignment="1" applyProtection="1">
      <alignment horizontal="center"/>
      <protection locked="0"/>
    </xf>
    <xf numFmtId="0" fontId="14" fillId="13" borderId="36" xfId="1" applyFill="1" applyBorder="1" applyAlignment="1" applyProtection="1">
      <alignment horizontal="center"/>
      <protection locked="0"/>
    </xf>
    <xf numFmtId="0" fontId="2" fillId="3" borderId="1" xfId="1" applyFont="1" applyFill="1" applyBorder="1" applyAlignment="1">
      <alignment horizontal="center" vertical="center"/>
    </xf>
    <xf numFmtId="0" fontId="2" fillId="3" borderId="2" xfId="1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/>
    </xf>
    <xf numFmtId="0" fontId="2" fillId="3" borderId="19" xfId="1" applyFont="1" applyFill="1" applyBorder="1" applyAlignment="1">
      <alignment horizontal="center" vertical="center"/>
    </xf>
    <xf numFmtId="0" fontId="2" fillId="3" borderId="23" xfId="1" applyFont="1" applyFill="1" applyBorder="1" applyAlignment="1">
      <alignment horizontal="center" vertical="center"/>
    </xf>
    <xf numFmtId="0" fontId="2" fillId="3" borderId="22" xfId="1" applyFont="1" applyFill="1" applyBorder="1" applyAlignment="1">
      <alignment horizontal="center" vertical="center"/>
    </xf>
    <xf numFmtId="0" fontId="3" fillId="14" borderId="1" xfId="1" applyFont="1" applyFill="1" applyBorder="1" applyAlignment="1" applyProtection="1">
      <alignment horizontal="center" vertical="center" wrapText="1"/>
      <protection locked="0"/>
    </xf>
    <xf numFmtId="0" fontId="3" fillId="14" borderId="2" xfId="1" applyFont="1" applyFill="1" applyBorder="1" applyAlignment="1" applyProtection="1">
      <alignment horizontal="center" vertical="center" wrapText="1"/>
      <protection locked="0"/>
    </xf>
    <xf numFmtId="0" fontId="3" fillId="14" borderId="3" xfId="1" applyFont="1" applyFill="1" applyBorder="1" applyAlignment="1" applyProtection="1">
      <alignment horizontal="center" vertical="center" wrapText="1"/>
      <protection locked="0"/>
    </xf>
    <xf numFmtId="0" fontId="3" fillId="14" borderId="19" xfId="1" applyFont="1" applyFill="1" applyBorder="1" applyAlignment="1" applyProtection="1">
      <alignment horizontal="center" vertical="center" wrapText="1"/>
      <protection locked="0"/>
    </xf>
    <xf numFmtId="0" fontId="3" fillId="14" borderId="23" xfId="1" applyFont="1" applyFill="1" applyBorder="1" applyAlignment="1" applyProtection="1">
      <alignment horizontal="center" vertical="center" wrapText="1"/>
      <protection locked="0"/>
    </xf>
    <xf numFmtId="0" fontId="3" fillId="14" borderId="22" xfId="1" applyFont="1" applyFill="1" applyBorder="1" applyAlignment="1" applyProtection="1">
      <alignment horizontal="center" vertical="center" wrapText="1"/>
      <protection locked="0"/>
    </xf>
    <xf numFmtId="0" fontId="2" fillId="3" borderId="37" xfId="1" applyFont="1" applyFill="1" applyBorder="1" applyAlignment="1">
      <alignment horizontal="center" vertical="center"/>
    </xf>
    <xf numFmtId="0" fontId="2" fillId="3" borderId="15" xfId="1" applyFont="1" applyFill="1" applyBorder="1" applyAlignment="1">
      <alignment horizontal="center" vertical="center"/>
    </xf>
    <xf numFmtId="0" fontId="3" fillId="4" borderId="1" xfId="1" applyFont="1" applyFill="1" applyBorder="1" applyAlignment="1" applyProtection="1">
      <alignment horizontal="center" vertical="center" wrapText="1"/>
      <protection locked="0"/>
    </xf>
    <xf numFmtId="0" fontId="3" fillId="4" borderId="2" xfId="1" applyFont="1" applyFill="1" applyBorder="1" applyAlignment="1" applyProtection="1">
      <alignment horizontal="center" vertical="center" wrapText="1"/>
      <protection locked="0"/>
    </xf>
    <xf numFmtId="0" fontId="3" fillId="4" borderId="3" xfId="1" applyFont="1" applyFill="1" applyBorder="1" applyAlignment="1" applyProtection="1">
      <alignment horizontal="center" vertical="center" wrapText="1"/>
      <protection locked="0"/>
    </xf>
    <xf numFmtId="0" fontId="3" fillId="4" borderId="37" xfId="1" applyFont="1" applyFill="1" applyBorder="1" applyAlignment="1" applyProtection="1">
      <alignment horizontal="center" vertical="center" wrapText="1"/>
      <protection locked="0"/>
    </xf>
    <xf numFmtId="0" fontId="3" fillId="4" borderId="0" xfId="1" applyFont="1" applyFill="1" applyAlignment="1" applyProtection="1">
      <alignment horizontal="center" vertical="center" wrapText="1"/>
      <protection locked="0"/>
    </xf>
    <xf numFmtId="0" fontId="3" fillId="4" borderId="15" xfId="1" applyFont="1" applyFill="1" applyBorder="1" applyAlignment="1" applyProtection="1">
      <alignment horizontal="center" vertical="center" wrapText="1"/>
      <protection locked="0"/>
    </xf>
    <xf numFmtId="0" fontId="3" fillId="4" borderId="19" xfId="1" applyFont="1" applyFill="1" applyBorder="1" applyAlignment="1" applyProtection="1">
      <alignment horizontal="center" vertical="center" wrapText="1"/>
      <protection locked="0"/>
    </xf>
    <xf numFmtId="0" fontId="3" fillId="4" borderId="23" xfId="1" applyFont="1" applyFill="1" applyBorder="1" applyAlignment="1" applyProtection="1">
      <alignment horizontal="center" vertical="center" wrapText="1"/>
      <protection locked="0"/>
    </xf>
    <xf numFmtId="0" fontId="3" fillId="4" borderId="22" xfId="1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</cellXfs>
  <cellStyles count="2">
    <cellStyle name="Normal" xfId="0" builtinId="0"/>
    <cellStyle name="Normal 2" xfId="1" xr:uid="{CBBBB6B3-C628-4F34-9652-4533F105A9C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w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72277</xdr:colOff>
      <xdr:row>0</xdr:row>
      <xdr:rowOff>129004</xdr:rowOff>
    </xdr:from>
    <xdr:to>
      <xdr:col>2</xdr:col>
      <xdr:colOff>516422</xdr:colOff>
      <xdr:row>1</xdr:row>
      <xdr:rowOff>152400</xdr:rowOff>
    </xdr:to>
    <xdr:pic>
      <xdr:nvPicPr>
        <xdr:cNvPr id="2" name="Picture 6">
          <a:extLst>
            <a:ext uri="{FF2B5EF4-FFF2-40B4-BE49-F238E27FC236}">
              <a16:creationId xmlns:a16="http://schemas.microsoft.com/office/drawing/2014/main" id="{AEE911CE-DDB0-4491-B60B-4551E5F909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277" y="129004"/>
          <a:ext cx="1834795" cy="309146"/>
        </a:xfrm>
        <a:prstGeom prst="rect">
          <a:avLst/>
        </a:prstGeom>
        <a:solidFill>
          <a:schemeClr val="bg1"/>
        </a:solidFill>
        <a:ln w="12700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6</xdr:row>
          <xdr:rowOff>12700</xdr:rowOff>
        </xdr:from>
        <xdr:to>
          <xdr:col>2</xdr:col>
          <xdr:colOff>209550</xdr:colOff>
          <xdr:row>7</xdr:row>
          <xdr:rowOff>165100</xdr:rowOff>
        </xdr:to>
        <xdr:sp macro="" textlink="">
          <xdr:nvSpPr>
            <xdr:cNvPr id="2049" name="LoadDataFile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9</xdr:row>
          <xdr:rowOff>31750</xdr:rowOff>
        </xdr:from>
        <xdr:to>
          <xdr:col>2</xdr:col>
          <xdr:colOff>203200</xdr:colOff>
          <xdr:row>11</xdr:row>
          <xdr:rowOff>25400</xdr:rowOff>
        </xdr:to>
        <xdr:sp macro="" textlink="">
          <xdr:nvSpPr>
            <xdr:cNvPr id="2050" name="OneTempButto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222250</xdr:colOff>
          <xdr:row>12</xdr:row>
          <xdr:rowOff>31750</xdr:rowOff>
        </xdr:from>
        <xdr:to>
          <xdr:col>2</xdr:col>
          <xdr:colOff>209550</xdr:colOff>
          <xdr:row>15</xdr:row>
          <xdr:rowOff>12700</xdr:rowOff>
        </xdr:to>
        <xdr:sp macro="" textlink="">
          <xdr:nvSpPr>
            <xdr:cNvPr id="2051" name="RunSummaryWorkbook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3</xdr:row>
          <xdr:rowOff>50800</xdr:rowOff>
        </xdr:from>
        <xdr:to>
          <xdr:col>2</xdr:col>
          <xdr:colOff>234950</xdr:colOff>
          <xdr:row>4</xdr:row>
          <xdr:rowOff>152400</xdr:rowOff>
        </xdr:to>
        <xdr:sp macro="" textlink="">
          <xdr:nvSpPr>
            <xdr:cNvPr id="2052" name="ComboBox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298450</xdr:colOff>
          <xdr:row>12</xdr:row>
          <xdr:rowOff>31750</xdr:rowOff>
        </xdr:from>
        <xdr:to>
          <xdr:col>5</xdr:col>
          <xdr:colOff>431800</xdr:colOff>
          <xdr:row>12</xdr:row>
          <xdr:rowOff>158750</xdr:rowOff>
        </xdr:to>
        <xdr:sp macro="" textlink="">
          <xdr:nvSpPr>
            <xdr:cNvPr id="2053" name="OffsetRTOnlyCheck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298450</xdr:colOff>
          <xdr:row>13</xdr:row>
          <xdr:rowOff>31750</xdr:rowOff>
        </xdr:from>
        <xdr:to>
          <xdr:col>5</xdr:col>
          <xdr:colOff>431800</xdr:colOff>
          <xdr:row>13</xdr:row>
          <xdr:rowOff>158750</xdr:rowOff>
        </xdr:to>
        <xdr:sp macro="" textlink="">
          <xdr:nvSpPr>
            <xdr:cNvPr id="2054" name="SpanRTOnlyCheck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298450</xdr:colOff>
          <xdr:row>14</xdr:row>
          <xdr:rowOff>31750</xdr:rowOff>
        </xdr:from>
        <xdr:to>
          <xdr:col>5</xdr:col>
          <xdr:colOff>431800</xdr:colOff>
          <xdr:row>14</xdr:row>
          <xdr:rowOff>158750</xdr:rowOff>
        </xdr:to>
        <xdr:sp macro="" textlink="">
          <xdr:nvSpPr>
            <xdr:cNvPr id="2055" name="LinearityRTOnlyCheck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e10nt3ks001\SIOT_Electronic_Sensing\Documents%20and%20Settings\e355463\Local%20Settings\Temporary%20Internet%20Files\OLKB\Copy%20of%2008062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"/>
      <sheetName val="Setup"/>
      <sheetName val="CheckList"/>
      <sheetName val="Parts"/>
      <sheetName val="Memory Map"/>
      <sheetName val="Sequence"/>
      <sheetName val="Output Sheet"/>
      <sheetName val="Summary"/>
      <sheetName val="Formatted Data"/>
      <sheetName val="Helpers"/>
      <sheetName val="Data Template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32"/>
      <sheetName val="33"/>
      <sheetName val="34"/>
      <sheetName val="35"/>
      <sheetName val="36"/>
      <sheetName val="37"/>
      <sheetName val="38"/>
      <sheetName val="39"/>
      <sheetName val="40"/>
    </sheetNames>
    <sheetDataSet>
      <sheetData sheetId="0"/>
      <sheetData sheetId="1"/>
      <sheetData sheetId="2"/>
      <sheetData sheetId="3">
        <row r="4">
          <cell r="C4">
            <v>40</v>
          </cell>
          <cell r="D4">
            <v>40</v>
          </cell>
          <cell r="E4" t="str">
            <v>A</v>
          </cell>
          <cell r="F4" t="str">
            <v>x201337-PC  (EO10516)</v>
          </cell>
          <cell r="G4">
            <v>1.5895E-3</v>
          </cell>
          <cell r="J4">
            <v>25</v>
          </cell>
          <cell r="K4">
            <v>-7.0809999999999998E-2</v>
          </cell>
          <cell r="L4">
            <v>31.0546875</v>
          </cell>
          <cell r="M4">
            <v>3.0517578125E-2</v>
          </cell>
        </row>
        <row r="5">
          <cell r="B5" t="str">
            <v>Testing</v>
          </cell>
          <cell r="C5" t="str">
            <v>Channel</v>
          </cell>
          <cell r="D5" t="str">
            <v>Part #</v>
          </cell>
          <cell r="E5" t="str">
            <v>Group</v>
          </cell>
          <cell r="F5" t="str">
            <v>Description</v>
          </cell>
          <cell r="G5" t="str">
            <v>Output</v>
          </cell>
          <cell r="H5" t="str">
            <v>Iss</v>
          </cell>
          <cell r="I5" t="str">
            <v>Vss</v>
          </cell>
          <cell r="J5" t="str">
            <v xml:space="preserve">Temp </v>
          </cell>
          <cell r="K5" t="str">
            <v>Press</v>
          </cell>
          <cell r="L5" t="str">
            <v>RawT</v>
          </cell>
          <cell r="M5" t="str">
            <v>RawP</v>
          </cell>
        </row>
        <row r="6">
          <cell r="G6" t="str">
            <v>ReadOut</v>
          </cell>
          <cell r="J6" t="str">
            <v>GetTemp</v>
          </cell>
          <cell r="K6" t="str">
            <v>GetPress</v>
          </cell>
          <cell r="L6" t="str">
            <v>ReadRawT</v>
          </cell>
          <cell r="M6" t="str">
            <v>ReadRawB</v>
          </cell>
        </row>
        <row r="50">
          <cell r="B50" t="str">
            <v>IdentifyPart</v>
          </cell>
        </row>
        <row r="57">
          <cell r="B57" t="str">
            <v>OpenAllChannels</v>
          </cell>
        </row>
      </sheetData>
      <sheetData sheetId="4"/>
      <sheetData sheetId="5">
        <row r="6">
          <cell r="E6" t="str">
            <v>SetTemp</v>
          </cell>
          <cell r="F6" t="str">
            <v>Wait_m</v>
          </cell>
          <cell r="G6" t="str">
            <v>SetPress</v>
          </cell>
          <cell r="H6" t="str">
            <v>Wait_S</v>
          </cell>
          <cell r="I6" t="str">
            <v>SetVolts</v>
          </cell>
          <cell r="J6" t="str">
            <v>Wait_S</v>
          </cell>
        </row>
        <row r="98">
          <cell r="C98" t="str">
            <v>IdentifyASIC</v>
          </cell>
        </row>
        <row r="105">
          <cell r="C105" t="str">
            <v>VentPress</v>
          </cell>
        </row>
      </sheetData>
      <sheetData sheetId="6"/>
      <sheetData sheetId="7">
        <row r="29">
          <cell r="B29">
            <v>3</v>
          </cell>
          <cell r="D29">
            <v>4</v>
          </cell>
          <cell r="G29">
            <v>6</v>
          </cell>
        </row>
        <row r="34">
          <cell r="A34" t="str">
            <v>PartNumber</v>
          </cell>
        </row>
      </sheetData>
      <sheetData sheetId="8"/>
      <sheetData sheetId="9">
        <row r="4">
          <cell r="A4" t="str">
            <v>atm</v>
          </cell>
        </row>
        <row r="5">
          <cell r="A5" t="str">
            <v>bar</v>
          </cell>
        </row>
        <row r="6">
          <cell r="A6" t="str">
            <v>cm of Water</v>
          </cell>
        </row>
        <row r="7">
          <cell r="A7" t="str">
            <v>inches of Mercury</v>
          </cell>
        </row>
        <row r="8">
          <cell r="A8" t="str">
            <v>inches of Water</v>
          </cell>
        </row>
        <row r="9">
          <cell r="A9" t="str">
            <v>kiloPascal</v>
          </cell>
        </row>
        <row r="10">
          <cell r="A10" t="str">
            <v>PSI</v>
          </cell>
        </row>
      </sheetData>
      <sheetData sheetId="10">
        <row r="1">
          <cell r="B1" t="str">
            <v>Nest Location</v>
          </cell>
        </row>
        <row r="2">
          <cell r="B2" t="str">
            <v>sample #</v>
          </cell>
        </row>
        <row r="3">
          <cell r="B3" t="str">
            <v>group</v>
          </cell>
        </row>
        <row r="4">
          <cell r="B4" t="str">
            <v>desc</v>
          </cell>
        </row>
        <row r="7">
          <cell r="A7" t="str">
            <v>TimeStamp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36373-25BA-4758-A103-4F479E2560F0}">
  <sheetPr codeName="Sheet1">
    <pageSetUpPr fitToPage="1"/>
  </sheetPr>
  <dimension ref="A1:AA66"/>
  <sheetViews>
    <sheetView showGridLines="0" tabSelected="1" zoomScale="98" zoomScaleNormal="100" workbookViewId="0">
      <selection activeCell="AA1" sqref="AA1"/>
    </sheetView>
  </sheetViews>
  <sheetFormatPr defaultColWidth="9.1796875" defaultRowHeight="12.5" x14ac:dyDescent="0.25"/>
  <cols>
    <col min="1" max="1" width="9.1796875" style="1"/>
    <col min="2" max="2" width="11.54296875" style="1" customWidth="1"/>
    <col min="3" max="3" width="9.1796875" style="1"/>
    <col min="4" max="4" width="18" style="1" customWidth="1"/>
    <col min="5" max="5" width="9.1796875" style="11"/>
    <col min="6" max="6" width="10.54296875" style="11" customWidth="1"/>
    <col min="7" max="7" width="13" style="11" customWidth="1"/>
    <col min="8" max="8" width="7" style="11" customWidth="1"/>
    <col min="9" max="9" width="9.1796875" style="11"/>
    <col min="10" max="10" width="16.453125" style="11" customWidth="1"/>
    <col min="11" max="11" width="15" style="11" customWidth="1"/>
    <col min="12" max="12" width="14.54296875" style="11" customWidth="1"/>
    <col min="13" max="16384" width="9.1796875" style="1"/>
  </cols>
  <sheetData>
    <row r="1" spans="4:27" ht="22.75" customHeight="1" thickBot="1" x14ac:dyDescent="0.35">
      <c r="D1" s="92" t="s">
        <v>0</v>
      </c>
      <c r="E1" s="93"/>
      <c r="F1" s="93"/>
      <c r="G1" s="94"/>
      <c r="H1" s="2"/>
      <c r="I1" s="3" t="s">
        <v>29</v>
      </c>
      <c r="J1" s="3" t="s">
        <v>30</v>
      </c>
      <c r="K1" s="4" t="s">
        <v>31</v>
      </c>
      <c r="L1" s="5" t="s">
        <v>32</v>
      </c>
      <c r="Q1" s="6" t="s">
        <v>33</v>
      </c>
      <c r="AA1" s="1" t="s">
        <v>2576</v>
      </c>
    </row>
    <row r="2" spans="4:27" ht="13.5" thickBot="1" x14ac:dyDescent="0.35">
      <c r="D2" s="7"/>
      <c r="E2" s="8"/>
      <c r="F2" s="9" t="s">
        <v>1</v>
      </c>
      <c r="G2" s="10" t="s">
        <v>2</v>
      </c>
      <c r="I2" s="12" t="s">
        <v>171</v>
      </c>
      <c r="J2" s="87" t="s">
        <v>230</v>
      </c>
      <c r="K2" s="13">
        <v>25</v>
      </c>
      <c r="L2" s="14">
        <v>-1</v>
      </c>
      <c r="Q2" s="15" t="s">
        <v>34</v>
      </c>
    </row>
    <row r="3" spans="4:27" ht="13" x14ac:dyDescent="0.3">
      <c r="D3" s="16" t="s">
        <v>3</v>
      </c>
      <c r="E3" s="17">
        <v>-1</v>
      </c>
      <c r="F3" s="18" t="s">
        <v>34</v>
      </c>
      <c r="G3" s="19" t="s">
        <v>5</v>
      </c>
      <c r="I3" s="20" t="s">
        <v>172</v>
      </c>
      <c r="J3" s="41" t="s">
        <v>233</v>
      </c>
      <c r="K3" s="22">
        <v>-20</v>
      </c>
      <c r="L3" s="23">
        <v>-0.5</v>
      </c>
      <c r="N3" s="1">
        <v>-5</v>
      </c>
      <c r="O3" s="1">
        <f>N3/18+0.5</f>
        <v>0.22222222222222221</v>
      </c>
      <c r="P3" s="1">
        <f>O3/3.3*100</f>
        <v>6.7340067340067336</v>
      </c>
      <c r="Q3" s="15" t="s">
        <v>35</v>
      </c>
    </row>
    <row r="4" spans="4:27" ht="13.5" thickBot="1" x14ac:dyDescent="0.35">
      <c r="D4" s="24" t="s">
        <v>6</v>
      </c>
      <c r="E4" s="25">
        <v>1</v>
      </c>
      <c r="F4" s="26" t="str">
        <f>F3</f>
        <v>psi</v>
      </c>
      <c r="G4" s="27" t="str">
        <f>G3</f>
        <v>gauge</v>
      </c>
      <c r="I4" s="20" t="s">
        <v>173</v>
      </c>
      <c r="J4" s="41" t="s">
        <v>235</v>
      </c>
      <c r="K4" s="22">
        <v>0</v>
      </c>
      <c r="L4" s="23">
        <v>0</v>
      </c>
      <c r="N4" s="1">
        <v>0</v>
      </c>
      <c r="O4" s="1">
        <f t="shared" ref="O4:O6" si="0">N4/18+0.5</f>
        <v>0.5</v>
      </c>
      <c r="P4" s="1">
        <f t="shared" ref="P4:P8" si="1">O4/3.3*100</f>
        <v>15.151515151515152</v>
      </c>
      <c r="Q4" s="15" t="s">
        <v>36</v>
      </c>
    </row>
    <row r="5" spans="4:27" ht="13" x14ac:dyDescent="0.3">
      <c r="D5" s="16" t="s">
        <v>7</v>
      </c>
      <c r="E5" s="28">
        <v>10</v>
      </c>
      <c r="F5" s="29" t="s">
        <v>8</v>
      </c>
      <c r="G5" s="30"/>
      <c r="I5" s="20" t="s">
        <v>174</v>
      </c>
      <c r="J5" s="21" t="s">
        <v>237</v>
      </c>
      <c r="K5" s="22">
        <v>10</v>
      </c>
      <c r="L5" s="23">
        <v>0.5</v>
      </c>
      <c r="N5" s="1">
        <v>40</v>
      </c>
      <c r="O5" s="1">
        <f t="shared" si="0"/>
        <v>2.7222222222222223</v>
      </c>
      <c r="P5" s="1">
        <f t="shared" si="1"/>
        <v>82.491582491582491</v>
      </c>
      <c r="Q5" s="15" t="s">
        <v>37</v>
      </c>
      <c r="S5" s="31"/>
    </row>
    <row r="6" spans="4:27" ht="13.5" thickBot="1" x14ac:dyDescent="0.35">
      <c r="D6" s="32" t="s">
        <v>9</v>
      </c>
      <c r="E6" s="33">
        <v>90</v>
      </c>
      <c r="F6" s="34" t="str">
        <f>F5</f>
        <v>%</v>
      </c>
      <c r="G6" s="30"/>
      <c r="I6" s="20" t="s">
        <v>175</v>
      </c>
      <c r="J6" s="41" t="s">
        <v>239</v>
      </c>
      <c r="K6" s="22">
        <v>25</v>
      </c>
      <c r="L6" s="23">
        <v>1</v>
      </c>
      <c r="N6" s="1">
        <v>45</v>
      </c>
      <c r="O6" s="1">
        <f t="shared" si="0"/>
        <v>3</v>
      </c>
      <c r="P6" s="1">
        <f t="shared" si="1"/>
        <v>90.909090909090921</v>
      </c>
      <c r="Q6" s="35" t="s">
        <v>38</v>
      </c>
    </row>
    <row r="7" spans="4:27" ht="13.5" thickBot="1" x14ac:dyDescent="0.35">
      <c r="D7" s="36" t="s">
        <v>10</v>
      </c>
      <c r="E7" s="37">
        <v>3.3</v>
      </c>
      <c r="F7" s="38" t="s">
        <v>11</v>
      </c>
      <c r="G7" s="30"/>
      <c r="I7" s="20" t="s">
        <v>176</v>
      </c>
      <c r="J7" s="41" t="s">
        <v>241</v>
      </c>
      <c r="K7" s="22">
        <v>50</v>
      </c>
      <c r="L7" s="23">
        <v>0</v>
      </c>
      <c r="P7" s="1">
        <f t="shared" si="1"/>
        <v>0</v>
      </c>
      <c r="Q7" s="15" t="s">
        <v>4</v>
      </c>
    </row>
    <row r="8" spans="4:27" ht="13.5" thickBot="1" x14ac:dyDescent="0.35">
      <c r="D8" s="24" t="s">
        <v>12</v>
      </c>
      <c r="E8" s="25">
        <v>0</v>
      </c>
      <c r="F8" s="26" t="str">
        <f>F4</f>
        <v>psi</v>
      </c>
      <c r="G8" s="39"/>
      <c r="H8" s="40"/>
      <c r="I8" s="20" t="s">
        <v>177</v>
      </c>
      <c r="J8" s="21" t="s">
        <v>243</v>
      </c>
      <c r="K8" s="22">
        <v>70</v>
      </c>
      <c r="L8" s="23">
        <v>-1</v>
      </c>
      <c r="P8" s="1">
        <f t="shared" si="1"/>
        <v>0</v>
      </c>
      <c r="Q8" s="15" t="s">
        <v>39</v>
      </c>
    </row>
    <row r="9" spans="4:27" x14ac:dyDescent="0.25">
      <c r="D9" s="92" t="s">
        <v>13</v>
      </c>
      <c r="E9" s="93"/>
      <c r="F9" s="93"/>
      <c r="G9" s="94"/>
      <c r="I9" s="20" t="s">
        <v>178</v>
      </c>
      <c r="J9" s="41" t="s">
        <v>245</v>
      </c>
      <c r="K9" s="22">
        <v>85</v>
      </c>
      <c r="L9" s="23"/>
    </row>
    <row r="10" spans="4:27" ht="13" thickBot="1" x14ac:dyDescent="0.3">
      <c r="D10" s="95"/>
      <c r="E10" s="96"/>
      <c r="F10" s="96"/>
      <c r="G10" s="97"/>
      <c r="I10" s="20" t="s">
        <v>179</v>
      </c>
      <c r="J10" s="41" t="s">
        <v>247</v>
      </c>
      <c r="K10" s="22">
        <v>25</v>
      </c>
      <c r="L10" s="23"/>
    </row>
    <row r="11" spans="4:27" ht="13.5" thickBot="1" x14ac:dyDescent="0.35">
      <c r="D11" s="98" t="s">
        <v>14</v>
      </c>
      <c r="E11" s="99"/>
      <c r="F11" s="42" t="s">
        <v>15</v>
      </c>
      <c r="G11" s="43"/>
      <c r="H11" s="1"/>
      <c r="I11" s="20" t="s">
        <v>158</v>
      </c>
      <c r="J11" s="41" t="s">
        <v>249</v>
      </c>
      <c r="K11" s="22"/>
      <c r="L11" s="23"/>
    </row>
    <row r="12" spans="4:27" ht="13" x14ac:dyDescent="0.3">
      <c r="D12" s="16" t="s">
        <v>16</v>
      </c>
      <c r="E12" s="44">
        <v>3</v>
      </c>
      <c r="F12" s="45"/>
      <c r="G12" s="46"/>
      <c r="I12" s="20" t="s">
        <v>180</v>
      </c>
      <c r="J12" s="41" t="s">
        <v>251</v>
      </c>
      <c r="K12" s="22"/>
      <c r="L12" s="23"/>
    </row>
    <row r="13" spans="4:27" ht="13" x14ac:dyDescent="0.3">
      <c r="D13" s="47" t="s">
        <v>17</v>
      </c>
      <c r="E13" s="48">
        <v>2</v>
      </c>
      <c r="F13" s="49"/>
      <c r="G13" s="46"/>
      <c r="I13" s="20" t="s">
        <v>181</v>
      </c>
      <c r="J13" s="41" t="s">
        <v>252</v>
      </c>
      <c r="K13" s="22"/>
      <c r="L13" s="23"/>
    </row>
    <row r="14" spans="4:27" ht="13" x14ac:dyDescent="0.3">
      <c r="D14" s="47" t="s">
        <v>18</v>
      </c>
      <c r="E14" s="48">
        <v>2</v>
      </c>
      <c r="F14" s="49"/>
      <c r="G14" s="46"/>
      <c r="I14" s="20" t="s">
        <v>182</v>
      </c>
      <c r="J14" s="41" t="s">
        <v>254</v>
      </c>
      <c r="K14" s="22"/>
      <c r="L14" s="23"/>
    </row>
    <row r="15" spans="4:27" ht="13" x14ac:dyDescent="0.3">
      <c r="D15" s="47" t="s">
        <v>19</v>
      </c>
      <c r="E15" s="48">
        <v>0.2</v>
      </c>
      <c r="F15" s="49"/>
      <c r="G15" s="46"/>
      <c r="I15" s="20" t="s">
        <v>183</v>
      </c>
      <c r="J15" s="21" t="s">
        <v>256</v>
      </c>
      <c r="K15" s="22"/>
      <c r="L15" s="23"/>
    </row>
    <row r="16" spans="4:27" ht="13" x14ac:dyDescent="0.3">
      <c r="D16" s="47" t="s">
        <v>20</v>
      </c>
      <c r="E16" s="48">
        <v>0.18</v>
      </c>
      <c r="F16" s="50"/>
      <c r="G16" s="46"/>
      <c r="I16" s="20" t="s">
        <v>184</v>
      </c>
      <c r="J16" s="21" t="s">
        <v>258</v>
      </c>
      <c r="K16" s="22"/>
      <c r="L16" s="23"/>
    </row>
    <row r="17" spans="1:12" ht="13.5" thickBot="1" x14ac:dyDescent="0.35">
      <c r="D17" s="51" t="s">
        <v>21</v>
      </c>
      <c r="E17" s="48">
        <v>1.1000000000000001</v>
      </c>
      <c r="F17" s="52"/>
      <c r="G17" s="53"/>
      <c r="I17" s="20" t="s">
        <v>185</v>
      </c>
      <c r="J17" s="21" t="s">
        <v>260</v>
      </c>
      <c r="K17" s="22"/>
      <c r="L17" s="23"/>
    </row>
    <row r="18" spans="1:12" ht="13.5" thickBot="1" x14ac:dyDescent="0.35">
      <c r="D18" s="54" t="s">
        <v>22</v>
      </c>
      <c r="E18" s="48">
        <v>0.25</v>
      </c>
      <c r="F18" s="55"/>
      <c r="G18" s="55"/>
      <c r="I18" s="20" t="s">
        <v>186</v>
      </c>
      <c r="J18" s="41" t="s">
        <v>262</v>
      </c>
      <c r="K18" s="22"/>
      <c r="L18" s="23"/>
    </row>
    <row r="19" spans="1:12" ht="13.5" thickBot="1" x14ac:dyDescent="0.35">
      <c r="D19" s="100" t="s">
        <v>23</v>
      </c>
      <c r="E19" s="101"/>
      <c r="F19" s="10" t="s">
        <v>1</v>
      </c>
      <c r="G19" s="56"/>
      <c r="I19" s="20" t="s">
        <v>187</v>
      </c>
      <c r="J19" s="21" t="s">
        <v>264</v>
      </c>
      <c r="K19" s="22"/>
      <c r="L19" s="23"/>
    </row>
    <row r="20" spans="1:12" ht="13" x14ac:dyDescent="0.3">
      <c r="D20" s="16" t="s">
        <v>24</v>
      </c>
      <c r="E20" s="44">
        <v>0</v>
      </c>
      <c r="F20" s="57" t="str">
        <f>F5</f>
        <v>%</v>
      </c>
      <c r="G20" s="46"/>
      <c r="I20" s="20" t="s">
        <v>188</v>
      </c>
      <c r="J20" s="21" t="s">
        <v>266</v>
      </c>
      <c r="K20" s="22"/>
      <c r="L20" s="23"/>
    </row>
    <row r="21" spans="1:12" ht="13" x14ac:dyDescent="0.3">
      <c r="D21" s="47" t="s">
        <v>25</v>
      </c>
      <c r="E21" s="58">
        <v>100</v>
      </c>
      <c r="F21" s="59" t="str">
        <f>F5</f>
        <v>%</v>
      </c>
      <c r="G21" s="46"/>
      <c r="I21" s="20" t="s">
        <v>189</v>
      </c>
      <c r="J21" s="21" t="s">
        <v>268</v>
      </c>
      <c r="K21" s="22"/>
      <c r="L21" s="23"/>
    </row>
    <row r="22" spans="1:12" ht="13.75" customHeight="1" x14ac:dyDescent="0.35">
      <c r="D22" s="47" t="s">
        <v>26</v>
      </c>
      <c r="E22" s="58">
        <v>-40</v>
      </c>
      <c r="F22" s="59" t="s">
        <v>27</v>
      </c>
      <c r="G22" s="46"/>
      <c r="H22" s="60"/>
      <c r="I22" s="20" t="s">
        <v>190</v>
      </c>
      <c r="J22" s="41" t="s">
        <v>270</v>
      </c>
      <c r="K22" s="22"/>
      <c r="L22" s="23"/>
    </row>
    <row r="23" spans="1:12" ht="15" thickBot="1" x14ac:dyDescent="0.4">
      <c r="D23" s="32" t="s">
        <v>28</v>
      </c>
      <c r="E23" s="61">
        <v>125</v>
      </c>
      <c r="F23" s="27" t="s">
        <v>27</v>
      </c>
      <c r="G23" s="53"/>
      <c r="I23" s="20" t="s">
        <v>191</v>
      </c>
      <c r="J23" s="41" t="s">
        <v>272</v>
      </c>
      <c r="K23" s="22"/>
      <c r="L23" s="23"/>
    </row>
    <row r="24" spans="1:12" ht="13.5" thickBot="1" x14ac:dyDescent="0.35">
      <c r="A24" s="100" t="s">
        <v>40</v>
      </c>
      <c r="B24" s="102"/>
      <c r="I24" s="20" t="s">
        <v>192</v>
      </c>
      <c r="J24" s="21" t="s">
        <v>274</v>
      </c>
      <c r="K24" s="22"/>
      <c r="L24" s="23"/>
    </row>
    <row r="25" spans="1:12" ht="13" x14ac:dyDescent="0.3">
      <c r="A25" s="62" t="s">
        <v>41</v>
      </c>
      <c r="B25" s="57" t="s">
        <v>42</v>
      </c>
      <c r="D25" s="92" t="s">
        <v>43</v>
      </c>
      <c r="E25" s="93"/>
      <c r="F25" s="93"/>
      <c r="G25" s="94"/>
      <c r="I25" s="20" t="s">
        <v>193</v>
      </c>
      <c r="J25" s="41" t="s">
        <v>275</v>
      </c>
      <c r="K25" s="22"/>
      <c r="L25" s="23"/>
    </row>
    <row r="26" spans="1:12" ht="13.5" thickBot="1" x14ac:dyDescent="0.35">
      <c r="A26" s="47" t="s">
        <v>44</v>
      </c>
      <c r="B26" s="63">
        <v>41415</v>
      </c>
      <c r="D26" s="103"/>
      <c r="E26" s="104"/>
      <c r="F26" s="104"/>
      <c r="G26" s="105"/>
      <c r="I26" s="20" t="s">
        <v>194</v>
      </c>
      <c r="J26" s="41" t="s">
        <v>277</v>
      </c>
      <c r="K26" s="22"/>
      <c r="L26" s="23"/>
    </row>
    <row r="27" spans="1:12" ht="13.5" thickBot="1" x14ac:dyDescent="0.35">
      <c r="A27" s="32" t="s">
        <v>45</v>
      </c>
      <c r="B27" s="27" t="s">
        <v>46</v>
      </c>
      <c r="D27" s="64" t="s">
        <v>47</v>
      </c>
      <c r="E27" s="106" t="s">
        <v>48</v>
      </c>
      <c r="F27" s="107"/>
      <c r="G27" s="108"/>
      <c r="I27" s="20" t="s">
        <v>195</v>
      </c>
      <c r="J27" s="21" t="s">
        <v>279</v>
      </c>
      <c r="K27" s="22"/>
      <c r="L27" s="23"/>
    </row>
    <row r="28" spans="1:12" ht="13" thickBot="1" x14ac:dyDescent="0.3">
      <c r="I28" s="20" t="s">
        <v>196</v>
      </c>
      <c r="J28" s="21" t="s">
        <v>281</v>
      </c>
      <c r="K28" s="22"/>
      <c r="L28" s="23"/>
    </row>
    <row r="29" spans="1:12" ht="13.75" customHeight="1" x14ac:dyDescent="0.25">
      <c r="A29" s="109" t="s">
        <v>49</v>
      </c>
      <c r="B29" s="110"/>
      <c r="C29" s="111"/>
      <c r="D29" s="115" t="s">
        <v>50</v>
      </c>
      <c r="E29" s="116"/>
      <c r="F29" s="116"/>
      <c r="G29" s="117"/>
      <c r="I29" s="20" t="s">
        <v>197</v>
      </c>
      <c r="J29" s="41" t="s">
        <v>283</v>
      </c>
      <c r="K29" s="22"/>
      <c r="L29" s="23"/>
    </row>
    <row r="30" spans="1:12" ht="13" thickBot="1" x14ac:dyDescent="0.3">
      <c r="A30" s="112"/>
      <c r="B30" s="113"/>
      <c r="C30" s="114"/>
      <c r="D30" s="118"/>
      <c r="E30" s="119"/>
      <c r="F30" s="119"/>
      <c r="G30" s="120"/>
      <c r="I30" s="20" t="s">
        <v>198</v>
      </c>
      <c r="J30" s="21" t="s">
        <v>285</v>
      </c>
      <c r="K30" s="22"/>
      <c r="L30" s="23"/>
    </row>
    <row r="31" spans="1:12" ht="13" thickBot="1" x14ac:dyDescent="0.3">
      <c r="I31" s="20" t="s">
        <v>199</v>
      </c>
      <c r="J31" s="41" t="s">
        <v>287</v>
      </c>
      <c r="K31" s="22"/>
      <c r="L31" s="23"/>
    </row>
    <row r="32" spans="1:12" ht="12.75" customHeight="1" x14ac:dyDescent="0.25">
      <c r="A32" s="109" t="s">
        <v>51</v>
      </c>
      <c r="B32" s="111"/>
      <c r="C32" s="123" t="s">
        <v>2576</v>
      </c>
      <c r="D32" s="124"/>
      <c r="E32" s="124"/>
      <c r="F32" s="124"/>
      <c r="G32" s="125"/>
      <c r="I32" s="20" t="s">
        <v>200</v>
      </c>
      <c r="J32" s="21" t="s">
        <v>289</v>
      </c>
      <c r="K32" s="22"/>
      <c r="L32" s="23"/>
    </row>
    <row r="33" spans="1:16" x14ac:dyDescent="0.25">
      <c r="A33" s="121"/>
      <c r="B33" s="122"/>
      <c r="C33" s="126"/>
      <c r="D33" s="127"/>
      <c r="E33" s="127"/>
      <c r="F33" s="127"/>
      <c r="G33" s="128"/>
      <c r="I33" s="20" t="s">
        <v>201</v>
      </c>
      <c r="J33" s="21" t="s">
        <v>291</v>
      </c>
      <c r="K33" s="22"/>
      <c r="L33" s="23"/>
    </row>
    <row r="34" spans="1:16" x14ac:dyDescent="0.25">
      <c r="A34" s="121"/>
      <c r="B34" s="122"/>
      <c r="C34" s="126"/>
      <c r="D34" s="127"/>
      <c r="E34" s="127"/>
      <c r="F34" s="127"/>
      <c r="G34" s="128"/>
      <c r="I34" s="20" t="s">
        <v>202</v>
      </c>
      <c r="J34" s="41" t="s">
        <v>293</v>
      </c>
      <c r="K34" s="22"/>
      <c r="L34" s="23"/>
    </row>
    <row r="35" spans="1:16" ht="13" thickBot="1" x14ac:dyDescent="0.3">
      <c r="A35" s="112"/>
      <c r="B35" s="114"/>
      <c r="C35" s="129"/>
      <c r="D35" s="130"/>
      <c r="E35" s="130"/>
      <c r="F35" s="130"/>
      <c r="G35" s="131"/>
      <c r="I35" s="20" t="s">
        <v>203</v>
      </c>
      <c r="J35" s="21" t="s">
        <v>295</v>
      </c>
      <c r="K35" s="22"/>
      <c r="L35" s="23"/>
    </row>
    <row r="36" spans="1:16" ht="13" thickBot="1" x14ac:dyDescent="0.3">
      <c r="I36" s="20" t="s">
        <v>204</v>
      </c>
      <c r="J36" s="21" t="s">
        <v>296</v>
      </c>
      <c r="K36" s="22"/>
      <c r="L36" s="23"/>
    </row>
    <row r="37" spans="1:16" ht="13" x14ac:dyDescent="0.3">
      <c r="A37" s="88" t="s">
        <v>52</v>
      </c>
      <c r="B37" s="89"/>
      <c r="C37" s="65" t="s">
        <v>53</v>
      </c>
      <c r="D37" s="66"/>
      <c r="E37" s="67"/>
      <c r="F37" s="67"/>
      <c r="G37" s="68"/>
      <c r="I37" s="20" t="s">
        <v>205</v>
      </c>
      <c r="J37" s="41" t="s">
        <v>298</v>
      </c>
      <c r="K37" s="22"/>
      <c r="L37" s="23"/>
    </row>
    <row r="38" spans="1:16" ht="13" x14ac:dyDescent="0.3">
      <c r="A38" s="90"/>
      <c r="B38" s="91"/>
      <c r="C38" s="69" t="s">
        <v>54</v>
      </c>
      <c r="D38" s="70"/>
      <c r="G38" s="71"/>
      <c r="I38" s="20" t="s">
        <v>206</v>
      </c>
      <c r="J38" s="21" t="s">
        <v>300</v>
      </c>
      <c r="K38" s="22"/>
      <c r="L38" s="23"/>
    </row>
    <row r="39" spans="1:16" ht="13" x14ac:dyDescent="0.3">
      <c r="A39" s="72"/>
      <c r="B39" s="70"/>
      <c r="C39" s="69" t="s">
        <v>55</v>
      </c>
      <c r="D39" s="70"/>
      <c r="G39" s="71"/>
      <c r="I39" s="20" t="s">
        <v>207</v>
      </c>
      <c r="J39" s="41" t="s">
        <v>302</v>
      </c>
      <c r="K39" s="22"/>
      <c r="L39" s="23"/>
    </row>
    <row r="40" spans="1:16" ht="13" x14ac:dyDescent="0.3">
      <c r="A40" s="72"/>
      <c r="B40" s="70"/>
      <c r="C40" s="69" t="s">
        <v>56</v>
      </c>
      <c r="D40" s="70"/>
      <c r="G40" s="71"/>
      <c r="I40" s="20" t="s">
        <v>208</v>
      </c>
      <c r="J40" s="41" t="s">
        <v>304</v>
      </c>
      <c r="K40" s="22"/>
      <c r="L40" s="23"/>
      <c r="P40" s="73" t="s">
        <v>57</v>
      </c>
    </row>
    <row r="41" spans="1:16" ht="13.5" thickBot="1" x14ac:dyDescent="0.35">
      <c r="A41" s="74"/>
      <c r="B41" s="75"/>
      <c r="C41" s="76" t="s">
        <v>58</v>
      </c>
      <c r="D41" s="75"/>
      <c r="E41" s="77"/>
      <c r="F41" s="77"/>
      <c r="G41" s="78"/>
      <c r="I41" s="79" t="s">
        <v>209</v>
      </c>
      <c r="J41" s="86" t="s">
        <v>306</v>
      </c>
      <c r="K41" s="80"/>
      <c r="L41" s="81"/>
      <c r="P41" s="73" t="s">
        <v>59</v>
      </c>
    </row>
    <row r="42" spans="1:16" x14ac:dyDescent="0.25">
      <c r="I42" s="20" t="s">
        <v>211</v>
      </c>
      <c r="J42" s="21" t="s">
        <v>210</v>
      </c>
      <c r="K42" s="22"/>
      <c r="L42" s="23"/>
      <c r="P42" s="73" t="s">
        <v>60</v>
      </c>
    </row>
    <row r="43" spans="1:16" x14ac:dyDescent="0.25">
      <c r="I43" s="20" t="s">
        <v>213</v>
      </c>
      <c r="J43" s="21" t="s">
        <v>212</v>
      </c>
      <c r="K43" s="22"/>
      <c r="L43" s="23"/>
      <c r="P43" s="73" t="s">
        <v>61</v>
      </c>
    </row>
    <row r="44" spans="1:16" x14ac:dyDescent="0.25">
      <c r="I44" s="20" t="s">
        <v>215</v>
      </c>
      <c r="J44" s="41" t="s">
        <v>214</v>
      </c>
      <c r="K44" s="22"/>
      <c r="L44" s="23"/>
      <c r="P44" s="73" t="s">
        <v>62</v>
      </c>
    </row>
    <row r="45" spans="1:16" x14ac:dyDescent="0.25">
      <c r="I45" s="20" t="s">
        <v>217</v>
      </c>
      <c r="J45" s="41" t="s">
        <v>216</v>
      </c>
      <c r="K45" s="22"/>
      <c r="L45" s="23"/>
      <c r="P45" s="73" t="s">
        <v>63</v>
      </c>
    </row>
    <row r="46" spans="1:16" x14ac:dyDescent="0.25">
      <c r="I46" s="20" t="s">
        <v>219</v>
      </c>
      <c r="J46" s="21" t="s">
        <v>218</v>
      </c>
      <c r="K46" s="22"/>
      <c r="L46" s="23"/>
    </row>
    <row r="47" spans="1:16" x14ac:dyDescent="0.25">
      <c r="I47" s="20" t="s">
        <v>221</v>
      </c>
      <c r="J47" s="21" t="s">
        <v>220</v>
      </c>
      <c r="K47" s="22"/>
      <c r="L47" s="23"/>
    </row>
    <row r="48" spans="1:16" x14ac:dyDescent="0.25">
      <c r="I48" s="20" t="s">
        <v>223</v>
      </c>
      <c r="J48" s="21" t="s">
        <v>222</v>
      </c>
      <c r="K48" s="22"/>
      <c r="L48" s="23"/>
    </row>
    <row r="49" spans="9:12" x14ac:dyDescent="0.25">
      <c r="I49" s="20" t="s">
        <v>225</v>
      </c>
      <c r="J49" s="21" t="s">
        <v>224</v>
      </c>
      <c r="K49" s="22"/>
      <c r="L49" s="23"/>
    </row>
    <row r="50" spans="9:12" x14ac:dyDescent="0.25">
      <c r="I50" s="20" t="s">
        <v>227</v>
      </c>
      <c r="J50" s="21" t="s">
        <v>226</v>
      </c>
      <c r="K50" s="22"/>
      <c r="L50" s="23"/>
    </row>
    <row r="51" spans="9:12" x14ac:dyDescent="0.25">
      <c r="I51" s="20" t="s">
        <v>229</v>
      </c>
      <c r="J51" s="21" t="s">
        <v>228</v>
      </c>
      <c r="K51" s="22"/>
      <c r="L51" s="23"/>
    </row>
    <row r="52" spans="9:12" x14ac:dyDescent="0.25">
      <c r="I52" s="20" t="s">
        <v>148</v>
      </c>
      <c r="J52" s="41">
        <v>51</v>
      </c>
      <c r="K52" s="22"/>
      <c r="L52" s="23"/>
    </row>
    <row r="53" spans="9:12" x14ac:dyDescent="0.25">
      <c r="I53" s="20" t="s">
        <v>149</v>
      </c>
      <c r="J53" s="21">
        <v>52</v>
      </c>
      <c r="K53" s="22"/>
      <c r="L53" s="23"/>
    </row>
    <row r="54" spans="9:12" x14ac:dyDescent="0.25">
      <c r="I54" s="20" t="s">
        <v>150</v>
      </c>
      <c r="J54" s="21">
        <v>53</v>
      </c>
      <c r="K54" s="22"/>
      <c r="L54" s="23"/>
    </row>
    <row r="55" spans="9:12" x14ac:dyDescent="0.25">
      <c r="I55" s="20" t="s">
        <v>151</v>
      </c>
      <c r="J55" s="41">
        <v>54</v>
      </c>
      <c r="K55" s="22"/>
      <c r="L55" s="23"/>
    </row>
    <row r="56" spans="9:12" x14ac:dyDescent="0.25">
      <c r="I56" s="20" t="s">
        <v>152</v>
      </c>
      <c r="J56" s="21">
        <v>55</v>
      </c>
      <c r="K56" s="22"/>
      <c r="L56" s="23"/>
    </row>
    <row r="57" spans="9:12" x14ac:dyDescent="0.25">
      <c r="I57" s="20" t="s">
        <v>153</v>
      </c>
      <c r="J57" s="21">
        <v>56</v>
      </c>
      <c r="K57" s="22"/>
      <c r="L57" s="23"/>
    </row>
    <row r="58" spans="9:12" x14ac:dyDescent="0.25">
      <c r="I58" s="20" t="s">
        <v>154</v>
      </c>
      <c r="J58" s="21">
        <v>57</v>
      </c>
      <c r="K58" s="22"/>
      <c r="L58" s="23"/>
    </row>
    <row r="59" spans="9:12" x14ac:dyDescent="0.25">
      <c r="I59" s="20" t="s">
        <v>155</v>
      </c>
      <c r="J59" s="21">
        <v>58</v>
      </c>
      <c r="K59" s="22"/>
      <c r="L59" s="23"/>
    </row>
    <row r="60" spans="9:12" x14ac:dyDescent="0.25">
      <c r="I60" s="20" t="s">
        <v>156</v>
      </c>
      <c r="J60" s="21">
        <v>59</v>
      </c>
      <c r="K60" s="22"/>
      <c r="L60" s="23"/>
    </row>
    <row r="61" spans="9:12" x14ac:dyDescent="0.25">
      <c r="I61" s="20" t="s">
        <v>157</v>
      </c>
      <c r="J61" s="41">
        <v>60</v>
      </c>
      <c r="K61" s="22"/>
      <c r="L61" s="23"/>
    </row>
    <row r="62" spans="9:12" x14ac:dyDescent="0.25">
      <c r="L62" s="82"/>
    </row>
    <row r="63" spans="9:12" x14ac:dyDescent="0.25">
      <c r="L63" s="82"/>
    </row>
    <row r="64" spans="9:12" x14ac:dyDescent="0.25">
      <c r="L64" s="82"/>
    </row>
    <row r="65" spans="12:12" x14ac:dyDescent="0.25">
      <c r="L65" s="82"/>
    </row>
    <row r="66" spans="12:12" x14ac:dyDescent="0.25">
      <c r="L66" s="82"/>
    </row>
  </sheetData>
  <sheetProtection selectLockedCells="1"/>
  <mergeCells count="12">
    <mergeCell ref="A37:B38"/>
    <mergeCell ref="D1:G1"/>
    <mergeCell ref="D9:G10"/>
    <mergeCell ref="D11:E11"/>
    <mergeCell ref="D19:E19"/>
    <mergeCell ref="A24:B24"/>
    <mergeCell ref="D25:G26"/>
    <mergeCell ref="E27:G27"/>
    <mergeCell ref="A29:C30"/>
    <mergeCell ref="D29:G30"/>
    <mergeCell ref="A32:B35"/>
    <mergeCell ref="C32:G35"/>
  </mergeCells>
  <dataValidations count="1">
    <dataValidation type="list" showInputMessage="1" showErrorMessage="1" sqref="F3" xr:uid="{D5853E3E-D13C-4FB6-867C-D954B5053EF6}">
      <formula1>$Q$2:$Q$8</formula1>
    </dataValidation>
  </dataValidations>
  <pageMargins left="0.7" right="0.7" top="0.75" bottom="0.75" header="0.3" footer="0.3"/>
  <pageSetup scale="64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LoadDataFileButton">
          <controlPr defaultSize="0" autoFill="0" autoLine="0" r:id="rId5">
            <anchor moveWithCells="1">
              <from>
                <xdr:col>0</xdr:col>
                <xdr:colOff>222250</xdr:colOff>
                <xdr:row>6</xdr:row>
                <xdr:rowOff>12700</xdr:rowOff>
              </from>
              <to>
                <xdr:col>2</xdr:col>
                <xdr:colOff>209550</xdr:colOff>
                <xdr:row>7</xdr:row>
                <xdr:rowOff>165100</xdr:rowOff>
              </to>
            </anchor>
          </controlPr>
        </control>
      </mc:Choice>
      <mc:Fallback>
        <control shapeId="2049" r:id="rId4" name="LoadDataFileButton"/>
      </mc:Fallback>
    </mc:AlternateContent>
    <mc:AlternateContent xmlns:mc="http://schemas.openxmlformats.org/markup-compatibility/2006">
      <mc:Choice Requires="x14">
        <control shapeId="2050" r:id="rId6" name="OneTempButton">
          <controlPr defaultSize="0" autoFill="0" autoLine="0" r:id="rId7">
            <anchor moveWithCells="1">
              <from>
                <xdr:col>0</xdr:col>
                <xdr:colOff>222250</xdr:colOff>
                <xdr:row>9</xdr:row>
                <xdr:rowOff>31750</xdr:rowOff>
              </from>
              <to>
                <xdr:col>2</xdr:col>
                <xdr:colOff>203200</xdr:colOff>
                <xdr:row>11</xdr:row>
                <xdr:rowOff>25400</xdr:rowOff>
              </to>
            </anchor>
          </controlPr>
        </control>
      </mc:Choice>
      <mc:Fallback>
        <control shapeId="2050" r:id="rId6" name="OneTempButton"/>
      </mc:Fallback>
    </mc:AlternateContent>
    <mc:AlternateContent xmlns:mc="http://schemas.openxmlformats.org/markup-compatibility/2006">
      <mc:Choice Requires="x14">
        <control shapeId="2051" r:id="rId8" name="RunSummaryWorkbook">
          <controlPr defaultSize="0" autoFill="0" autoLine="0" r:id="rId9">
            <anchor moveWithCells="1">
              <from>
                <xdr:col>0</xdr:col>
                <xdr:colOff>222250</xdr:colOff>
                <xdr:row>12</xdr:row>
                <xdr:rowOff>31750</xdr:rowOff>
              </from>
              <to>
                <xdr:col>2</xdr:col>
                <xdr:colOff>209550</xdr:colOff>
                <xdr:row>15</xdr:row>
                <xdr:rowOff>12700</xdr:rowOff>
              </to>
            </anchor>
          </controlPr>
        </control>
      </mc:Choice>
      <mc:Fallback>
        <control shapeId="2051" r:id="rId8" name="RunSummaryWorkbook"/>
      </mc:Fallback>
    </mc:AlternateContent>
    <mc:AlternateContent xmlns:mc="http://schemas.openxmlformats.org/markup-compatibility/2006">
      <mc:Choice Requires="x14">
        <control shapeId="2052" r:id="rId10" name="ComboBox1">
          <controlPr locked="0" autoLine="0" listFillRange="P40:P45" r:id="rId11">
            <anchor moveWithCells="1">
              <from>
                <xdr:col>0</xdr:col>
                <xdr:colOff>107950</xdr:colOff>
                <xdr:row>3</xdr:row>
                <xdr:rowOff>50800</xdr:rowOff>
              </from>
              <to>
                <xdr:col>2</xdr:col>
                <xdr:colOff>234950</xdr:colOff>
                <xdr:row>4</xdr:row>
                <xdr:rowOff>152400</xdr:rowOff>
              </to>
            </anchor>
          </controlPr>
        </control>
      </mc:Choice>
      <mc:Fallback>
        <control shapeId="2052" r:id="rId10" name="ComboBox1"/>
      </mc:Fallback>
    </mc:AlternateContent>
    <mc:AlternateContent xmlns:mc="http://schemas.openxmlformats.org/markup-compatibility/2006">
      <mc:Choice Requires="x14">
        <control shapeId="2053" r:id="rId12" name="OffsetRTOnlyCheck">
          <controlPr defaultSize="0" autoLine="0" r:id="rId13">
            <anchor moveWithCells="1">
              <from>
                <xdr:col>5</xdr:col>
                <xdr:colOff>298450</xdr:colOff>
                <xdr:row>12</xdr:row>
                <xdr:rowOff>31750</xdr:rowOff>
              </from>
              <to>
                <xdr:col>5</xdr:col>
                <xdr:colOff>431800</xdr:colOff>
                <xdr:row>12</xdr:row>
                <xdr:rowOff>158750</xdr:rowOff>
              </to>
            </anchor>
          </controlPr>
        </control>
      </mc:Choice>
      <mc:Fallback>
        <control shapeId="2053" r:id="rId12" name="OffsetRTOnlyCheck"/>
      </mc:Fallback>
    </mc:AlternateContent>
    <mc:AlternateContent xmlns:mc="http://schemas.openxmlformats.org/markup-compatibility/2006">
      <mc:Choice Requires="x14">
        <control shapeId="2054" r:id="rId14" name="SpanRTOnlyCheck">
          <controlPr defaultSize="0" autoLine="0" r:id="rId15">
            <anchor moveWithCells="1">
              <from>
                <xdr:col>5</xdr:col>
                <xdr:colOff>298450</xdr:colOff>
                <xdr:row>13</xdr:row>
                <xdr:rowOff>31750</xdr:rowOff>
              </from>
              <to>
                <xdr:col>5</xdr:col>
                <xdr:colOff>431800</xdr:colOff>
                <xdr:row>13</xdr:row>
                <xdr:rowOff>158750</xdr:rowOff>
              </to>
            </anchor>
          </controlPr>
        </control>
      </mc:Choice>
      <mc:Fallback>
        <control shapeId="2054" r:id="rId14" name="SpanRTOnlyCheck"/>
      </mc:Fallback>
    </mc:AlternateContent>
    <mc:AlternateContent xmlns:mc="http://schemas.openxmlformats.org/markup-compatibility/2006">
      <mc:Choice Requires="x14">
        <control shapeId="2055" r:id="rId16" name="LinearityRTOnlyCheck">
          <controlPr defaultSize="0" autoLine="0" r:id="rId17">
            <anchor moveWithCells="1">
              <from>
                <xdr:col>5</xdr:col>
                <xdr:colOff>298450</xdr:colOff>
                <xdr:row>14</xdr:row>
                <xdr:rowOff>31750</xdr:rowOff>
              </from>
              <to>
                <xdr:col>5</xdr:col>
                <xdr:colOff>431800</xdr:colOff>
                <xdr:row>14</xdr:row>
                <xdr:rowOff>158750</xdr:rowOff>
              </to>
            </anchor>
          </controlPr>
        </control>
      </mc:Choice>
      <mc:Fallback>
        <control shapeId="2055" r:id="rId16" name="LinearityRTOnlyCheck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E2CBA-5694-47A5-94DB-1CF6BD6AF2E9}">
  <sheetPr codeName="Sheet2"/>
  <dimension ref="A1:AO2521"/>
  <sheetViews>
    <sheetView workbookViewId="0">
      <selection activeCell="O9" sqref="O9:Q2521"/>
    </sheetView>
  </sheetViews>
  <sheetFormatPr defaultRowHeight="14.5" x14ac:dyDescent="0.35"/>
  <cols>
    <col min="1" max="1" width="7.26953125" bestFit="1" customWidth="1"/>
    <col min="2" max="2" width="9.08984375" bestFit="1" customWidth="1"/>
    <col min="3" max="3" width="10.81640625" bestFit="1" customWidth="1"/>
    <col min="4" max="4" width="7.54296875" bestFit="1" customWidth="1"/>
    <col min="5" max="5" width="8.1796875" bestFit="1" customWidth="1"/>
    <col min="6" max="7" width="8" bestFit="1" customWidth="1"/>
    <col min="9" max="9" width="8.453125" bestFit="1" customWidth="1"/>
    <col min="10" max="10" width="8.54296875" bestFit="1" customWidth="1"/>
    <col min="11" max="11" width="6.453125" bestFit="1" customWidth="1"/>
    <col min="12" max="12" width="6.90625" bestFit="1" customWidth="1"/>
    <col min="13" max="13" width="7" bestFit="1" customWidth="1"/>
    <col min="14" max="14" width="6.90625" bestFit="1" customWidth="1"/>
    <col min="15" max="15" width="6.453125" bestFit="1" customWidth="1"/>
    <col min="16" max="16" width="5.6328125" bestFit="1" customWidth="1"/>
    <col min="17" max="17" width="8.08984375" bestFit="1" customWidth="1"/>
  </cols>
  <sheetData>
    <row r="1" spans="1:41" s="83" customFormat="1" ht="73" thickBot="1" x14ac:dyDescent="0.4">
      <c r="A1" s="83" t="s">
        <v>64</v>
      </c>
      <c r="B1" s="83" t="s">
        <v>65</v>
      </c>
      <c r="C1" s="83" t="s">
        <v>66</v>
      </c>
      <c r="D1" s="83" t="s">
        <v>67</v>
      </c>
      <c r="E1" s="83" t="s">
        <v>68</v>
      </c>
      <c r="F1" s="83" t="s">
        <v>166</v>
      </c>
      <c r="G1" s="83" t="s">
        <v>167</v>
      </c>
      <c r="H1" s="83" t="s">
        <v>168</v>
      </c>
      <c r="I1" s="83" t="s">
        <v>169</v>
      </c>
      <c r="J1" s="83" t="s">
        <v>170</v>
      </c>
      <c r="K1" s="83" t="s">
        <v>69</v>
      </c>
      <c r="L1" s="83" t="s">
        <v>70</v>
      </c>
      <c r="M1" s="83" t="s">
        <v>71</v>
      </c>
      <c r="N1" s="83" t="s">
        <v>72</v>
      </c>
      <c r="O1" s="83" t="s">
        <v>73</v>
      </c>
      <c r="P1" s="83" t="s">
        <v>74</v>
      </c>
      <c r="Q1" s="83" t="s">
        <v>75</v>
      </c>
      <c r="S1" s="83" t="s">
        <v>76</v>
      </c>
      <c r="T1" s="83" t="s">
        <v>77</v>
      </c>
      <c r="U1" s="83" t="s">
        <v>78</v>
      </c>
      <c r="V1" s="83" t="s">
        <v>79</v>
      </c>
      <c r="W1" s="83" t="s">
        <v>80</v>
      </c>
      <c r="X1" s="83" t="s">
        <v>81</v>
      </c>
      <c r="Y1" s="83" t="s">
        <v>82</v>
      </c>
      <c r="Z1" s="83" t="s">
        <v>83</v>
      </c>
      <c r="AA1" s="83" t="s">
        <v>84</v>
      </c>
      <c r="AB1" s="83" t="s">
        <v>85</v>
      </c>
      <c r="AC1" s="83" t="s">
        <v>86</v>
      </c>
      <c r="AD1" s="83" t="s">
        <v>87</v>
      </c>
      <c r="AE1" s="83" t="s">
        <v>88</v>
      </c>
      <c r="AF1" s="83" t="s">
        <v>89</v>
      </c>
      <c r="AG1" s="83" t="s">
        <v>125</v>
      </c>
      <c r="AH1" s="83" t="s">
        <v>126</v>
      </c>
      <c r="AI1" s="83" t="s">
        <v>127</v>
      </c>
      <c r="AJ1" s="83" t="s">
        <v>128</v>
      </c>
      <c r="AK1" s="83" t="s">
        <v>129</v>
      </c>
      <c r="AL1" s="83" t="s">
        <v>130</v>
      </c>
      <c r="AM1" s="83" t="s">
        <v>131</v>
      </c>
      <c r="AN1" s="83" t="s">
        <v>132</v>
      </c>
      <c r="AO1" s="83" t="s">
        <v>133</v>
      </c>
    </row>
    <row r="2" spans="1:41" ht="15" thickTop="1" x14ac:dyDescent="0.35">
      <c r="A2" t="s">
        <v>230</v>
      </c>
      <c r="B2" t="s">
        <v>231</v>
      </c>
      <c r="C2" t="s">
        <v>232</v>
      </c>
      <c r="D2">
        <v>25</v>
      </c>
      <c r="E2">
        <v>25</v>
      </c>
      <c r="F2">
        <v>-1</v>
      </c>
      <c r="G2">
        <v>-1.000019</v>
      </c>
      <c r="H2">
        <v>50</v>
      </c>
      <c r="J2">
        <v>0</v>
      </c>
      <c r="N2" t="s">
        <v>171</v>
      </c>
      <c r="O2">
        <f>(((G2--1)*(40))+10)</f>
        <v>9.9992400000000004</v>
      </c>
      <c r="P2">
        <f>100*(H2-O2)/80</f>
        <v>50.000950000000003</v>
      </c>
      <c r="Q2">
        <f>ABS(P2)</f>
        <v>50.000950000000003</v>
      </c>
      <c r="S2">
        <v>50</v>
      </c>
      <c r="T2">
        <v>1.3999999999994017E-2</v>
      </c>
      <c r="U2">
        <v>50</v>
      </c>
      <c r="V2">
        <v>-49.989899999999992</v>
      </c>
      <c r="W2">
        <v>0</v>
      </c>
      <c r="X2">
        <f>(W2-80)/80*100</f>
        <v>-100</v>
      </c>
      <c r="Y2">
        <f>TREND(H2:H6,G2:G6,G2)</f>
        <v>50</v>
      </c>
      <c r="Z2">
        <f>ABS((Y2-H2)/80*100)</f>
        <v>0</v>
      </c>
      <c r="AA2">
        <f>MAX(Z2:Z6)</f>
        <v>0</v>
      </c>
      <c r="AB2">
        <f>IF(ABS(MAX(P2:P8)) &gt; ABS(MIN(P2:P8)),MAX(P2:P8), MIN(P2:P8))</f>
        <v>50.001050000000006</v>
      </c>
      <c r="AC2">
        <f>IF(ABS(AB3)&gt;ABS(AB2),AB3,AB2)</f>
        <v>50.001050000000006</v>
      </c>
      <c r="AD2">
        <f>MAX(AD3:AD4)</f>
        <v>1.9249999999990663E-2</v>
      </c>
      <c r="AE2">
        <f>MAX(AE3:AE23)</f>
        <v>59.580412500000001</v>
      </c>
      <c r="AF2">
        <f>MAX(AD2,AA2)</f>
        <v>1.9249999999990663E-2</v>
      </c>
      <c r="AG2">
        <f>H4-O4</f>
        <v>1.1199999999995214E-2</v>
      </c>
      <c r="AH2">
        <f>H2-AG2</f>
        <v>49.988800000000005</v>
      </c>
      <c r="AI2">
        <f>100*(AH2-O2)/80</f>
        <v>49.986950000000007</v>
      </c>
      <c r="AJ2">
        <v>49.988800000000005</v>
      </c>
      <c r="AK2">
        <v>0</v>
      </c>
      <c r="AL2">
        <v>49.988800000000005</v>
      </c>
      <c r="AM2">
        <v>-50.003899999999987</v>
      </c>
      <c r="AN2">
        <f>IF(ABS(MAX(AI2:AI8)) &gt; ABS(MIN(AI2:AI8)),MAX(AI2:AI8), MIN(AI2:AI8))</f>
        <v>-50.003899999999987</v>
      </c>
      <c r="AO2">
        <f>IF(ABS(AN3)&gt;ABS(AN2),AN3,AN2)</f>
        <v>-50.003899999999987</v>
      </c>
    </row>
    <row r="3" spans="1:41" x14ac:dyDescent="0.35">
      <c r="A3" t="s">
        <v>230</v>
      </c>
      <c r="B3" t="s">
        <v>231</v>
      </c>
      <c r="C3" t="s">
        <v>308</v>
      </c>
      <c r="D3">
        <v>25</v>
      </c>
      <c r="E3">
        <v>25</v>
      </c>
      <c r="F3">
        <v>-0.5</v>
      </c>
      <c r="G3">
        <v>-0.49981700000000001</v>
      </c>
      <c r="H3">
        <v>50</v>
      </c>
      <c r="J3">
        <v>0</v>
      </c>
      <c r="N3" t="s">
        <v>171</v>
      </c>
      <c r="O3">
        <f>(((G3--1)*(40))+10)</f>
        <v>30.00732</v>
      </c>
      <c r="P3">
        <f>100*(H3-O3)/80</f>
        <v>24.990850000000002</v>
      </c>
      <c r="Q3">
        <f>ABS(P3)</f>
        <v>24.990850000000002</v>
      </c>
      <c r="Y3">
        <f>TREND(H2:H6,G2:G6,G3)</f>
        <v>50</v>
      </c>
      <c r="Z3">
        <f>ABS((Y3-H3)/80*100)</f>
        <v>0</v>
      </c>
      <c r="AB3">
        <f>IF(ABS(T2) &gt; ABS(V2),T2,V2)</f>
        <v>-49.989899999999992</v>
      </c>
      <c r="AD3">
        <f>ABS(P4-P7)</f>
        <v>1.9249999999990663E-2</v>
      </c>
      <c r="AE3">
        <f>ABS(P30-P2)</f>
        <v>59.575112500000003</v>
      </c>
      <c r="AH3">
        <f>H3-AG2</f>
        <v>49.988800000000005</v>
      </c>
      <c r="AI3">
        <f>100*(AH3-O3)/80</f>
        <v>24.976850000000006</v>
      </c>
      <c r="AN3">
        <f>IF(ABS(AK2) &gt; ABS(AM2),AK2,AM2)</f>
        <v>-50.003899999999987</v>
      </c>
    </row>
    <row r="4" spans="1:41" x14ac:dyDescent="0.35">
      <c r="A4" t="s">
        <v>230</v>
      </c>
      <c r="B4" t="s">
        <v>231</v>
      </c>
      <c r="C4" t="s">
        <v>344</v>
      </c>
      <c r="D4">
        <v>25</v>
      </c>
      <c r="E4">
        <v>25</v>
      </c>
      <c r="F4">
        <v>0</v>
      </c>
      <c r="G4">
        <v>-2.7999999999999998E-4</v>
      </c>
      <c r="H4">
        <v>50</v>
      </c>
      <c r="J4">
        <v>0</v>
      </c>
      <c r="N4" t="s">
        <v>171</v>
      </c>
      <c r="O4">
        <f>(((G4--1)*(40))+10)</f>
        <v>49.988800000000005</v>
      </c>
      <c r="P4">
        <f>100*(H4-O4)/80</f>
        <v>1.3999999999994017E-2</v>
      </c>
      <c r="Q4">
        <f>ABS(P4)</f>
        <v>1.3999999999994017E-2</v>
      </c>
      <c r="Y4">
        <f>TREND(H2:H6,G2:G6,G4)</f>
        <v>50</v>
      </c>
      <c r="Z4">
        <f>ABS((Y4-H4)/80*100)</f>
        <v>0</v>
      </c>
      <c r="AD4">
        <f>ABS(P2-P8)</f>
        <v>1.0000000000331966E-4</v>
      </c>
      <c r="AE4">
        <f>ABS(P31-P3)</f>
        <v>48.851065625000004</v>
      </c>
      <c r="AH4">
        <f>H4-AG2</f>
        <v>49.988800000000005</v>
      </c>
      <c r="AI4">
        <f>100*(AH4-O4)/80</f>
        <v>0</v>
      </c>
    </row>
    <row r="5" spans="1:41" x14ac:dyDescent="0.35">
      <c r="A5" t="s">
        <v>230</v>
      </c>
      <c r="B5" t="s">
        <v>231</v>
      </c>
      <c r="C5" t="s">
        <v>381</v>
      </c>
      <c r="D5">
        <v>25</v>
      </c>
      <c r="E5">
        <v>25</v>
      </c>
      <c r="F5">
        <v>0.5</v>
      </c>
      <c r="G5">
        <v>0.49997200000000003</v>
      </c>
      <c r="H5">
        <v>50</v>
      </c>
      <c r="J5">
        <v>0</v>
      </c>
      <c r="N5" t="s">
        <v>171</v>
      </c>
      <c r="O5">
        <f>(((G5--1)*(40))+10)</f>
        <v>69.99888</v>
      </c>
      <c r="P5">
        <f>100*(H5-O5)/80</f>
        <v>-24.9986</v>
      </c>
      <c r="Q5">
        <f>ABS(P5)</f>
        <v>24.9986</v>
      </c>
      <c r="Y5">
        <f>TREND(H2:H6,G2:G6,G5)</f>
        <v>50</v>
      </c>
      <c r="Z5">
        <f>ABS((Y5-H5)/80*100)</f>
        <v>0</v>
      </c>
      <c r="AE5">
        <f>ABS(P32-P4)</f>
        <v>2.7953124999990919E-2</v>
      </c>
      <c r="AH5">
        <f>H5-AG2</f>
        <v>49.988800000000005</v>
      </c>
      <c r="AI5">
        <f>100*(AH5-O5)/80</f>
        <v>-25.012599999999996</v>
      </c>
    </row>
    <row r="6" spans="1:41" x14ac:dyDescent="0.35">
      <c r="A6" t="s">
        <v>230</v>
      </c>
      <c r="B6" t="s">
        <v>231</v>
      </c>
      <c r="C6" t="s">
        <v>418</v>
      </c>
      <c r="D6">
        <v>25</v>
      </c>
      <c r="E6">
        <v>25</v>
      </c>
      <c r="F6">
        <v>1</v>
      </c>
      <c r="G6">
        <v>0.99979799999999996</v>
      </c>
      <c r="H6">
        <v>50</v>
      </c>
      <c r="J6">
        <v>0</v>
      </c>
      <c r="N6" t="s">
        <v>171</v>
      </c>
      <c r="O6">
        <f>(((G6--1)*(40))+10)</f>
        <v>89.991919999999993</v>
      </c>
      <c r="P6">
        <f>100*(H6-O6)/80</f>
        <v>-49.989899999999992</v>
      </c>
      <c r="Q6">
        <f>ABS(P6)</f>
        <v>49.989899999999992</v>
      </c>
      <c r="Y6">
        <f>TREND(H2:H6,G2:G6,G6)</f>
        <v>50</v>
      </c>
      <c r="Z6">
        <f>ABS((Y6-H6)/80*100)</f>
        <v>0</v>
      </c>
      <c r="AE6">
        <f>ABS(P33-P5)</f>
        <v>1.749687500001329E-2</v>
      </c>
      <c r="AH6">
        <f>H6-AG2</f>
        <v>49.988800000000005</v>
      </c>
      <c r="AI6">
        <f>100*(AH6-O6)/80</f>
        <v>-50.003899999999987</v>
      </c>
    </row>
    <row r="7" spans="1:41" x14ac:dyDescent="0.35">
      <c r="A7" t="s">
        <v>230</v>
      </c>
      <c r="B7" t="s">
        <v>231</v>
      </c>
      <c r="C7" t="s">
        <v>455</v>
      </c>
      <c r="D7">
        <v>25</v>
      </c>
      <c r="E7">
        <v>25</v>
      </c>
      <c r="F7">
        <v>0</v>
      </c>
      <c r="G7">
        <v>1.05E-4</v>
      </c>
      <c r="H7">
        <v>50</v>
      </c>
      <c r="J7">
        <v>0</v>
      </c>
      <c r="N7" t="s">
        <v>171</v>
      </c>
      <c r="O7">
        <f>(((G7--1)*(40))+10)</f>
        <v>50.004199999999997</v>
      </c>
      <c r="P7">
        <f>100*(H7-O7)/80</f>
        <v>-5.2499999999966462E-3</v>
      </c>
      <c r="Q7">
        <f>ABS(P7)</f>
        <v>5.2499999999966462E-3</v>
      </c>
      <c r="Y7">
        <f>TREND(H2:H6,G2:G6,G7)</f>
        <v>50</v>
      </c>
      <c r="Z7">
        <f>ABS((Y7-H7)/80*100)</f>
        <v>0</v>
      </c>
      <c r="AE7">
        <f>ABS(P34-P6)</f>
        <v>2.0396874999988768E-2</v>
      </c>
      <c r="AH7">
        <f>H7-AG2</f>
        <v>49.988800000000005</v>
      </c>
      <c r="AI7">
        <f>100*(AH7-O7)/80</f>
        <v>-1.9249999999990663E-2</v>
      </c>
    </row>
    <row r="8" spans="1:41" x14ac:dyDescent="0.35">
      <c r="A8" t="s">
        <v>230</v>
      </c>
      <c r="B8" t="s">
        <v>231</v>
      </c>
      <c r="C8" t="s">
        <v>492</v>
      </c>
      <c r="D8">
        <v>25</v>
      </c>
      <c r="E8">
        <v>25</v>
      </c>
      <c r="F8">
        <v>-1</v>
      </c>
      <c r="G8">
        <v>-1.000021</v>
      </c>
      <c r="H8">
        <v>50</v>
      </c>
      <c r="J8">
        <v>0</v>
      </c>
      <c r="N8" t="s">
        <v>171</v>
      </c>
      <c r="O8">
        <f>(((G8--1)*(40))+10)</f>
        <v>9.999159999999998</v>
      </c>
      <c r="P8">
        <f>100*(H8-O8)/80</f>
        <v>50.001050000000006</v>
      </c>
      <c r="Q8">
        <f>ABS(P8)</f>
        <v>50.001050000000006</v>
      </c>
      <c r="Y8">
        <f>TREND(H2:H6,G2:G6,G8)</f>
        <v>50</v>
      </c>
      <c r="Z8">
        <f>ABS((Y8-H8)/80*100)</f>
        <v>0</v>
      </c>
      <c r="AE8">
        <f>ABS(P35-P7)</f>
        <v>4.6468750000006054E-3</v>
      </c>
      <c r="AH8">
        <f>H8-AG2</f>
        <v>49.988800000000005</v>
      </c>
      <c r="AI8">
        <f>100*(AH8-O8)/80</f>
        <v>49.987050000000011</v>
      </c>
    </row>
    <row r="9" spans="1:41" x14ac:dyDescent="0.35">
      <c r="A9" t="s">
        <v>230</v>
      </c>
      <c r="B9" t="s">
        <v>231</v>
      </c>
      <c r="C9" t="s">
        <v>529</v>
      </c>
      <c r="D9">
        <v>-20</v>
      </c>
      <c r="E9">
        <v>-20</v>
      </c>
      <c r="F9">
        <v>-1</v>
      </c>
      <c r="G9">
        <v>-0.999973</v>
      </c>
      <c r="H9">
        <v>73.828125</v>
      </c>
      <c r="J9">
        <v>15250</v>
      </c>
      <c r="N9" t="s">
        <v>171</v>
      </c>
      <c r="O9">
        <f t="shared" ref="O9:O72" si="0">(((G9--1)*(40))+10)</f>
        <v>10.00108</v>
      </c>
      <c r="P9">
        <f t="shared" ref="P9:P72" si="1">100*(H9-O9)/80</f>
        <v>79.783806249999998</v>
      </c>
      <c r="Q9">
        <f t="shared" ref="Q9:Q72" si="2">ABS(P9)</f>
        <v>79.783806249999998</v>
      </c>
      <c r="S9">
        <v>50</v>
      </c>
      <c r="T9">
        <v>-2.0350000000002311E-2</v>
      </c>
      <c r="U9">
        <v>50</v>
      </c>
      <c r="V9">
        <v>-50.002400000000002</v>
      </c>
      <c r="W9">
        <v>-23.828125</v>
      </c>
      <c r="X9">
        <f>(W9-80)/80*100</f>
        <v>-129.78515625</v>
      </c>
      <c r="Y9">
        <f>TREND(H9:H13,G9:G13,G9)</f>
        <v>64.299814326475911</v>
      </c>
      <c r="Z9">
        <f>ABS((Y9-H9)/80*100)</f>
        <v>11.910388341905112</v>
      </c>
      <c r="AA9">
        <f>MAX(Z9:Z13)</f>
        <v>11.914125230689638</v>
      </c>
      <c r="AB9">
        <f>IF(ABS(MAX(P9:P15)) &gt; ABS(MIN(P9:P15)),MAX(P9:P15), MIN(P9:P15))</f>
        <v>79.783806249999998</v>
      </c>
      <c r="AC9">
        <f>IF(ABS(AB10)&gt;ABS(AB9),AB10,AB9)</f>
        <v>79.783806249999998</v>
      </c>
      <c r="AE9">
        <f>ABS(P36-P8)</f>
        <v>7.9531250000002274E-3</v>
      </c>
      <c r="AH9">
        <f>H9-AG2</f>
        <v>73.816924999999998</v>
      </c>
      <c r="AI9">
        <f>100*(AH9-O9)/80</f>
        <v>79.769806250000002</v>
      </c>
      <c r="AJ9">
        <v>49.988800000000005</v>
      </c>
      <c r="AK9">
        <v>-3.4349999999996328E-2</v>
      </c>
      <c r="AL9">
        <v>49.988800000000005</v>
      </c>
      <c r="AM9">
        <v>-50.01639999999999</v>
      </c>
      <c r="AN9">
        <f>IF(ABS(MAX(AI9:AI15)) &gt; ABS(MIN(AI9:AI15)),MAX(AI9:AI15), MIN(AI9:AI15))</f>
        <v>79.769806250000002</v>
      </c>
      <c r="AO9">
        <f>IF(ABS(AN10)&gt;ABS(AN9),AN10,AN9)</f>
        <v>79.769806250000002</v>
      </c>
    </row>
    <row r="10" spans="1:41" x14ac:dyDescent="0.35">
      <c r="A10" t="s">
        <v>230</v>
      </c>
      <c r="B10" t="s">
        <v>231</v>
      </c>
      <c r="C10" t="s">
        <v>566</v>
      </c>
      <c r="D10">
        <v>-20</v>
      </c>
      <c r="E10">
        <v>-20.100000000000001</v>
      </c>
      <c r="F10">
        <v>-0.5</v>
      </c>
      <c r="G10">
        <v>-0.49976700000000002</v>
      </c>
      <c r="H10">
        <v>50</v>
      </c>
      <c r="J10">
        <v>0</v>
      </c>
      <c r="N10" t="s">
        <v>171</v>
      </c>
      <c r="O10">
        <f t="shared" si="0"/>
        <v>30.009319999999995</v>
      </c>
      <c r="P10">
        <f t="shared" si="1"/>
        <v>24.988350000000004</v>
      </c>
      <c r="Q10">
        <f t="shared" si="2"/>
        <v>24.988350000000004</v>
      </c>
      <c r="Y10">
        <f>TREND(H9:H13,G9:G13,G10)</f>
        <v>59.531300184551711</v>
      </c>
      <c r="Z10">
        <f>ABS((Y10-H10)/80*100)</f>
        <v>11.914125230689638</v>
      </c>
      <c r="AB10">
        <f>IF(ABS(T9) &gt; ABS(V9),T9,V9)</f>
        <v>-50.002400000000002</v>
      </c>
      <c r="AE10">
        <f>ABS(P58-P2)</f>
        <v>5.2999999999983061E-3</v>
      </c>
      <c r="AH10">
        <f>H10-AG2</f>
        <v>49.988800000000005</v>
      </c>
      <c r="AI10">
        <f>100*(AH10-O10)/80</f>
        <v>24.974350000000012</v>
      </c>
      <c r="AN10">
        <f>IF(ABS(AK9) &gt; ABS(AM9),AK9,AM9)</f>
        <v>-50.01639999999999</v>
      </c>
    </row>
    <row r="11" spans="1:41" x14ac:dyDescent="0.35">
      <c r="A11" t="s">
        <v>230</v>
      </c>
      <c r="B11" t="s">
        <v>231</v>
      </c>
      <c r="C11" t="s">
        <v>603</v>
      </c>
      <c r="D11">
        <v>-20</v>
      </c>
      <c r="E11">
        <v>-19.899999999999999</v>
      </c>
      <c r="F11">
        <v>0</v>
      </c>
      <c r="G11">
        <v>4.0700000000000003E-4</v>
      </c>
      <c r="H11">
        <v>50</v>
      </c>
      <c r="J11">
        <v>0</v>
      </c>
      <c r="N11" t="s">
        <v>171</v>
      </c>
      <c r="O11">
        <f t="shared" si="0"/>
        <v>50.016280000000002</v>
      </c>
      <c r="P11">
        <f t="shared" si="1"/>
        <v>-2.0350000000002311E-2</v>
      </c>
      <c r="Q11">
        <f t="shared" si="2"/>
        <v>2.0350000000002311E-2</v>
      </c>
      <c r="Y11">
        <f>TREND(H9:H13,G9:G13,G11)</f>
        <v>54.76309110184819</v>
      </c>
      <c r="Z11">
        <f>ABS((Y11-H11)/80*100)</f>
        <v>5.953863877310237</v>
      </c>
      <c r="AE11">
        <f>ABS(P59-P3)</f>
        <v>5.9499999999950148E-3</v>
      </c>
      <c r="AH11">
        <f>H11-AG2</f>
        <v>49.988800000000005</v>
      </c>
      <c r="AI11">
        <f>100*(AH11-O11)/80</f>
        <v>-3.4349999999996328E-2</v>
      </c>
    </row>
    <row r="12" spans="1:41" x14ac:dyDescent="0.35">
      <c r="A12" t="s">
        <v>230</v>
      </c>
      <c r="B12" t="s">
        <v>231</v>
      </c>
      <c r="C12" t="s">
        <v>639</v>
      </c>
      <c r="D12">
        <v>-20</v>
      </c>
      <c r="E12">
        <v>-20.100000000000001</v>
      </c>
      <c r="F12">
        <v>0.5</v>
      </c>
      <c r="G12">
        <v>0.49999100000000002</v>
      </c>
      <c r="H12">
        <v>50</v>
      </c>
      <c r="J12">
        <v>0</v>
      </c>
      <c r="N12" t="s">
        <v>171</v>
      </c>
      <c r="O12">
        <f t="shared" si="0"/>
        <v>69.999639999999999</v>
      </c>
      <c r="P12">
        <f t="shared" si="1"/>
        <v>-24.999549999999999</v>
      </c>
      <c r="Q12">
        <f t="shared" si="2"/>
        <v>24.999549999999999</v>
      </c>
      <c r="Y12">
        <f>TREND(H9:H13,G9:G13,G12)</f>
        <v>50.00050654852604</v>
      </c>
      <c r="Z12">
        <f>ABS((Y12-H12)/80*100)</f>
        <v>6.3318565755032807E-4</v>
      </c>
      <c r="AE12">
        <f>ABS(P60-P4)</f>
        <v>1.5299999999998093E-2</v>
      </c>
      <c r="AH12">
        <f>H12-AG2</f>
        <v>49.988800000000005</v>
      </c>
      <c r="AI12">
        <f>100*(AH12-O12)/80</f>
        <v>-25.013549999999992</v>
      </c>
    </row>
    <row r="13" spans="1:41" x14ac:dyDescent="0.35">
      <c r="A13" t="s">
        <v>230</v>
      </c>
      <c r="B13" t="s">
        <v>231</v>
      </c>
      <c r="C13" t="s">
        <v>675</v>
      </c>
      <c r="D13">
        <v>-20</v>
      </c>
      <c r="E13">
        <v>-19.899999999999999</v>
      </c>
      <c r="F13">
        <v>1</v>
      </c>
      <c r="G13">
        <v>1.000048</v>
      </c>
      <c r="H13">
        <v>50</v>
      </c>
      <c r="J13">
        <v>0</v>
      </c>
      <c r="N13" t="s">
        <v>171</v>
      </c>
      <c r="O13">
        <f t="shared" si="0"/>
        <v>90.001919999999998</v>
      </c>
      <c r="P13">
        <f t="shared" si="1"/>
        <v>-50.002400000000002</v>
      </c>
      <c r="Q13">
        <f t="shared" si="2"/>
        <v>50.002400000000002</v>
      </c>
      <c r="Y13">
        <f>TREND(H9:H13,G9:G13,G13)</f>
        <v>45.233412838598149</v>
      </c>
      <c r="Z13">
        <f>ABS((Y13-H13)/80*100)</f>
        <v>5.9582339517523142</v>
      </c>
      <c r="AE13">
        <f>ABS(P61-P5)</f>
        <v>1.554999999999751E-2</v>
      </c>
      <c r="AH13">
        <f>H13-AG2</f>
        <v>49.988800000000005</v>
      </c>
      <c r="AI13">
        <f>100*(AH13-O13)/80</f>
        <v>-50.01639999999999</v>
      </c>
    </row>
    <row r="14" spans="1:41" x14ac:dyDescent="0.35">
      <c r="A14" t="s">
        <v>230</v>
      </c>
      <c r="B14" t="s">
        <v>231</v>
      </c>
      <c r="C14" t="s">
        <v>712</v>
      </c>
      <c r="D14">
        <v>-20</v>
      </c>
      <c r="E14">
        <v>-19.899999999999999</v>
      </c>
      <c r="F14">
        <v>0</v>
      </c>
      <c r="G14">
        <v>9.1799999999999998E-4</v>
      </c>
      <c r="H14">
        <v>50</v>
      </c>
      <c r="J14">
        <v>10489</v>
      </c>
      <c r="N14" t="s">
        <v>171</v>
      </c>
      <c r="O14">
        <f t="shared" si="0"/>
        <v>50.036720000000003</v>
      </c>
      <c r="P14">
        <f t="shared" si="1"/>
        <v>-4.590000000000316E-2</v>
      </c>
      <c r="Q14">
        <f t="shared" si="2"/>
        <v>4.590000000000316E-2</v>
      </c>
      <c r="Y14">
        <f>TREND(H9:H13,G9:G13,G14)</f>
        <v>54.758219687417892</v>
      </c>
      <c r="Z14">
        <f>ABS((Y14-H14)/80*100)</f>
        <v>5.9477746092723649</v>
      </c>
      <c r="AE14">
        <f>ABS(P62-P6)</f>
        <v>5.2000000000163027E-3</v>
      </c>
      <c r="AH14">
        <f>H14-AG2</f>
        <v>49.988800000000005</v>
      </c>
      <c r="AI14">
        <f>100*(AH14-O14)/80</f>
        <v>-5.9899999999997178E-2</v>
      </c>
    </row>
    <row r="15" spans="1:41" x14ac:dyDescent="0.35">
      <c r="A15" t="s">
        <v>230</v>
      </c>
      <c r="B15" t="s">
        <v>231</v>
      </c>
      <c r="C15" t="s">
        <v>748</v>
      </c>
      <c r="D15">
        <v>-20</v>
      </c>
      <c r="E15">
        <v>-20</v>
      </c>
      <c r="F15">
        <v>-1</v>
      </c>
      <c r="G15">
        <v>-0.99989300000000003</v>
      </c>
      <c r="H15">
        <v>50</v>
      </c>
      <c r="J15">
        <v>0</v>
      </c>
      <c r="N15" t="s">
        <v>171</v>
      </c>
      <c r="O15">
        <f t="shared" si="0"/>
        <v>10.004279999999998</v>
      </c>
      <c r="P15">
        <f t="shared" si="1"/>
        <v>49.994650000000007</v>
      </c>
      <c r="Q15">
        <f t="shared" si="2"/>
        <v>49.994650000000007</v>
      </c>
      <c r="Y15">
        <f>TREND(H9:H13,G9:G13,G15)</f>
        <v>64.299051678424206</v>
      </c>
      <c r="Z15">
        <f>ABS((Y15-H15)/80*100)</f>
        <v>17.873814598030258</v>
      </c>
      <c r="AE15">
        <f>ABS(P63-P7)</f>
        <v>7.2500000000097486E-3</v>
      </c>
      <c r="AH15">
        <f>H15-AG2</f>
        <v>49.988800000000005</v>
      </c>
      <c r="AI15">
        <f>100*(AH15-O15)/80</f>
        <v>49.980650000000004</v>
      </c>
    </row>
    <row r="16" spans="1:41" x14ac:dyDescent="0.35">
      <c r="A16" t="s">
        <v>230</v>
      </c>
      <c r="B16" t="s">
        <v>231</v>
      </c>
      <c r="C16" t="s">
        <v>784</v>
      </c>
      <c r="D16">
        <v>0</v>
      </c>
      <c r="E16">
        <v>0</v>
      </c>
      <c r="F16">
        <v>-1</v>
      </c>
      <c r="G16">
        <v>-0.99984899999999999</v>
      </c>
      <c r="H16">
        <v>73.828125</v>
      </c>
      <c r="J16">
        <v>15250</v>
      </c>
      <c r="N16" t="s">
        <v>171</v>
      </c>
      <c r="O16">
        <f t="shared" si="0"/>
        <v>10.00604</v>
      </c>
      <c r="P16">
        <f t="shared" si="1"/>
        <v>79.777606249999991</v>
      </c>
      <c r="Q16">
        <f t="shared" si="2"/>
        <v>79.777606249999991</v>
      </c>
      <c r="S16">
        <v>73.828125</v>
      </c>
      <c r="T16">
        <v>29.790906249999995</v>
      </c>
      <c r="U16">
        <v>73.828125</v>
      </c>
      <c r="V16">
        <v>-20.188543750000001</v>
      </c>
      <c r="W16">
        <v>0</v>
      </c>
      <c r="X16">
        <f>(W16-80)/80*100</f>
        <v>-100</v>
      </c>
      <c r="Y16">
        <f>TREND(H16:H20,G16:G20,G16)</f>
        <v>73.828125</v>
      </c>
      <c r="Z16">
        <f>ABS((Y16-H16)/80*100)</f>
        <v>0</v>
      </c>
      <c r="AA16">
        <f>MAX(Z16:Z20)</f>
        <v>0</v>
      </c>
      <c r="AB16">
        <f>IF(ABS(MAX(P16:P22)) &gt; ABS(MIN(P16:P22)),MAX(P16:P22), MIN(P16:P22))</f>
        <v>79.777606249999991</v>
      </c>
      <c r="AC16">
        <f>IF(ABS(AB17)&gt;ABS(AB16),AB17,AB16)</f>
        <v>79.777606249999991</v>
      </c>
      <c r="AE16">
        <f>ABS(P64-P8)</f>
        <v>4.0499999999994429E-3</v>
      </c>
      <c r="AH16">
        <f>H16-AG2</f>
        <v>73.816924999999998</v>
      </c>
      <c r="AI16">
        <f>100*(AH16-O16)/80</f>
        <v>79.763606249999995</v>
      </c>
      <c r="AJ16">
        <v>73.816924999999998</v>
      </c>
      <c r="AK16">
        <v>29.776906249999989</v>
      </c>
      <c r="AL16">
        <v>73.816924999999998</v>
      </c>
      <c r="AM16">
        <v>-20.202543750000004</v>
      </c>
      <c r="AN16">
        <f>IF(ABS(MAX(AI16:AI22)) &gt; ABS(MIN(AI16:AI22)),MAX(AI16:AI22), MIN(AI16:AI22))</f>
        <v>79.763606249999995</v>
      </c>
      <c r="AO16">
        <f>IF(ABS(AN17)&gt;ABS(AN16),AN17,AN16)</f>
        <v>79.763606249999995</v>
      </c>
    </row>
    <row r="17" spans="1:41" x14ac:dyDescent="0.35">
      <c r="A17" t="s">
        <v>230</v>
      </c>
      <c r="B17" t="s">
        <v>231</v>
      </c>
      <c r="C17" t="s">
        <v>821</v>
      </c>
      <c r="D17">
        <v>0</v>
      </c>
      <c r="E17">
        <v>0.1</v>
      </c>
      <c r="F17">
        <v>-0.5</v>
      </c>
      <c r="G17">
        <v>-0.50062200000000001</v>
      </c>
      <c r="H17">
        <v>73.828125</v>
      </c>
      <c r="J17">
        <v>15250</v>
      </c>
      <c r="N17" t="s">
        <v>171</v>
      </c>
      <c r="O17">
        <f t="shared" si="0"/>
        <v>29.97512</v>
      </c>
      <c r="P17">
        <f t="shared" si="1"/>
        <v>54.816256249999995</v>
      </c>
      <c r="Q17">
        <f t="shared" si="2"/>
        <v>54.816256249999995</v>
      </c>
      <c r="Y17">
        <f>TREND(H16:H20,G16:G20,G17)</f>
        <v>73.828125</v>
      </c>
      <c r="Z17">
        <f>ABS((Y17-H17)/80*100)</f>
        <v>0</v>
      </c>
      <c r="AB17">
        <f>IF(ABS(T16) &gt; ABS(V16),T16,V16)</f>
        <v>29.790906249999995</v>
      </c>
      <c r="AE17">
        <f>ABS(P58-P30)</f>
        <v>59.580412500000001</v>
      </c>
      <c r="AH17">
        <f>H17-AG2</f>
        <v>73.816924999999998</v>
      </c>
      <c r="AI17">
        <f>100*(AH17-O17)/80</f>
        <v>54.802256249999992</v>
      </c>
      <c r="AN17">
        <f>IF(ABS(AK16) &gt; ABS(AM16),AK16,AM16)</f>
        <v>29.776906249999989</v>
      </c>
    </row>
    <row r="18" spans="1:41" x14ac:dyDescent="0.35">
      <c r="A18" t="s">
        <v>230</v>
      </c>
      <c r="B18" t="s">
        <v>231</v>
      </c>
      <c r="C18" t="s">
        <v>857</v>
      </c>
      <c r="D18">
        <v>0</v>
      </c>
      <c r="E18">
        <v>0</v>
      </c>
      <c r="F18">
        <v>0</v>
      </c>
      <c r="G18">
        <v>-1.15E-4</v>
      </c>
      <c r="H18">
        <v>73.828125</v>
      </c>
      <c r="J18">
        <v>15250</v>
      </c>
      <c r="N18" t="s">
        <v>171</v>
      </c>
      <c r="O18">
        <f t="shared" si="0"/>
        <v>49.995400000000004</v>
      </c>
      <c r="P18">
        <f t="shared" si="1"/>
        <v>29.790906249999995</v>
      </c>
      <c r="Q18">
        <f t="shared" si="2"/>
        <v>29.790906249999995</v>
      </c>
      <c r="Y18">
        <f>TREND(H16:H20,G16:G20,G18)</f>
        <v>73.828125</v>
      </c>
      <c r="Z18">
        <f>ABS((Y18-H18)/80*100)</f>
        <v>0</v>
      </c>
      <c r="AE18">
        <f>ABS(P59-P31)</f>
        <v>48.857015624999995</v>
      </c>
      <c r="AH18">
        <f>H18-AG2</f>
        <v>73.816924999999998</v>
      </c>
      <c r="AI18">
        <f>100*(AH18-O18)/80</f>
        <v>29.776906249999989</v>
      </c>
    </row>
    <row r="19" spans="1:41" x14ac:dyDescent="0.35">
      <c r="A19" t="s">
        <v>230</v>
      </c>
      <c r="B19" t="s">
        <v>231</v>
      </c>
      <c r="C19" t="s">
        <v>893</v>
      </c>
      <c r="D19">
        <v>0</v>
      </c>
      <c r="E19">
        <v>0.1</v>
      </c>
      <c r="F19">
        <v>0.5</v>
      </c>
      <c r="G19">
        <v>0.499969</v>
      </c>
      <c r="H19">
        <v>73.828125</v>
      </c>
      <c r="J19">
        <v>15250</v>
      </c>
      <c r="N19" t="s">
        <v>171</v>
      </c>
      <c r="O19">
        <f t="shared" si="0"/>
        <v>69.998760000000004</v>
      </c>
      <c r="P19">
        <f t="shared" si="1"/>
        <v>4.7867062499999946</v>
      </c>
      <c r="Q19">
        <f t="shared" si="2"/>
        <v>4.7867062499999946</v>
      </c>
      <c r="Y19">
        <f>TREND(H16:H20,G16:G20,G19)</f>
        <v>73.828125</v>
      </c>
      <c r="Z19">
        <f>ABS((Y19-H19)/80*100)</f>
        <v>0</v>
      </c>
      <c r="AE19">
        <f>ABS(P60-P32)</f>
        <v>1.2653124999992826E-2</v>
      </c>
      <c r="AH19">
        <f>H19-AG2</f>
        <v>73.816924999999998</v>
      </c>
      <c r="AI19">
        <f>100*(AH19-O19)/80</f>
        <v>4.7727062499999917</v>
      </c>
    </row>
    <row r="20" spans="1:41" x14ac:dyDescent="0.35">
      <c r="A20" t="s">
        <v>230</v>
      </c>
      <c r="B20" t="s">
        <v>231</v>
      </c>
      <c r="C20" t="s">
        <v>930</v>
      </c>
      <c r="D20">
        <v>0</v>
      </c>
      <c r="E20">
        <v>0.1</v>
      </c>
      <c r="F20">
        <v>1</v>
      </c>
      <c r="G20">
        <v>0.99947399999999997</v>
      </c>
      <c r="H20">
        <v>73.828125</v>
      </c>
      <c r="J20">
        <v>15250</v>
      </c>
      <c r="N20" t="s">
        <v>171</v>
      </c>
      <c r="O20">
        <f t="shared" si="0"/>
        <v>89.978960000000001</v>
      </c>
      <c r="P20">
        <f t="shared" si="1"/>
        <v>-20.188543750000001</v>
      </c>
      <c r="Q20">
        <f t="shared" si="2"/>
        <v>20.188543750000001</v>
      </c>
      <c r="Y20">
        <f>TREND(H16:H20,G16:G20,G20)</f>
        <v>73.828125</v>
      </c>
      <c r="Z20">
        <f>ABS((Y20-H20)/80*100)</f>
        <v>0</v>
      </c>
      <c r="AE20">
        <f>ABS(P61-P33)</f>
        <v>1.9468750000157797E-3</v>
      </c>
      <c r="AH20">
        <f>H20-AG2</f>
        <v>73.816924999999998</v>
      </c>
      <c r="AI20">
        <f>100*(AH20-O20)/80</f>
        <v>-20.202543750000004</v>
      </c>
    </row>
    <row r="21" spans="1:41" x14ac:dyDescent="0.35">
      <c r="A21" t="s">
        <v>230</v>
      </c>
      <c r="B21" t="s">
        <v>231</v>
      </c>
      <c r="C21" t="s">
        <v>967</v>
      </c>
      <c r="D21">
        <v>0</v>
      </c>
      <c r="E21">
        <v>-0.1</v>
      </c>
      <c r="F21">
        <v>0</v>
      </c>
      <c r="G21">
        <v>6.6000000000000005E-5</v>
      </c>
      <c r="H21">
        <v>73.828125</v>
      </c>
      <c r="J21">
        <v>15250</v>
      </c>
      <c r="N21" t="s">
        <v>171</v>
      </c>
      <c r="O21">
        <f t="shared" si="0"/>
        <v>50.00264</v>
      </c>
      <c r="P21">
        <f t="shared" si="1"/>
        <v>29.781856249999997</v>
      </c>
      <c r="Q21">
        <f t="shared" si="2"/>
        <v>29.781856249999997</v>
      </c>
      <c r="Y21">
        <f>TREND(H16:H20,G16:G20,G21)</f>
        <v>73.828125</v>
      </c>
      <c r="Z21">
        <f>ABS((Y21-H21)/80*100)</f>
        <v>0</v>
      </c>
      <c r="AE21">
        <f>ABS(P62-P34)</f>
        <v>2.559687500000507E-2</v>
      </c>
      <c r="AH21">
        <f>H21-AG2</f>
        <v>73.816924999999998</v>
      </c>
      <c r="AI21">
        <f>100*(AH21-O21)/80</f>
        <v>29.767856250000001</v>
      </c>
    </row>
    <row r="22" spans="1:41" x14ac:dyDescent="0.35">
      <c r="A22" t="s">
        <v>230</v>
      </c>
      <c r="B22" t="s">
        <v>231</v>
      </c>
      <c r="C22" t="s">
        <v>1003</v>
      </c>
      <c r="D22">
        <v>0</v>
      </c>
      <c r="E22">
        <v>0</v>
      </c>
      <c r="F22">
        <v>-1</v>
      </c>
      <c r="G22">
        <v>-0.99979499999999999</v>
      </c>
      <c r="H22">
        <v>73.828125</v>
      </c>
      <c r="J22">
        <v>15250</v>
      </c>
      <c r="N22" t="s">
        <v>171</v>
      </c>
      <c r="O22">
        <f t="shared" si="0"/>
        <v>10.0082</v>
      </c>
      <c r="P22">
        <f t="shared" si="1"/>
        <v>79.774906249999987</v>
      </c>
      <c r="Q22">
        <f t="shared" si="2"/>
        <v>79.774906249999987</v>
      </c>
      <c r="Y22">
        <f>TREND(H16:H20,G16:G20,G22)</f>
        <v>73.828125</v>
      </c>
      <c r="Z22">
        <f>ABS((Y22-H22)/80*100)</f>
        <v>0</v>
      </c>
      <c r="AE22">
        <f>ABS(P63-P35)</f>
        <v>1.1896875000010354E-2</v>
      </c>
      <c r="AH22">
        <f>H22-AG2</f>
        <v>73.816924999999998</v>
      </c>
      <c r="AI22">
        <f>100*(AH22-O22)/80</f>
        <v>79.760906249999991</v>
      </c>
    </row>
    <row r="23" spans="1:41" x14ac:dyDescent="0.35">
      <c r="A23" t="s">
        <v>230</v>
      </c>
      <c r="B23" t="s">
        <v>231</v>
      </c>
      <c r="C23" t="s">
        <v>1039</v>
      </c>
      <c r="D23">
        <v>10</v>
      </c>
      <c r="E23">
        <v>10</v>
      </c>
      <c r="F23">
        <v>-1</v>
      </c>
      <c r="G23">
        <v>-1.0003580000000001</v>
      </c>
      <c r="H23">
        <v>73.828125</v>
      </c>
      <c r="J23">
        <v>15250</v>
      </c>
      <c r="N23" t="s">
        <v>171</v>
      </c>
      <c r="O23">
        <f t="shared" si="0"/>
        <v>9.9856799999999968</v>
      </c>
      <c r="P23">
        <f t="shared" si="1"/>
        <v>79.803056250000012</v>
      </c>
      <c r="Q23">
        <f t="shared" si="2"/>
        <v>79.803056250000012</v>
      </c>
      <c r="S23">
        <v>49.998437500000001</v>
      </c>
      <c r="T23">
        <v>8.5468750000039506E-3</v>
      </c>
      <c r="U23">
        <v>49.998437500000001</v>
      </c>
      <c r="V23">
        <v>-49.977903124999997</v>
      </c>
      <c r="W23">
        <v>-23.829689025878906</v>
      </c>
      <c r="X23">
        <f>(W23-80)/80*100</f>
        <v>-129.78711128234863</v>
      </c>
      <c r="Y23">
        <f>TREND(H23:H27,G23:G27,G23)</f>
        <v>73.830595878291376</v>
      </c>
      <c r="Z23">
        <f>ABS((Y23-H23)/80*100)</f>
        <v>3.0885978642203327E-3</v>
      </c>
      <c r="AA23">
        <f>MAX(Z23:Z27)</f>
        <v>17.871644430860385</v>
      </c>
      <c r="AB23">
        <f>IF(ABS(MAX(P23:P29)) &gt; ABS(MIN(P23:P29)),MAX(P23:P29), MIN(P23:P29))</f>
        <v>79.803056250000012</v>
      </c>
      <c r="AC23">
        <f>IF(ABS(AB24)&gt;ABS(AB23),AB24,AB23)</f>
        <v>79.803056250000012</v>
      </c>
      <c r="AE23">
        <f>ABS(P64-P36)</f>
        <v>3.9031250000007844E-3</v>
      </c>
      <c r="AH23">
        <f>H23-AG2</f>
        <v>73.816924999999998</v>
      </c>
      <c r="AI23">
        <f>100*(AH23-O23)/80</f>
        <v>79.789056250000002</v>
      </c>
      <c r="AJ23">
        <v>49.987237500000006</v>
      </c>
      <c r="AK23">
        <v>-5.4531249999900666E-3</v>
      </c>
      <c r="AL23">
        <v>49.987237500000006</v>
      </c>
      <c r="AM23">
        <v>-49.991903125</v>
      </c>
      <c r="AN23">
        <f>IF(ABS(MAX(AI23:AI29)) &gt; ABS(MIN(AI23:AI29)),MAX(AI23:AI29), MIN(AI23:AI29))</f>
        <v>79.789056250000002</v>
      </c>
      <c r="AO23">
        <f>IF(ABS(AN24)&gt;ABS(AN23),AN24,AN23)</f>
        <v>79.789056250000002</v>
      </c>
    </row>
    <row r="24" spans="1:41" x14ac:dyDescent="0.35">
      <c r="A24" t="s">
        <v>230</v>
      </c>
      <c r="B24" t="s">
        <v>231</v>
      </c>
      <c r="C24" t="s">
        <v>1075</v>
      </c>
      <c r="D24">
        <v>10</v>
      </c>
      <c r="E24">
        <v>10</v>
      </c>
      <c r="F24">
        <v>-0.5</v>
      </c>
      <c r="G24">
        <v>-0.50020900000000001</v>
      </c>
      <c r="H24">
        <v>73.828125</v>
      </c>
      <c r="J24">
        <v>15250</v>
      </c>
      <c r="N24" t="s">
        <v>171</v>
      </c>
      <c r="O24">
        <f t="shared" si="0"/>
        <v>29.99164</v>
      </c>
      <c r="P24">
        <f t="shared" si="1"/>
        <v>54.795606249999992</v>
      </c>
      <c r="Q24">
        <f t="shared" si="2"/>
        <v>54.795606249999992</v>
      </c>
      <c r="Y24">
        <f>TREND(H23:H27,G23:G27,G24)</f>
        <v>69.061991830680924</v>
      </c>
      <c r="Z24">
        <f>ABS((Y24-H24)/80*100)</f>
        <v>5.9576664616488451</v>
      </c>
      <c r="AB24">
        <f>IF(ABS(T23) &gt; ABS(V23),T23,V23)</f>
        <v>-49.977903124999997</v>
      </c>
      <c r="AH24">
        <f>H24-AG2</f>
        <v>73.816924999999998</v>
      </c>
      <c r="AI24">
        <f>100*(AH24-O24)/80</f>
        <v>54.781606249999996</v>
      </c>
      <c r="AN24">
        <f>IF(ABS(AK23) &gt; ABS(AM23),AK23,AM23)</f>
        <v>-49.991903125</v>
      </c>
    </row>
    <row r="25" spans="1:41" x14ac:dyDescent="0.35">
      <c r="A25" t="s">
        <v>230</v>
      </c>
      <c r="B25" t="s">
        <v>1111</v>
      </c>
      <c r="C25" t="s">
        <v>1112</v>
      </c>
      <c r="D25">
        <v>10</v>
      </c>
      <c r="E25">
        <v>10</v>
      </c>
      <c r="F25">
        <v>0</v>
      </c>
      <c r="G25">
        <v>-2.1000000000000001E-4</v>
      </c>
      <c r="H25">
        <v>49.998437500000001</v>
      </c>
      <c r="J25">
        <v>-1</v>
      </c>
      <c r="N25" t="s">
        <v>171</v>
      </c>
      <c r="O25">
        <f t="shared" si="0"/>
        <v>49.991599999999998</v>
      </c>
      <c r="P25">
        <f t="shared" si="1"/>
        <v>8.5468750000039506E-3</v>
      </c>
      <c r="Q25">
        <f t="shared" si="2"/>
        <v>8.5468750000039506E-3</v>
      </c>
      <c r="Y25">
        <f>TREND(H23:H27,G23:G27,G25)</f>
        <v>64.294817938098561</v>
      </c>
      <c r="Z25">
        <f>ABS((Y25-H25)/80*100)</f>
        <v>17.870475547623201</v>
      </c>
      <c r="AH25">
        <f>H25-AG2</f>
        <v>49.987237500000006</v>
      </c>
      <c r="AI25">
        <f>100*(AH25-O25)/80</f>
        <v>-5.4531249999900666E-3</v>
      </c>
    </row>
    <row r="26" spans="1:41" x14ac:dyDescent="0.35">
      <c r="A26" t="s">
        <v>230</v>
      </c>
      <c r="B26" t="s">
        <v>1111</v>
      </c>
      <c r="C26" t="s">
        <v>1149</v>
      </c>
      <c r="D26">
        <v>10</v>
      </c>
      <c r="E26">
        <v>10</v>
      </c>
      <c r="F26">
        <v>0.5</v>
      </c>
      <c r="G26">
        <v>0.49945699999999998</v>
      </c>
      <c r="H26">
        <v>73.828125</v>
      </c>
      <c r="J26">
        <v>-28160</v>
      </c>
      <c r="N26" t="s">
        <v>171</v>
      </c>
      <c r="O26">
        <f t="shared" si="0"/>
        <v>69.978279999999998</v>
      </c>
      <c r="P26">
        <f t="shared" si="1"/>
        <v>4.8123062500000024</v>
      </c>
      <c r="Q26">
        <f t="shared" si="2"/>
        <v>4.8123062500000024</v>
      </c>
      <c r="Y26">
        <f>TREND(H23:H27,G23:G27,G26)</f>
        <v>59.53080945531169</v>
      </c>
      <c r="Z26">
        <f>ABS((Y26-H26)/80*100)</f>
        <v>17.871644430860385</v>
      </c>
      <c r="AH26">
        <f>H26-AG2</f>
        <v>73.816924999999998</v>
      </c>
      <c r="AI26">
        <f>100*(AH26-O26)/80</f>
        <v>4.7983062499999996</v>
      </c>
    </row>
    <row r="27" spans="1:41" x14ac:dyDescent="0.35">
      <c r="A27" t="s">
        <v>230</v>
      </c>
      <c r="B27" t="s">
        <v>1111</v>
      </c>
      <c r="C27" t="s">
        <v>1186</v>
      </c>
      <c r="D27">
        <v>10</v>
      </c>
      <c r="E27">
        <v>10</v>
      </c>
      <c r="F27">
        <v>1</v>
      </c>
      <c r="G27">
        <v>0.99951900000000005</v>
      </c>
      <c r="H27">
        <v>49.998437500000001</v>
      </c>
      <c r="J27">
        <v>-1</v>
      </c>
      <c r="N27" t="s">
        <v>171</v>
      </c>
      <c r="O27">
        <f t="shared" si="0"/>
        <v>89.980760000000004</v>
      </c>
      <c r="P27">
        <f t="shared" si="1"/>
        <v>-49.977903124999997</v>
      </c>
      <c r="Q27">
        <f t="shared" si="2"/>
        <v>49.977903124999997</v>
      </c>
      <c r="Y27">
        <f>TREND(H23:H27,G23:G27,G27)</f>
        <v>54.76303489761753</v>
      </c>
      <c r="Z27">
        <f>ABS((Y27-H27)/80*100)</f>
        <v>5.9557467470219105</v>
      </c>
      <c r="AH27">
        <f>H27-AG2</f>
        <v>49.987237500000006</v>
      </c>
      <c r="AI27">
        <f>100*(AH27-O27)/80</f>
        <v>-49.991903125</v>
      </c>
    </row>
    <row r="28" spans="1:41" x14ac:dyDescent="0.35">
      <c r="A28" t="s">
        <v>230</v>
      </c>
      <c r="B28" t="s">
        <v>1111</v>
      </c>
      <c r="C28" t="s">
        <v>1223</v>
      </c>
      <c r="D28">
        <v>10</v>
      </c>
      <c r="E28">
        <v>10</v>
      </c>
      <c r="F28">
        <v>0</v>
      </c>
      <c r="G28">
        <v>-3.3000000000000003E-5</v>
      </c>
      <c r="H28">
        <v>50.246875000000003</v>
      </c>
      <c r="J28">
        <v>-25029</v>
      </c>
      <c r="N28" t="s">
        <v>171</v>
      </c>
      <c r="O28">
        <f t="shared" si="0"/>
        <v>49.99868</v>
      </c>
      <c r="P28">
        <f t="shared" si="1"/>
        <v>0.31024375000000326</v>
      </c>
      <c r="Q28">
        <f t="shared" si="2"/>
        <v>0.31024375000000326</v>
      </c>
      <c r="Y28">
        <f>TREND(H23:H27,G23:G27,G28)</f>
        <v>64.293130355165417</v>
      </c>
      <c r="Z28">
        <f>ABS((Y28-H28)/80*100)</f>
        <v>17.557819193956767</v>
      </c>
      <c r="AH28">
        <f>H28-AG2</f>
        <v>50.235675000000008</v>
      </c>
      <c r="AI28">
        <f>100*(AH28-O28)/80</f>
        <v>0.29624375000000924</v>
      </c>
    </row>
    <row r="29" spans="1:41" x14ac:dyDescent="0.35">
      <c r="A29" t="s">
        <v>230</v>
      </c>
      <c r="B29" t="s">
        <v>1111</v>
      </c>
      <c r="C29" t="s">
        <v>1259</v>
      </c>
      <c r="D29">
        <v>10</v>
      </c>
      <c r="E29">
        <v>10</v>
      </c>
      <c r="F29">
        <v>-1</v>
      </c>
      <c r="G29">
        <v>-0.999857</v>
      </c>
      <c r="H29">
        <v>73.828125</v>
      </c>
      <c r="J29">
        <v>15250</v>
      </c>
      <c r="N29" t="s">
        <v>171</v>
      </c>
      <c r="O29">
        <f t="shared" si="0"/>
        <v>10.00572</v>
      </c>
      <c r="P29">
        <f t="shared" si="1"/>
        <v>79.778006250000004</v>
      </c>
      <c r="Q29">
        <f t="shared" si="2"/>
        <v>79.778006250000004</v>
      </c>
      <c r="Y29">
        <f>TREND(H23:H27,G23:G27,G29)</f>
        <v>73.825819160497574</v>
      </c>
      <c r="Z29">
        <f>ABS((Y29-H29)/80*100)</f>
        <v>2.8822993780330819E-3</v>
      </c>
      <c r="AH29">
        <f>H29-AG2</f>
        <v>73.816924999999998</v>
      </c>
      <c r="AI29">
        <f>100*(AH29-O29)/80</f>
        <v>79.764006249999994</v>
      </c>
    </row>
    <row r="30" spans="1:41" x14ac:dyDescent="0.35">
      <c r="A30" t="s">
        <v>230</v>
      </c>
      <c r="B30" t="s">
        <v>1111</v>
      </c>
      <c r="C30" t="s">
        <v>1295</v>
      </c>
      <c r="D30">
        <v>25</v>
      </c>
      <c r="E30">
        <v>25</v>
      </c>
      <c r="F30">
        <v>-1</v>
      </c>
      <c r="G30">
        <v>-1.0001150000000001</v>
      </c>
      <c r="H30">
        <v>97.65625</v>
      </c>
      <c r="J30">
        <v>9217</v>
      </c>
      <c r="N30" t="s">
        <v>171</v>
      </c>
      <c r="O30">
        <f t="shared" si="0"/>
        <v>9.9953999999999965</v>
      </c>
      <c r="P30">
        <f t="shared" si="1"/>
        <v>109.57606250000001</v>
      </c>
      <c r="Q30">
        <f t="shared" si="2"/>
        <v>109.57606250000001</v>
      </c>
      <c r="S30">
        <v>49.998437500000001</v>
      </c>
      <c r="T30">
        <v>-1.3953124999996902E-2</v>
      </c>
      <c r="U30">
        <v>49.998437500000001</v>
      </c>
      <c r="V30">
        <v>-49.969503125000003</v>
      </c>
      <c r="W30">
        <v>-47.657814025878906</v>
      </c>
      <c r="X30">
        <f>(W30-80)/80*100</f>
        <v>-159.57226753234863</v>
      </c>
      <c r="Y30">
        <f>TREND(H30:H34,G30:G34,G30)</f>
        <v>62.946697350435372</v>
      </c>
      <c r="Z30">
        <f>ABS((Y30-H30)/80*100)</f>
        <v>43.386940811955789</v>
      </c>
      <c r="AA30">
        <f>MAX(Z30:Z34)</f>
        <v>58.048498888250798</v>
      </c>
      <c r="AB30">
        <f>IF(ABS(MAX(P30:P36)) &gt; ABS(MIN(P30:P36)),MAX(P30:P36), MIN(P30:P36))</f>
        <v>109.57606250000001</v>
      </c>
      <c r="AC30">
        <f>IF(ABS(AB31)&gt;ABS(AB30),AB31,AB30)</f>
        <v>109.57606250000001</v>
      </c>
      <c r="AH30">
        <f>H30-AG2</f>
        <v>97.645049999999998</v>
      </c>
      <c r="AI30">
        <f>100*(AH30-O30)/80</f>
        <v>109.5620625</v>
      </c>
      <c r="AJ30">
        <v>49.987237500000006</v>
      </c>
      <c r="AK30">
        <v>-2.7953124999990919E-2</v>
      </c>
      <c r="AL30">
        <v>49.987237500000006</v>
      </c>
      <c r="AM30">
        <v>-49.983503124999991</v>
      </c>
      <c r="AN30">
        <f>IF(ABS(MAX(AI30:AI36)) &gt; ABS(MIN(AI30:AI36)),MAX(AI30:AI36), MIN(AI30:AI36))</f>
        <v>109.5620625</v>
      </c>
      <c r="AO30">
        <f>IF(ABS(AN31)&gt;ABS(AN30),AN31,AN30)</f>
        <v>109.5620625</v>
      </c>
    </row>
    <row r="31" spans="1:41" x14ac:dyDescent="0.35">
      <c r="A31" t="s">
        <v>230</v>
      </c>
      <c r="B31" t="s">
        <v>1111</v>
      </c>
      <c r="C31" t="s">
        <v>1332</v>
      </c>
      <c r="D31">
        <v>25</v>
      </c>
      <c r="E31">
        <v>25</v>
      </c>
      <c r="F31">
        <v>-0.5</v>
      </c>
      <c r="G31">
        <v>-0.50049100000000002</v>
      </c>
      <c r="H31">
        <v>10.8921875</v>
      </c>
      <c r="J31">
        <v>767</v>
      </c>
      <c r="N31" t="s">
        <v>171</v>
      </c>
      <c r="O31">
        <f t="shared" si="0"/>
        <v>29.980359999999997</v>
      </c>
      <c r="P31">
        <f t="shared" si="1"/>
        <v>-23.860215624999999</v>
      </c>
      <c r="Q31">
        <f t="shared" si="2"/>
        <v>23.860215624999999</v>
      </c>
      <c r="Y31">
        <f>TREND(H30:H34,G30:G34,G31)</f>
        <v>57.33098661060064</v>
      </c>
      <c r="Z31">
        <f>ABS((Y31-H31)/80*100)</f>
        <v>58.048498888250798</v>
      </c>
      <c r="AB31">
        <f>IF(ABS(T30) &gt; ABS(V30),T30,V30)</f>
        <v>-49.969503125000003</v>
      </c>
      <c r="AH31">
        <f>H31-AG2</f>
        <v>10.880987500000005</v>
      </c>
      <c r="AI31">
        <f>100*(AH31-O31)/80</f>
        <v>-23.874215624999994</v>
      </c>
      <c r="AN31">
        <f>IF(ABS(AK30) &gt; ABS(AM30),AK30,AM30)</f>
        <v>-49.983503124999991</v>
      </c>
    </row>
    <row r="32" spans="1:41" x14ac:dyDescent="0.35">
      <c r="A32" t="s">
        <v>230</v>
      </c>
      <c r="B32" t="s">
        <v>1111</v>
      </c>
      <c r="C32" t="s">
        <v>1368</v>
      </c>
      <c r="D32">
        <v>25</v>
      </c>
      <c r="E32">
        <v>25</v>
      </c>
      <c r="F32">
        <v>0</v>
      </c>
      <c r="G32">
        <v>2.4000000000000001E-4</v>
      </c>
      <c r="H32">
        <v>49.998437500000001</v>
      </c>
      <c r="J32">
        <v>-1</v>
      </c>
      <c r="N32" t="s">
        <v>171</v>
      </c>
      <c r="O32">
        <f t="shared" si="0"/>
        <v>50.009599999999999</v>
      </c>
      <c r="P32">
        <f t="shared" si="1"/>
        <v>-1.3953124999996902E-2</v>
      </c>
      <c r="Q32">
        <f t="shared" si="2"/>
        <v>1.3953124999996902E-2</v>
      </c>
      <c r="Y32">
        <f>TREND(H30:H34,G30:G34,G32)</f>
        <v>51.702833330397553</v>
      </c>
      <c r="Z32">
        <f>ABS((Y32-H32)/80*100)</f>
        <v>2.1304947879969394</v>
      </c>
      <c r="AH32">
        <f>H32-AG2</f>
        <v>49.987237500000006</v>
      </c>
      <c r="AI32">
        <f>100*(AH32-O32)/80</f>
        <v>-2.7953124999990919E-2</v>
      </c>
    </row>
    <row r="33" spans="1:41" x14ac:dyDescent="0.35">
      <c r="A33" t="s">
        <v>230</v>
      </c>
      <c r="B33" t="s">
        <v>1111</v>
      </c>
      <c r="C33" t="s">
        <v>1405</v>
      </c>
      <c r="D33">
        <v>25</v>
      </c>
      <c r="E33">
        <v>25</v>
      </c>
      <c r="F33">
        <v>0.5</v>
      </c>
      <c r="G33">
        <v>0.499583</v>
      </c>
      <c r="H33">
        <v>49.998437500000001</v>
      </c>
      <c r="J33">
        <v>-1</v>
      </c>
      <c r="N33" t="s">
        <v>171</v>
      </c>
      <c r="O33">
        <f t="shared" si="0"/>
        <v>69.983319999999992</v>
      </c>
      <c r="P33">
        <f t="shared" si="1"/>
        <v>-24.981103124999986</v>
      </c>
      <c r="Q33">
        <f t="shared" si="2"/>
        <v>24.981103124999986</v>
      </c>
      <c r="Y33">
        <f>TREND(H30:H34,G30:G34,G33)</f>
        <v>46.090280995118839</v>
      </c>
      <c r="Z33">
        <f>ABS((Y33-H33)/80*100)</f>
        <v>4.8851956311014533</v>
      </c>
      <c r="AH33">
        <f>H33-AG2</f>
        <v>49.987237500000006</v>
      </c>
      <c r="AI33">
        <f>100*(AH33-O33)/80</f>
        <v>-24.995103124999982</v>
      </c>
    </row>
    <row r="34" spans="1:41" x14ac:dyDescent="0.35">
      <c r="A34" t="s">
        <v>230</v>
      </c>
      <c r="B34" t="s">
        <v>1111</v>
      </c>
      <c r="C34" t="s">
        <v>1442</v>
      </c>
      <c r="D34">
        <v>25</v>
      </c>
      <c r="E34">
        <v>25</v>
      </c>
      <c r="F34">
        <v>1</v>
      </c>
      <c r="G34">
        <v>0.99935099999999999</v>
      </c>
      <c r="H34">
        <v>49.998437500000001</v>
      </c>
      <c r="J34">
        <v>-1</v>
      </c>
      <c r="N34" t="s">
        <v>171</v>
      </c>
      <c r="O34">
        <f t="shared" si="0"/>
        <v>89.974040000000002</v>
      </c>
      <c r="P34">
        <f t="shared" si="1"/>
        <v>-49.969503125000003</v>
      </c>
      <c r="Q34">
        <f t="shared" si="2"/>
        <v>49.969503125000003</v>
      </c>
      <c r="Y34">
        <f>TREND(H30:H34,G30:G34,G34)</f>
        <v>40.472951713447571</v>
      </c>
      <c r="Z34">
        <f>ABS((Y34-H34)/80*100)</f>
        <v>11.906857233190538</v>
      </c>
      <c r="AH34">
        <f>H34-AG2</f>
        <v>49.987237500000006</v>
      </c>
      <c r="AI34">
        <f>100*(AH34-O34)/80</f>
        <v>-49.983503124999991</v>
      </c>
    </row>
    <row r="35" spans="1:41" x14ac:dyDescent="0.35">
      <c r="A35" t="s">
        <v>230</v>
      </c>
      <c r="B35" t="s">
        <v>1111</v>
      </c>
      <c r="C35" t="s">
        <v>1478</v>
      </c>
      <c r="D35">
        <v>25</v>
      </c>
      <c r="E35">
        <v>25</v>
      </c>
      <c r="F35">
        <v>0</v>
      </c>
      <c r="G35">
        <v>-2.6999999999999999E-5</v>
      </c>
      <c r="H35">
        <v>49.998437500000001</v>
      </c>
      <c r="J35">
        <v>-1</v>
      </c>
      <c r="N35" t="s">
        <v>171</v>
      </c>
      <c r="O35">
        <f t="shared" si="0"/>
        <v>49.998919999999998</v>
      </c>
      <c r="P35">
        <f t="shared" si="1"/>
        <v>-6.0312499999604086E-4</v>
      </c>
      <c r="Q35">
        <f t="shared" si="2"/>
        <v>6.0312499999604086E-4</v>
      </c>
      <c r="Y35">
        <f>TREND(H30:H34,G30:G34,G35)</f>
        <v>51.705834376719459</v>
      </c>
      <c r="Z35">
        <f>ABS((Y35-H35)/80*100)</f>
        <v>2.1342460958993215</v>
      </c>
      <c r="AH35">
        <f>H35-AG2</f>
        <v>49.987237500000006</v>
      </c>
      <c r="AI35">
        <f>100*(AH35-O35)/80</f>
        <v>-1.4603124999990058E-2</v>
      </c>
    </row>
    <row r="36" spans="1:41" x14ac:dyDescent="0.35">
      <c r="A36" t="s">
        <v>230</v>
      </c>
      <c r="B36" t="s">
        <v>1111</v>
      </c>
      <c r="C36" t="s">
        <v>1515</v>
      </c>
      <c r="D36">
        <v>25</v>
      </c>
      <c r="E36">
        <v>25</v>
      </c>
      <c r="F36">
        <v>-1</v>
      </c>
      <c r="G36">
        <v>-0.99990100000000004</v>
      </c>
      <c r="H36">
        <v>49.998437500000001</v>
      </c>
      <c r="J36">
        <v>-1</v>
      </c>
      <c r="N36" t="s">
        <v>171</v>
      </c>
      <c r="O36">
        <f t="shared" si="0"/>
        <v>10.003959999999999</v>
      </c>
      <c r="P36">
        <f t="shared" si="1"/>
        <v>49.993096875000006</v>
      </c>
      <c r="Q36">
        <f t="shared" si="2"/>
        <v>49.993096875000006</v>
      </c>
      <c r="Y36">
        <f>TREND(H30:H34,G30:G34,G36)</f>
        <v>62.944292017428296</v>
      </c>
      <c r="Z36">
        <f>ABS((Y36-H36)/80*100)</f>
        <v>16.18231814678537</v>
      </c>
      <c r="AH36">
        <f>H36-AG2</f>
        <v>49.987237500000006</v>
      </c>
      <c r="AI36">
        <f>100*(AH36-O36)/80</f>
        <v>49.97909687500001</v>
      </c>
    </row>
    <row r="37" spans="1:41" x14ac:dyDescent="0.35">
      <c r="A37" t="s">
        <v>230</v>
      </c>
      <c r="B37" t="s">
        <v>1111</v>
      </c>
      <c r="C37" t="s">
        <v>1552</v>
      </c>
      <c r="D37">
        <v>50</v>
      </c>
      <c r="E37">
        <v>50</v>
      </c>
      <c r="F37">
        <v>-1</v>
      </c>
      <c r="G37">
        <v>-0.99978900000000004</v>
      </c>
      <c r="H37">
        <v>49.998437500000001</v>
      </c>
      <c r="J37">
        <v>-1</v>
      </c>
      <c r="N37" t="s">
        <v>171</v>
      </c>
      <c r="O37">
        <f t="shared" si="0"/>
        <v>10.008439999999998</v>
      </c>
      <c r="P37">
        <f t="shared" si="1"/>
        <v>49.987496874999998</v>
      </c>
      <c r="Q37">
        <f t="shared" si="2"/>
        <v>49.987496874999998</v>
      </c>
      <c r="S37">
        <v>49.998437500000001</v>
      </c>
      <c r="T37">
        <v>1.0496875000001182E-2</v>
      </c>
      <c r="U37">
        <v>49.998437500000001</v>
      </c>
      <c r="V37">
        <v>-49.996753124999998</v>
      </c>
      <c r="W37">
        <v>-1.5258789076710855E-6</v>
      </c>
      <c r="X37">
        <f>(W37-80)/80*100</f>
        <v>-100.00000190734863</v>
      </c>
      <c r="Y37">
        <f>TREND(H37:H41,G37:G41,G37)</f>
        <v>49.998437500000001</v>
      </c>
      <c r="Z37">
        <f>ABS((Y37-H37)/80*100)</f>
        <v>0</v>
      </c>
      <c r="AA37">
        <f>MAX(Z37:Z41)</f>
        <v>0</v>
      </c>
      <c r="AB37">
        <f>IF(ABS(MAX(P37:P43)) &gt; ABS(MIN(P37:P43)),MAX(P37:P43), MIN(P37:P43))</f>
        <v>-49.996753124999998</v>
      </c>
      <c r="AC37">
        <f>IF(ABS(AB38)&gt;ABS(AB37),AB38,AB37)</f>
        <v>-49.996753124999998</v>
      </c>
      <c r="AH37">
        <f>H37-AG2</f>
        <v>49.987237500000006</v>
      </c>
      <c r="AI37">
        <f>100*(AH37-O37)/80</f>
        <v>49.973496875000009</v>
      </c>
      <c r="AJ37">
        <v>49.987237500000006</v>
      </c>
      <c r="AK37">
        <v>-3.5031249999928349E-3</v>
      </c>
      <c r="AL37">
        <v>49.987237500000006</v>
      </c>
      <c r="AM37">
        <v>-50.010753124999994</v>
      </c>
      <c r="AN37">
        <f>IF(ABS(MAX(AI37:AI43)) &gt; ABS(MIN(AI37:AI43)),MAX(AI37:AI43), MIN(AI37:AI43))</f>
        <v>-50.010753124999994</v>
      </c>
      <c r="AO37">
        <f>IF(ABS(AN38)&gt;ABS(AN37),AN38,AN37)</f>
        <v>-50.010753124999994</v>
      </c>
    </row>
    <row r="38" spans="1:41" x14ac:dyDescent="0.35">
      <c r="A38" t="s">
        <v>230</v>
      </c>
      <c r="B38" t="s">
        <v>1111</v>
      </c>
      <c r="C38" t="s">
        <v>1588</v>
      </c>
      <c r="D38">
        <v>50</v>
      </c>
      <c r="E38">
        <v>50</v>
      </c>
      <c r="F38">
        <v>-0.5</v>
      </c>
      <c r="G38">
        <v>-0.50011000000000005</v>
      </c>
      <c r="H38">
        <v>49.998437500000001</v>
      </c>
      <c r="J38">
        <v>-1</v>
      </c>
      <c r="N38" t="s">
        <v>171</v>
      </c>
      <c r="O38">
        <f t="shared" si="0"/>
        <v>29.995599999999996</v>
      </c>
      <c r="P38">
        <f t="shared" si="1"/>
        <v>25.003546875000005</v>
      </c>
      <c r="Q38">
        <f t="shared" si="2"/>
        <v>25.003546875000005</v>
      </c>
      <c r="Y38">
        <f>TREND(H37:H41,G37:G41,G38)</f>
        <v>49.998437500000001</v>
      </c>
      <c r="Z38">
        <f>ABS((Y38-H38)/80*100)</f>
        <v>0</v>
      </c>
      <c r="AB38">
        <f>IF(ABS(T37) &gt; ABS(V37),T37,V37)</f>
        <v>-49.996753124999998</v>
      </c>
      <c r="AH38">
        <f>H38-AG2</f>
        <v>49.987237500000006</v>
      </c>
      <c r="AI38">
        <f>100*(AH38-O38)/80</f>
        <v>24.989546875000013</v>
      </c>
      <c r="AN38">
        <f>IF(ABS(AK37) &gt; ABS(AM37),AK37,AM37)</f>
        <v>-50.010753124999994</v>
      </c>
    </row>
    <row r="39" spans="1:41" x14ac:dyDescent="0.35">
      <c r="A39" t="s">
        <v>230</v>
      </c>
      <c r="B39" t="s">
        <v>1111</v>
      </c>
      <c r="C39" t="s">
        <v>1625</v>
      </c>
      <c r="D39">
        <v>50</v>
      </c>
      <c r="E39">
        <v>50</v>
      </c>
      <c r="F39">
        <v>0</v>
      </c>
      <c r="G39">
        <v>-2.4899999999999998E-4</v>
      </c>
      <c r="H39">
        <v>49.998437500000001</v>
      </c>
      <c r="J39">
        <v>-1</v>
      </c>
      <c r="N39" t="s">
        <v>171</v>
      </c>
      <c r="O39">
        <f t="shared" si="0"/>
        <v>49.99004</v>
      </c>
      <c r="P39">
        <f t="shared" si="1"/>
        <v>1.0496875000001182E-2</v>
      </c>
      <c r="Q39">
        <f t="shared" si="2"/>
        <v>1.0496875000001182E-2</v>
      </c>
      <c r="Y39">
        <f>TREND(H37:H41,G37:G41,G39)</f>
        <v>49.998437500000001</v>
      </c>
      <c r="Z39">
        <f>ABS((Y39-H39)/80*100)</f>
        <v>0</v>
      </c>
      <c r="AH39">
        <f>H39-AG2</f>
        <v>49.987237500000006</v>
      </c>
      <c r="AI39">
        <f>100*(AH39-O39)/80</f>
        <v>-3.5031249999928349E-3</v>
      </c>
    </row>
    <row r="40" spans="1:41" x14ac:dyDescent="0.35">
      <c r="A40" t="s">
        <v>230</v>
      </c>
      <c r="B40" t="s">
        <v>1111</v>
      </c>
      <c r="C40" t="s">
        <v>1662</v>
      </c>
      <c r="D40">
        <v>50</v>
      </c>
      <c r="E40">
        <v>50</v>
      </c>
      <c r="F40">
        <v>0.5</v>
      </c>
      <c r="G40">
        <v>0.499998</v>
      </c>
      <c r="H40">
        <v>49.998437500000001</v>
      </c>
      <c r="J40">
        <v>-1</v>
      </c>
      <c r="N40" t="s">
        <v>171</v>
      </c>
      <c r="O40">
        <f t="shared" si="0"/>
        <v>69.999920000000003</v>
      </c>
      <c r="P40">
        <f t="shared" si="1"/>
        <v>-25.001853125000004</v>
      </c>
      <c r="Q40">
        <f t="shared" si="2"/>
        <v>25.001853125000004</v>
      </c>
      <c r="Y40">
        <f>TREND(H37:H41,G37:G41,G40)</f>
        <v>49.998437500000001</v>
      </c>
      <c r="Z40">
        <f>ABS((Y40-H40)/80*100)</f>
        <v>0</v>
      </c>
      <c r="AH40">
        <f>H40-AG2</f>
        <v>49.987237500000006</v>
      </c>
      <c r="AI40">
        <f>100*(AH40-O40)/80</f>
        <v>-25.015853124999996</v>
      </c>
    </row>
    <row r="41" spans="1:41" x14ac:dyDescent="0.35">
      <c r="A41" t="s">
        <v>230</v>
      </c>
      <c r="B41" t="s">
        <v>1111</v>
      </c>
      <c r="C41" t="s">
        <v>1699</v>
      </c>
      <c r="D41">
        <v>50</v>
      </c>
      <c r="E41">
        <v>50</v>
      </c>
      <c r="F41">
        <v>1</v>
      </c>
      <c r="G41">
        <v>0.99989600000000001</v>
      </c>
      <c r="H41">
        <v>49.998437500000001</v>
      </c>
      <c r="J41">
        <v>-1</v>
      </c>
      <c r="N41" t="s">
        <v>171</v>
      </c>
      <c r="O41">
        <f t="shared" si="0"/>
        <v>89.995840000000001</v>
      </c>
      <c r="P41">
        <f t="shared" si="1"/>
        <v>-49.996753124999998</v>
      </c>
      <c r="Q41">
        <f t="shared" si="2"/>
        <v>49.996753124999998</v>
      </c>
      <c r="Y41">
        <f>TREND(H37:H41,G37:G41,G41)</f>
        <v>49.998437500000001</v>
      </c>
      <c r="Z41">
        <f>ABS((Y41-H41)/80*100)</f>
        <v>0</v>
      </c>
      <c r="AH41">
        <f>H41-AG2</f>
        <v>49.987237500000006</v>
      </c>
      <c r="AI41">
        <f>100*(AH41-O41)/80</f>
        <v>-50.010753124999994</v>
      </c>
    </row>
    <row r="42" spans="1:41" x14ac:dyDescent="0.35">
      <c r="A42" t="s">
        <v>230</v>
      </c>
      <c r="B42" t="s">
        <v>1111</v>
      </c>
      <c r="C42" t="s">
        <v>1735</v>
      </c>
      <c r="D42">
        <v>50</v>
      </c>
      <c r="E42">
        <v>50</v>
      </c>
      <c r="F42">
        <v>0</v>
      </c>
      <c r="G42">
        <v>-1.4100000000000001E-4</v>
      </c>
      <c r="H42">
        <v>49.998437500000001</v>
      </c>
      <c r="J42">
        <v>-1</v>
      </c>
      <c r="N42" t="s">
        <v>171</v>
      </c>
      <c r="O42">
        <f t="shared" si="0"/>
        <v>49.99436</v>
      </c>
      <c r="P42">
        <f t="shared" si="1"/>
        <v>5.096875000001333E-3</v>
      </c>
      <c r="Q42">
        <f t="shared" si="2"/>
        <v>5.096875000001333E-3</v>
      </c>
      <c r="Y42">
        <f>TREND(H37:H41,G37:G41,G42)</f>
        <v>49.998437500000001</v>
      </c>
      <c r="Z42">
        <f>ABS((Y42-H42)/80*100)</f>
        <v>0</v>
      </c>
      <c r="AH42">
        <f>H42-AG2</f>
        <v>49.987237500000006</v>
      </c>
      <c r="AI42">
        <f>100*(AH42-O42)/80</f>
        <v>-8.9031249999926843E-3</v>
      </c>
    </row>
    <row r="43" spans="1:41" x14ac:dyDescent="0.35">
      <c r="A43" t="s">
        <v>230</v>
      </c>
      <c r="B43" t="s">
        <v>1111</v>
      </c>
      <c r="C43" t="s">
        <v>1772</v>
      </c>
      <c r="D43">
        <v>50</v>
      </c>
      <c r="E43">
        <v>50</v>
      </c>
      <c r="F43">
        <v>-1</v>
      </c>
      <c r="G43">
        <v>-0.99992000000000003</v>
      </c>
      <c r="H43">
        <v>49.998437500000001</v>
      </c>
      <c r="J43">
        <v>-1</v>
      </c>
      <c r="N43" t="s">
        <v>171</v>
      </c>
      <c r="O43">
        <f t="shared" si="0"/>
        <v>10.0032</v>
      </c>
      <c r="P43">
        <f t="shared" si="1"/>
        <v>49.994046875000002</v>
      </c>
      <c r="Q43">
        <f t="shared" si="2"/>
        <v>49.994046875000002</v>
      </c>
      <c r="Y43">
        <f>TREND(H37:H41,G37:G41,G43)</f>
        <v>49.998437500000001</v>
      </c>
      <c r="Z43">
        <f>ABS((Y43-H43)/80*100)</f>
        <v>0</v>
      </c>
      <c r="AH43">
        <f>H43-AG2</f>
        <v>49.987237500000006</v>
      </c>
      <c r="AI43">
        <f>100*(AH43-O43)/80</f>
        <v>49.980046875000014</v>
      </c>
    </row>
    <row r="44" spans="1:41" x14ac:dyDescent="0.35">
      <c r="A44" t="s">
        <v>230</v>
      </c>
      <c r="B44" t="s">
        <v>1111</v>
      </c>
      <c r="C44" t="s">
        <v>1809</v>
      </c>
      <c r="D44">
        <v>70</v>
      </c>
      <c r="E44">
        <v>70</v>
      </c>
      <c r="F44">
        <v>-1</v>
      </c>
      <c r="G44">
        <v>-0.99998399999999998</v>
      </c>
      <c r="H44">
        <v>49.998437500000001</v>
      </c>
      <c r="J44">
        <v>-1</v>
      </c>
      <c r="N44" t="s">
        <v>171</v>
      </c>
      <c r="O44">
        <f t="shared" si="0"/>
        <v>10.000640000000001</v>
      </c>
      <c r="P44">
        <f t="shared" si="1"/>
        <v>49.997246875000009</v>
      </c>
      <c r="Q44">
        <f t="shared" si="2"/>
        <v>49.997246875000009</v>
      </c>
      <c r="S44">
        <v>49.998437500000001</v>
      </c>
      <c r="T44">
        <v>3.4468750000016257E-3</v>
      </c>
      <c r="U44">
        <v>49.998437500000001</v>
      </c>
      <c r="V44">
        <v>-50.020553125000006</v>
      </c>
      <c r="W44">
        <v>-1.5258789076710855E-6</v>
      </c>
      <c r="X44">
        <f>(W44-80)/80*100</f>
        <v>-100.00000190734863</v>
      </c>
      <c r="Y44">
        <f>TREND(H44:H48,G44:G48,G44)</f>
        <v>49.998437500000001</v>
      </c>
      <c r="Z44">
        <f>ABS((Y44-H44)/80*100)</f>
        <v>0</v>
      </c>
      <c r="AA44">
        <f>MAX(Z44:Z48)</f>
        <v>0</v>
      </c>
      <c r="AB44">
        <f>IF(ABS(MAX(P44:P50)) &gt; ABS(MIN(P44:P50)),MAX(P44:P50), MIN(P44:P50))</f>
        <v>-50.020553125000006</v>
      </c>
      <c r="AC44">
        <f>IF(ABS(AB45)&gt;ABS(AB44),AB45,AB44)</f>
        <v>-50.020553125000006</v>
      </c>
      <c r="AH44">
        <f>H44-AG2</f>
        <v>49.987237500000006</v>
      </c>
      <c r="AI44">
        <f>100*(AH44-O44)/80</f>
        <v>49.983246875000006</v>
      </c>
      <c r="AJ44">
        <v>49.987237500000006</v>
      </c>
      <c r="AK44">
        <v>-1.0553124999992392E-2</v>
      </c>
      <c r="AL44">
        <v>49.987237500000006</v>
      </c>
      <c r="AM44">
        <v>-50.034553124999995</v>
      </c>
      <c r="AN44">
        <f>IF(ABS(MAX(AI44:AI50)) &gt; ABS(MIN(AI44:AI50)),MAX(AI44:AI50), MIN(AI44:AI50))</f>
        <v>-50.034553124999995</v>
      </c>
      <c r="AO44">
        <f>IF(ABS(AN45)&gt;ABS(AN44),AN45,AN44)</f>
        <v>-50.034553124999995</v>
      </c>
    </row>
    <row r="45" spans="1:41" x14ac:dyDescent="0.35">
      <c r="A45" t="s">
        <v>230</v>
      </c>
      <c r="B45" t="s">
        <v>1111</v>
      </c>
      <c r="C45" t="s">
        <v>1846</v>
      </c>
      <c r="D45">
        <v>70</v>
      </c>
      <c r="E45">
        <v>70</v>
      </c>
      <c r="F45">
        <v>-0.5</v>
      </c>
      <c r="G45">
        <v>-0.500031</v>
      </c>
      <c r="H45">
        <v>49.998437500000001</v>
      </c>
      <c r="J45">
        <v>-1</v>
      </c>
      <c r="N45" t="s">
        <v>171</v>
      </c>
      <c r="O45">
        <f t="shared" si="0"/>
        <v>29.998760000000001</v>
      </c>
      <c r="P45">
        <f t="shared" si="1"/>
        <v>24.999596875000002</v>
      </c>
      <c r="Q45">
        <f t="shared" si="2"/>
        <v>24.999596875000002</v>
      </c>
      <c r="Y45">
        <f>TREND(H44:H48,G44:G48,G45)</f>
        <v>49.998437500000001</v>
      </c>
      <c r="Z45">
        <f>ABS((Y45-H45)/80*100)</f>
        <v>0</v>
      </c>
      <c r="AB45">
        <f>IF(ABS(T44) &gt; ABS(V44),T44,V44)</f>
        <v>-50.020553125000006</v>
      </c>
      <c r="AH45">
        <f>H45-AG2</f>
        <v>49.987237500000006</v>
      </c>
      <c r="AI45">
        <f>100*(AH45-O45)/80</f>
        <v>24.985596875000006</v>
      </c>
      <c r="AN45">
        <f>IF(ABS(AK44) &gt; ABS(AM44),AK44,AM44)</f>
        <v>-50.034553124999995</v>
      </c>
    </row>
    <row r="46" spans="1:41" x14ac:dyDescent="0.35">
      <c r="A46" t="s">
        <v>230</v>
      </c>
      <c r="B46" t="s">
        <v>1111</v>
      </c>
      <c r="C46" t="s">
        <v>1883</v>
      </c>
      <c r="D46">
        <v>70</v>
      </c>
      <c r="E46">
        <v>70</v>
      </c>
      <c r="F46">
        <v>0</v>
      </c>
      <c r="G46">
        <v>-1.08E-4</v>
      </c>
      <c r="H46">
        <v>49.998437500000001</v>
      </c>
      <c r="J46">
        <v>-1</v>
      </c>
      <c r="N46" t="s">
        <v>171</v>
      </c>
      <c r="O46">
        <f t="shared" si="0"/>
        <v>49.99568</v>
      </c>
      <c r="P46">
        <f t="shared" si="1"/>
        <v>3.4468750000016257E-3</v>
      </c>
      <c r="Q46">
        <f t="shared" si="2"/>
        <v>3.4468750000016257E-3</v>
      </c>
      <c r="Y46">
        <f>TREND(H44:H48,G44:G48,G46)</f>
        <v>49.998437500000001</v>
      </c>
      <c r="Z46">
        <f>ABS((Y46-H46)/80*100)</f>
        <v>0</v>
      </c>
      <c r="AH46">
        <f>H46-AG2</f>
        <v>49.987237500000006</v>
      </c>
      <c r="AI46">
        <f>100*(AH46-O46)/80</f>
        <v>-1.0553124999992392E-2</v>
      </c>
    </row>
    <row r="47" spans="1:41" x14ac:dyDescent="0.35">
      <c r="A47" t="s">
        <v>230</v>
      </c>
      <c r="B47" t="s">
        <v>1111</v>
      </c>
      <c r="C47" t="s">
        <v>1919</v>
      </c>
      <c r="D47">
        <v>70</v>
      </c>
      <c r="E47">
        <v>70</v>
      </c>
      <c r="F47">
        <v>0.5</v>
      </c>
      <c r="G47">
        <v>0.49994499999999997</v>
      </c>
      <c r="H47">
        <v>49.998437500000001</v>
      </c>
      <c r="J47">
        <v>-1</v>
      </c>
      <c r="N47" t="s">
        <v>171</v>
      </c>
      <c r="O47">
        <f t="shared" si="0"/>
        <v>69.997799999999998</v>
      </c>
      <c r="P47">
        <f t="shared" si="1"/>
        <v>-24.999203124999998</v>
      </c>
      <c r="Q47">
        <f t="shared" si="2"/>
        <v>24.999203124999998</v>
      </c>
      <c r="Y47">
        <f>TREND(H44:H48,G44:G48,G47)</f>
        <v>49.998437500000001</v>
      </c>
      <c r="Z47">
        <f>ABS((Y47-H47)/80*100)</f>
        <v>0</v>
      </c>
      <c r="AH47">
        <f>H47-AG2</f>
        <v>49.987237500000006</v>
      </c>
      <c r="AI47">
        <f>100*(AH47-O47)/80</f>
        <v>-25.01320312499999</v>
      </c>
    </row>
    <row r="48" spans="1:41" x14ac:dyDescent="0.35">
      <c r="A48" t="s">
        <v>230</v>
      </c>
      <c r="B48" t="s">
        <v>1111</v>
      </c>
      <c r="C48" t="s">
        <v>1956</v>
      </c>
      <c r="D48">
        <v>70</v>
      </c>
      <c r="E48">
        <v>70</v>
      </c>
      <c r="F48">
        <v>1</v>
      </c>
      <c r="G48">
        <v>1.000372</v>
      </c>
      <c r="H48">
        <v>49.998437500000001</v>
      </c>
      <c r="J48">
        <v>-1</v>
      </c>
      <c r="N48" t="s">
        <v>171</v>
      </c>
      <c r="O48">
        <f t="shared" si="0"/>
        <v>90.014880000000005</v>
      </c>
      <c r="P48">
        <f t="shared" si="1"/>
        <v>-50.020553125000006</v>
      </c>
      <c r="Q48">
        <f t="shared" si="2"/>
        <v>50.020553125000006</v>
      </c>
      <c r="Y48">
        <f>TREND(H44:H48,G44:G48,G48)</f>
        <v>49.998437500000001</v>
      </c>
      <c r="Z48">
        <f>ABS((Y48-H48)/80*100)</f>
        <v>0</v>
      </c>
      <c r="AH48">
        <f>H48-AG2</f>
        <v>49.987237500000006</v>
      </c>
      <c r="AI48">
        <f>100*(AH48-O48)/80</f>
        <v>-50.034553124999995</v>
      </c>
    </row>
    <row r="49" spans="1:41" x14ac:dyDescent="0.35">
      <c r="A49" t="s">
        <v>230</v>
      </c>
      <c r="B49" t="s">
        <v>1111</v>
      </c>
      <c r="C49" t="s">
        <v>1992</v>
      </c>
      <c r="D49">
        <v>70</v>
      </c>
      <c r="E49">
        <v>70</v>
      </c>
      <c r="F49">
        <v>0</v>
      </c>
      <c r="G49">
        <v>2.2699999999999999E-4</v>
      </c>
      <c r="H49">
        <v>49.998437500000001</v>
      </c>
      <c r="J49">
        <v>-1</v>
      </c>
      <c r="N49" t="s">
        <v>171</v>
      </c>
      <c r="O49">
        <f t="shared" si="0"/>
        <v>50.009079999999997</v>
      </c>
      <c r="P49">
        <f t="shared" si="1"/>
        <v>-1.3303124999994864E-2</v>
      </c>
      <c r="Q49">
        <f t="shared" si="2"/>
        <v>1.3303124999994864E-2</v>
      </c>
      <c r="Y49">
        <f>TREND(H44:H48,G44:G48,G49)</f>
        <v>49.998437500000001</v>
      </c>
      <c r="Z49">
        <f>ABS((Y49-H49)/80*100)</f>
        <v>0</v>
      </c>
      <c r="AH49">
        <f>H49-AG2</f>
        <v>49.987237500000006</v>
      </c>
      <c r="AI49">
        <f>100*(AH49-O49)/80</f>
        <v>-2.7303124999988881E-2</v>
      </c>
    </row>
    <row r="50" spans="1:41" x14ac:dyDescent="0.35">
      <c r="A50" t="s">
        <v>230</v>
      </c>
      <c r="B50" t="s">
        <v>1111</v>
      </c>
      <c r="C50" t="s">
        <v>2029</v>
      </c>
      <c r="D50">
        <v>70</v>
      </c>
      <c r="E50">
        <v>70</v>
      </c>
      <c r="F50">
        <v>-1</v>
      </c>
      <c r="G50">
        <v>-0.99991699999999994</v>
      </c>
      <c r="H50">
        <v>49.998437500000001</v>
      </c>
      <c r="J50">
        <v>-1</v>
      </c>
      <c r="N50" t="s">
        <v>171</v>
      </c>
      <c r="O50">
        <f t="shared" si="0"/>
        <v>10.003320000000002</v>
      </c>
      <c r="P50">
        <f t="shared" si="1"/>
        <v>49.993896875000004</v>
      </c>
      <c r="Q50">
        <f t="shared" si="2"/>
        <v>49.993896875000004</v>
      </c>
      <c r="Y50">
        <f>TREND(H44:H48,G44:G48,G50)</f>
        <v>49.998437500000001</v>
      </c>
      <c r="Z50">
        <f>ABS((Y50-H50)/80*100)</f>
        <v>0</v>
      </c>
      <c r="AH50">
        <f>H50-AG2</f>
        <v>49.987237500000006</v>
      </c>
      <c r="AI50">
        <f>100*(AH50-O50)/80</f>
        <v>49.979896875000001</v>
      </c>
    </row>
    <row r="51" spans="1:41" x14ac:dyDescent="0.35">
      <c r="A51" t="s">
        <v>230</v>
      </c>
      <c r="B51" t="s">
        <v>1111</v>
      </c>
      <c r="C51" t="s">
        <v>2065</v>
      </c>
      <c r="D51">
        <v>85</v>
      </c>
      <c r="E51">
        <v>85</v>
      </c>
      <c r="F51">
        <v>-1</v>
      </c>
      <c r="G51">
        <v>-1.000062</v>
      </c>
      <c r="H51">
        <v>49.998437500000001</v>
      </c>
      <c r="J51">
        <v>-1</v>
      </c>
      <c r="N51" t="s">
        <v>171</v>
      </c>
      <c r="O51">
        <f t="shared" si="0"/>
        <v>9.9975199999999997</v>
      </c>
      <c r="P51">
        <f t="shared" si="1"/>
        <v>50.001146875000003</v>
      </c>
      <c r="Q51">
        <f t="shared" si="2"/>
        <v>50.001146875000003</v>
      </c>
      <c r="S51">
        <v>49.998437500000001</v>
      </c>
      <c r="T51">
        <v>8.6468750000001648E-3</v>
      </c>
      <c r="U51">
        <v>49.998437500000001</v>
      </c>
      <c r="V51">
        <v>-49.990253125000017</v>
      </c>
      <c r="W51">
        <v>-1.5258789076710855E-6</v>
      </c>
      <c r="X51">
        <f>(W51-80)/80*100</f>
        <v>-100.00000190734863</v>
      </c>
      <c r="Y51">
        <f>TREND(H51:H55,G51:G55,G51)</f>
        <v>49.998437500000001</v>
      </c>
      <c r="Z51">
        <f>ABS((Y51-H51)/80*100)</f>
        <v>0</v>
      </c>
      <c r="AA51">
        <f>MAX(Z51:Z55)</f>
        <v>0</v>
      </c>
      <c r="AB51">
        <f>IF(ABS(MAX(P51:P57)) &gt; ABS(MIN(P51:P57)),MAX(P51:P57), MIN(P51:P57))</f>
        <v>50.010996875000004</v>
      </c>
      <c r="AC51">
        <f>IF(ABS(AB52)&gt;ABS(AB51),AB52,AB51)</f>
        <v>50.010996875000004</v>
      </c>
      <c r="AH51">
        <f>H51-AG2</f>
        <v>49.987237500000006</v>
      </c>
      <c r="AI51">
        <f>100*(AH51-O51)/80</f>
        <v>49.987146875000008</v>
      </c>
      <c r="AJ51">
        <v>49.987237500000006</v>
      </c>
      <c r="AK51">
        <v>-5.3531249999938524E-3</v>
      </c>
      <c r="AL51">
        <v>49.987237500000006</v>
      </c>
      <c r="AM51">
        <v>-50.004253125000005</v>
      </c>
      <c r="AN51">
        <f>IF(ABS(MAX(AI51:AI57)) &gt; ABS(MIN(AI51:AI57)),MAX(AI51:AI57), MIN(AI51:AI57))</f>
        <v>-50.004253125000005</v>
      </c>
      <c r="AO51">
        <f>IF(ABS(AN52)&gt;ABS(AN51),AN52,AN51)</f>
        <v>-50.004253125000005</v>
      </c>
    </row>
    <row r="52" spans="1:41" x14ac:dyDescent="0.35">
      <c r="A52" t="s">
        <v>230</v>
      </c>
      <c r="B52" t="s">
        <v>1111</v>
      </c>
      <c r="C52" t="s">
        <v>2101</v>
      </c>
      <c r="D52">
        <v>85</v>
      </c>
      <c r="E52">
        <v>85</v>
      </c>
      <c r="F52">
        <v>-0.5</v>
      </c>
      <c r="G52">
        <v>-0.50015200000000004</v>
      </c>
      <c r="H52">
        <v>49.998437500000001</v>
      </c>
      <c r="J52">
        <v>-1</v>
      </c>
      <c r="N52" t="s">
        <v>171</v>
      </c>
      <c r="O52">
        <f t="shared" si="0"/>
        <v>29.993919999999999</v>
      </c>
      <c r="P52">
        <f t="shared" si="1"/>
        <v>25.005646875000004</v>
      </c>
      <c r="Q52">
        <f t="shared" si="2"/>
        <v>25.005646875000004</v>
      </c>
      <c r="Y52">
        <f>TREND(H51:H55,G51:G55,G52)</f>
        <v>49.998437500000001</v>
      </c>
      <c r="Z52">
        <f>ABS((Y52-H52)/80*100)</f>
        <v>0</v>
      </c>
      <c r="AB52">
        <f>IF(ABS(T51) &gt; ABS(V51),T51,V51)</f>
        <v>-49.990253125000017</v>
      </c>
      <c r="AH52">
        <f>H52-AG2</f>
        <v>49.987237500000006</v>
      </c>
      <c r="AI52">
        <f>100*(AH52-O52)/80</f>
        <v>24.991646875000008</v>
      </c>
      <c r="AN52">
        <f>IF(ABS(AK51) &gt; ABS(AM51),AK51,AM51)</f>
        <v>-50.004253125000005</v>
      </c>
    </row>
    <row r="53" spans="1:41" x14ac:dyDescent="0.35">
      <c r="A53" t="s">
        <v>230</v>
      </c>
      <c r="B53" t="s">
        <v>1111</v>
      </c>
      <c r="C53" t="s">
        <v>2137</v>
      </c>
      <c r="D53">
        <v>85</v>
      </c>
      <c r="E53">
        <v>85</v>
      </c>
      <c r="F53">
        <v>0</v>
      </c>
      <c r="G53">
        <v>-2.12E-4</v>
      </c>
      <c r="H53">
        <v>49.998437500000001</v>
      </c>
      <c r="J53">
        <v>-1</v>
      </c>
      <c r="N53" t="s">
        <v>171</v>
      </c>
      <c r="O53">
        <f t="shared" si="0"/>
        <v>49.991520000000001</v>
      </c>
      <c r="P53">
        <f t="shared" si="1"/>
        <v>8.6468750000001648E-3</v>
      </c>
      <c r="Q53">
        <f t="shared" si="2"/>
        <v>8.6468750000001648E-3</v>
      </c>
      <c r="Y53">
        <f>TREND(H51:H55,G51:G55,G53)</f>
        <v>49.998437500000001</v>
      </c>
      <c r="Z53">
        <f>ABS((Y53-H53)/80*100)</f>
        <v>0</v>
      </c>
      <c r="AH53">
        <f>H53-AG2</f>
        <v>49.987237500000006</v>
      </c>
      <c r="AI53">
        <f>100*(AH53-O53)/80</f>
        <v>-5.3531249999938524E-3</v>
      </c>
    </row>
    <row r="54" spans="1:41" x14ac:dyDescent="0.35">
      <c r="A54" t="s">
        <v>230</v>
      </c>
      <c r="B54" t="s">
        <v>1111</v>
      </c>
      <c r="C54" t="s">
        <v>2174</v>
      </c>
      <c r="D54">
        <v>85</v>
      </c>
      <c r="E54">
        <v>85</v>
      </c>
      <c r="F54">
        <v>0.5</v>
      </c>
      <c r="G54">
        <v>0.49985400000000002</v>
      </c>
      <c r="H54">
        <v>49.998437500000001</v>
      </c>
      <c r="J54">
        <v>-1</v>
      </c>
      <c r="N54" t="s">
        <v>171</v>
      </c>
      <c r="O54">
        <f t="shared" si="0"/>
        <v>69.994159999999994</v>
      </c>
      <c r="P54">
        <f t="shared" si="1"/>
        <v>-24.994653124999992</v>
      </c>
      <c r="Q54">
        <f t="shared" si="2"/>
        <v>24.994653124999992</v>
      </c>
      <c r="Y54">
        <f>TREND(H51:H55,G51:G55,G54)</f>
        <v>49.998437500000001</v>
      </c>
      <c r="Z54">
        <f>ABS((Y54-H54)/80*100)</f>
        <v>0</v>
      </c>
      <c r="AH54">
        <f>H54-AG2</f>
        <v>49.987237500000006</v>
      </c>
      <c r="AI54">
        <f>100*(AH54-O54)/80</f>
        <v>-25.008653124999984</v>
      </c>
    </row>
    <row r="55" spans="1:41" x14ac:dyDescent="0.35">
      <c r="A55" t="s">
        <v>230</v>
      </c>
      <c r="B55" t="s">
        <v>1111</v>
      </c>
      <c r="C55" t="s">
        <v>2211</v>
      </c>
      <c r="D55">
        <v>85</v>
      </c>
      <c r="E55">
        <v>85</v>
      </c>
      <c r="F55">
        <v>1</v>
      </c>
      <c r="G55">
        <v>0.99976600000000004</v>
      </c>
      <c r="H55">
        <v>49.998437500000001</v>
      </c>
      <c r="J55">
        <v>-1</v>
      </c>
      <c r="N55" t="s">
        <v>171</v>
      </c>
      <c r="O55">
        <f t="shared" si="0"/>
        <v>89.990640000000013</v>
      </c>
      <c r="P55">
        <f t="shared" si="1"/>
        <v>-49.990253125000017</v>
      </c>
      <c r="Q55">
        <f t="shared" si="2"/>
        <v>49.990253125000017</v>
      </c>
      <c r="Y55">
        <f>TREND(H51:H55,G51:G55,G55)</f>
        <v>49.998437500000001</v>
      </c>
      <c r="Z55">
        <f>ABS((Y55-H55)/80*100)</f>
        <v>0</v>
      </c>
      <c r="AH55">
        <f>H55-AG2</f>
        <v>49.987237500000006</v>
      </c>
      <c r="AI55">
        <f>100*(AH55-O55)/80</f>
        <v>-50.004253125000005</v>
      </c>
    </row>
    <row r="56" spans="1:41" x14ac:dyDescent="0.35">
      <c r="A56" t="s">
        <v>230</v>
      </c>
      <c r="B56" t="s">
        <v>1111</v>
      </c>
      <c r="C56" t="s">
        <v>2247</v>
      </c>
      <c r="D56">
        <v>85</v>
      </c>
      <c r="E56">
        <v>85</v>
      </c>
      <c r="F56">
        <v>0</v>
      </c>
      <c r="G56">
        <v>2.0599999999999999E-4</v>
      </c>
      <c r="H56">
        <v>49.998437500000001</v>
      </c>
      <c r="J56">
        <v>-1</v>
      </c>
      <c r="N56" t="s">
        <v>171</v>
      </c>
      <c r="O56">
        <f t="shared" si="0"/>
        <v>50.008240000000001</v>
      </c>
      <c r="P56">
        <f t="shared" si="1"/>
        <v>-1.2253124999999088E-2</v>
      </c>
      <c r="Q56">
        <f t="shared" si="2"/>
        <v>1.2253124999999088E-2</v>
      </c>
      <c r="Y56">
        <f>TREND(H51:H55,G51:G55,G56)</f>
        <v>49.998437500000001</v>
      </c>
      <c r="Z56">
        <f>ABS((Y56-H56)/80*100)</f>
        <v>0</v>
      </c>
      <c r="AH56">
        <f>H56-AG2</f>
        <v>49.987237500000006</v>
      </c>
      <c r="AI56">
        <f>100*(AH56-O56)/80</f>
        <v>-2.6253124999993105E-2</v>
      </c>
    </row>
    <row r="57" spans="1:41" x14ac:dyDescent="0.35">
      <c r="A57" t="s">
        <v>230</v>
      </c>
      <c r="B57" t="s">
        <v>1111</v>
      </c>
      <c r="C57" t="s">
        <v>2284</v>
      </c>
      <c r="D57">
        <v>85</v>
      </c>
      <c r="E57">
        <v>85</v>
      </c>
      <c r="F57">
        <v>-1</v>
      </c>
      <c r="G57">
        <v>-1.000259</v>
      </c>
      <c r="H57">
        <v>49.998437500000001</v>
      </c>
      <c r="J57">
        <v>-1</v>
      </c>
      <c r="N57" t="s">
        <v>171</v>
      </c>
      <c r="O57">
        <f t="shared" si="0"/>
        <v>9.9896399999999996</v>
      </c>
      <c r="P57">
        <f t="shared" si="1"/>
        <v>50.010996875000004</v>
      </c>
      <c r="Q57">
        <f t="shared" si="2"/>
        <v>50.010996875000004</v>
      </c>
      <c r="Y57">
        <f>TREND(H51:H55,G51:G55,G57)</f>
        <v>49.998437500000001</v>
      </c>
      <c r="Z57">
        <f>ABS((Y57-H57)/80*100)</f>
        <v>0</v>
      </c>
      <c r="AH57">
        <f>H57-AG2</f>
        <v>49.987237500000006</v>
      </c>
      <c r="AI57">
        <f>100*(AH57-O57)/80</f>
        <v>49.996996875000008</v>
      </c>
    </row>
    <row r="58" spans="1:41" x14ac:dyDescent="0.35">
      <c r="A58" t="s">
        <v>230</v>
      </c>
      <c r="B58" t="s">
        <v>1111</v>
      </c>
      <c r="C58" t="s">
        <v>2321</v>
      </c>
      <c r="D58">
        <v>25</v>
      </c>
      <c r="E58">
        <v>25</v>
      </c>
      <c r="F58">
        <v>-1</v>
      </c>
      <c r="G58">
        <v>-0.99991300000000005</v>
      </c>
      <c r="H58">
        <v>50</v>
      </c>
      <c r="J58">
        <v>-2777</v>
      </c>
      <c r="N58" t="s">
        <v>171</v>
      </c>
      <c r="O58">
        <f t="shared" si="0"/>
        <v>10.003479999999998</v>
      </c>
      <c r="P58">
        <f t="shared" si="1"/>
        <v>49.995650000000005</v>
      </c>
      <c r="Q58">
        <f t="shared" si="2"/>
        <v>49.995650000000005</v>
      </c>
      <c r="S58">
        <v>50</v>
      </c>
      <c r="T58">
        <v>-1.3000000000040757E-3</v>
      </c>
      <c r="U58">
        <v>50</v>
      </c>
      <c r="V58">
        <v>-49.995100000000008</v>
      </c>
      <c r="W58">
        <v>0</v>
      </c>
      <c r="X58">
        <f>(W58-80)/80*100</f>
        <v>-100</v>
      </c>
      <c r="Y58">
        <f>TREND(H58:H62,G58:G62,G58)</f>
        <v>50</v>
      </c>
      <c r="Z58">
        <f>ABS((Y58-H58)/80*100)</f>
        <v>0</v>
      </c>
      <c r="AA58">
        <f>MAX(Z58:Z62)</f>
        <v>0</v>
      </c>
      <c r="AB58">
        <f>IF(ABS(MAX(P58:P64)) &gt; ABS(MIN(P58:P64)),MAX(P58:P64), MIN(P58:P64))</f>
        <v>49.997000000000007</v>
      </c>
      <c r="AC58">
        <f>IF(ABS(AB59)&gt;ABS(AB58),AB59,AB58)</f>
        <v>49.997000000000007</v>
      </c>
      <c r="AH58">
        <f>H58-AG2</f>
        <v>49.988800000000005</v>
      </c>
      <c r="AI58">
        <f>100*(AH58-O58)/80</f>
        <v>49.981650000000016</v>
      </c>
      <c r="AJ58">
        <v>49.988800000000005</v>
      </c>
      <c r="AK58">
        <v>-1.5299999999998093E-2</v>
      </c>
      <c r="AL58">
        <v>49.988800000000005</v>
      </c>
      <c r="AM58">
        <v>-50.009100000000004</v>
      </c>
      <c r="AN58">
        <f>IF(ABS(MAX(AI58:AI64)) &gt; ABS(MIN(AI58:AI64)),MAX(AI58:AI64), MIN(AI58:AI64))</f>
        <v>-50.009100000000004</v>
      </c>
      <c r="AO58">
        <f>IF(ABS(AN59)&gt;ABS(AN58),AN59,AN58)</f>
        <v>-50.009100000000004</v>
      </c>
    </row>
    <row r="59" spans="1:41" x14ac:dyDescent="0.35">
      <c r="A59" t="s">
        <v>230</v>
      </c>
      <c r="B59" t="s">
        <v>1111</v>
      </c>
      <c r="C59" t="s">
        <v>2358</v>
      </c>
      <c r="D59">
        <v>25</v>
      </c>
      <c r="E59">
        <v>25</v>
      </c>
      <c r="F59">
        <v>-0.5</v>
      </c>
      <c r="G59">
        <v>-0.49993599999999999</v>
      </c>
      <c r="H59">
        <v>50</v>
      </c>
      <c r="J59">
        <v>0</v>
      </c>
      <c r="N59" t="s">
        <v>171</v>
      </c>
      <c r="O59">
        <f t="shared" si="0"/>
        <v>30.002560000000003</v>
      </c>
      <c r="P59">
        <f t="shared" si="1"/>
        <v>24.996799999999997</v>
      </c>
      <c r="Q59">
        <f t="shared" si="2"/>
        <v>24.996799999999997</v>
      </c>
      <c r="Y59">
        <f>TREND(H58:H62,G58:G62,G59)</f>
        <v>50</v>
      </c>
      <c r="Z59">
        <f>ABS((Y59-H59)/80*100)</f>
        <v>0</v>
      </c>
      <c r="AB59">
        <f>IF(ABS(T58) &gt; ABS(V58),T58,V58)</f>
        <v>-49.995100000000008</v>
      </c>
      <c r="AH59">
        <f>H59-AG2</f>
        <v>49.988800000000005</v>
      </c>
      <c r="AI59">
        <f>100*(AH59-O59)/80</f>
        <v>24.982800000000005</v>
      </c>
      <c r="AN59">
        <f>IF(ABS(AK58) &gt; ABS(AM58),AK58,AM58)</f>
        <v>-50.009100000000004</v>
      </c>
    </row>
    <row r="60" spans="1:41" x14ac:dyDescent="0.35">
      <c r="A60" t="s">
        <v>230</v>
      </c>
      <c r="B60" t="s">
        <v>1111</v>
      </c>
      <c r="C60" t="s">
        <v>2394</v>
      </c>
      <c r="D60">
        <v>25</v>
      </c>
      <c r="E60">
        <v>24.9</v>
      </c>
      <c r="F60">
        <v>0</v>
      </c>
      <c r="G60">
        <v>2.5999999999999998E-5</v>
      </c>
      <c r="H60">
        <v>50</v>
      </c>
      <c r="J60">
        <v>0</v>
      </c>
      <c r="N60" t="s">
        <v>171</v>
      </c>
      <c r="O60">
        <f t="shared" si="0"/>
        <v>50.001040000000003</v>
      </c>
      <c r="P60">
        <f t="shared" si="1"/>
        <v>-1.3000000000040757E-3</v>
      </c>
      <c r="Q60">
        <f t="shared" si="2"/>
        <v>1.3000000000040757E-3</v>
      </c>
      <c r="Y60">
        <f>TREND(H58:H62,G58:G62,G60)</f>
        <v>50</v>
      </c>
      <c r="Z60">
        <f>ABS((Y60-H60)/80*100)</f>
        <v>0</v>
      </c>
      <c r="AH60">
        <f>H60-AG2</f>
        <v>49.988800000000005</v>
      </c>
      <c r="AI60">
        <f>100*(AH60-O60)/80</f>
        <v>-1.5299999999998093E-2</v>
      </c>
    </row>
    <row r="61" spans="1:41" x14ac:dyDescent="0.35">
      <c r="A61" t="s">
        <v>230</v>
      </c>
      <c r="B61" t="s">
        <v>1111</v>
      </c>
      <c r="C61" t="s">
        <v>2431</v>
      </c>
      <c r="D61">
        <v>25</v>
      </c>
      <c r="E61">
        <v>25</v>
      </c>
      <c r="F61">
        <v>0.5</v>
      </c>
      <c r="G61">
        <v>0.49966100000000002</v>
      </c>
      <c r="H61">
        <v>50</v>
      </c>
      <c r="J61">
        <v>0</v>
      </c>
      <c r="N61" t="s">
        <v>171</v>
      </c>
      <c r="O61">
        <f t="shared" si="0"/>
        <v>69.986440000000002</v>
      </c>
      <c r="P61">
        <f t="shared" si="1"/>
        <v>-24.983050000000002</v>
      </c>
      <c r="Q61">
        <f t="shared" si="2"/>
        <v>24.983050000000002</v>
      </c>
      <c r="Y61">
        <f>TREND(H58:H62,G58:G62,G61)</f>
        <v>50</v>
      </c>
      <c r="Z61">
        <f>ABS((Y61-H61)/80*100)</f>
        <v>0</v>
      </c>
      <c r="AH61">
        <f>H61-AG2</f>
        <v>49.988800000000005</v>
      </c>
      <c r="AI61">
        <f>100*(AH61-O61)/80</f>
        <v>-24.997049999999994</v>
      </c>
    </row>
    <row r="62" spans="1:41" x14ac:dyDescent="0.35">
      <c r="A62" t="s">
        <v>230</v>
      </c>
      <c r="B62" t="s">
        <v>1111</v>
      </c>
      <c r="C62" t="s">
        <v>2468</v>
      </c>
      <c r="D62">
        <v>25</v>
      </c>
      <c r="E62">
        <v>25</v>
      </c>
      <c r="F62">
        <v>1</v>
      </c>
      <c r="G62">
        <v>0.99990199999999996</v>
      </c>
      <c r="H62">
        <v>50</v>
      </c>
      <c r="J62">
        <v>0</v>
      </c>
      <c r="N62" t="s">
        <v>171</v>
      </c>
      <c r="O62">
        <f t="shared" si="0"/>
        <v>89.996080000000006</v>
      </c>
      <c r="P62">
        <f t="shared" si="1"/>
        <v>-49.995100000000008</v>
      </c>
      <c r="Q62">
        <f t="shared" si="2"/>
        <v>49.995100000000008</v>
      </c>
      <c r="Y62">
        <f>TREND(H58:H62,G58:G62,G62)</f>
        <v>50</v>
      </c>
      <c r="Z62">
        <f>ABS((Y62-H62)/80*100)</f>
        <v>0</v>
      </c>
      <c r="AH62">
        <f>H62-AG2</f>
        <v>49.988800000000005</v>
      </c>
      <c r="AI62">
        <f>100*(AH62-O62)/80</f>
        <v>-50.009100000000004</v>
      </c>
    </row>
    <row r="63" spans="1:41" x14ac:dyDescent="0.35">
      <c r="A63" t="s">
        <v>230</v>
      </c>
      <c r="B63" t="s">
        <v>1111</v>
      </c>
      <c r="C63" t="s">
        <v>2505</v>
      </c>
      <c r="D63">
        <v>25</v>
      </c>
      <c r="E63">
        <v>25</v>
      </c>
      <c r="F63">
        <v>0</v>
      </c>
      <c r="G63">
        <v>2.5000000000000001E-4</v>
      </c>
      <c r="H63">
        <v>50</v>
      </c>
      <c r="J63">
        <v>0</v>
      </c>
      <c r="N63" t="s">
        <v>171</v>
      </c>
      <c r="O63">
        <f t="shared" si="0"/>
        <v>50.010000000000005</v>
      </c>
      <c r="P63">
        <f t="shared" si="1"/>
        <v>-1.2500000000006395E-2</v>
      </c>
      <c r="Q63">
        <f t="shared" si="2"/>
        <v>1.2500000000006395E-2</v>
      </c>
      <c r="Y63">
        <f>TREND(H58:H62,G58:G62,G63)</f>
        <v>50</v>
      </c>
      <c r="Z63">
        <f>ABS((Y63-H63)/80*100)</f>
        <v>0</v>
      </c>
      <c r="AH63">
        <f>H63-AG2</f>
        <v>49.988800000000005</v>
      </c>
      <c r="AI63">
        <f>100*(AH63-O63)/80</f>
        <v>-2.6500000000000412E-2</v>
      </c>
    </row>
    <row r="64" spans="1:41" x14ac:dyDescent="0.35">
      <c r="A64" t="s">
        <v>230</v>
      </c>
      <c r="B64" t="s">
        <v>1111</v>
      </c>
      <c r="C64" t="s">
        <v>2541</v>
      </c>
      <c r="D64">
        <v>25</v>
      </c>
      <c r="E64">
        <v>25</v>
      </c>
      <c r="F64">
        <v>-1</v>
      </c>
      <c r="G64">
        <v>-0.99994000000000005</v>
      </c>
      <c r="H64">
        <v>50</v>
      </c>
      <c r="J64">
        <v>0</v>
      </c>
      <c r="N64" t="s">
        <v>171</v>
      </c>
      <c r="O64">
        <f t="shared" si="0"/>
        <v>10.002399999999998</v>
      </c>
      <c r="P64">
        <f t="shared" si="1"/>
        <v>49.997000000000007</v>
      </c>
      <c r="Q64">
        <f t="shared" si="2"/>
        <v>49.997000000000007</v>
      </c>
      <c r="Y64">
        <f>TREND(H58:H62,G58:G62,G64)</f>
        <v>50</v>
      </c>
      <c r="Z64">
        <f>ABS((Y64-H64)/80*100)</f>
        <v>0</v>
      </c>
      <c r="AH64">
        <f>H64-AG2</f>
        <v>49.988800000000005</v>
      </c>
      <c r="AI64">
        <f>100*(AH64-O64)/80</f>
        <v>49.983000000000004</v>
      </c>
    </row>
    <row r="65" spans="1:41" x14ac:dyDescent="0.35">
      <c r="A65" t="s">
        <v>233</v>
      </c>
      <c r="B65" t="s">
        <v>231</v>
      </c>
      <c r="C65" t="s">
        <v>234</v>
      </c>
      <c r="D65">
        <v>25</v>
      </c>
      <c r="E65">
        <v>25</v>
      </c>
      <c r="F65">
        <v>-1</v>
      </c>
      <c r="G65">
        <v>-0.99997400000000003</v>
      </c>
      <c r="H65">
        <v>10.25625</v>
      </c>
      <c r="J65">
        <v>-6273</v>
      </c>
      <c r="N65" t="s">
        <v>172</v>
      </c>
      <c r="O65">
        <f t="shared" si="0"/>
        <v>10.00104</v>
      </c>
      <c r="P65">
        <f t="shared" si="1"/>
        <v>0.31901249999999992</v>
      </c>
      <c r="Q65">
        <f t="shared" si="2"/>
        <v>0.31901249999999992</v>
      </c>
      <c r="S65">
        <v>50.184375000000003</v>
      </c>
      <c r="T65">
        <v>0.24366875000000121</v>
      </c>
      <c r="U65">
        <v>90.340625000000003</v>
      </c>
      <c r="V65">
        <v>0.43848125000000238</v>
      </c>
      <c r="W65">
        <v>80.084371948242193</v>
      </c>
      <c r="X65">
        <f>(W65-80)/80*100</f>
        <v>0.10546493530274148</v>
      </c>
      <c r="Y65">
        <f>TREND(H65:H69,G65:G69,G65)</f>
        <v>10.152890823789512</v>
      </c>
      <c r="Z65">
        <f>ABS((Y65-H65)/80*100)</f>
        <v>0.12919897026310911</v>
      </c>
      <c r="AA65">
        <f>MAX(Z65:Z69)</f>
        <v>0.14870714733837609</v>
      </c>
      <c r="AB65">
        <f>IF(ABS(MAX(P65:P71)) &gt; ABS(MIN(P65:P71)),MAX(P65:P71), MIN(P65:P71))</f>
        <v>0.43848125000000238</v>
      </c>
      <c r="AC65">
        <f>IF(ABS(AB66)&gt;ABS(AB65),AB66,AB65)</f>
        <v>0.43848125000000238</v>
      </c>
      <c r="AD65">
        <f>MAX(AD66:AD67)</f>
        <v>3.3653124999997175E-2</v>
      </c>
      <c r="AE65">
        <f>MAX(AE66:AE86)</f>
        <v>0.97887499999999905</v>
      </c>
      <c r="AF65">
        <f>MAX(AD65,AA65)</f>
        <v>0.14870714733837609</v>
      </c>
      <c r="AG65">
        <f>H67-O67</f>
        <v>0.19493500000000097</v>
      </c>
      <c r="AH65">
        <f>H65-AG65</f>
        <v>10.061314999999999</v>
      </c>
      <c r="AI65">
        <f>100*(AH65-O65)/80</f>
        <v>7.534374999999871E-2</v>
      </c>
      <c r="AJ65">
        <v>49.989440000000002</v>
      </c>
      <c r="AK65">
        <v>0</v>
      </c>
      <c r="AL65">
        <v>90.145690000000002</v>
      </c>
      <c r="AM65">
        <v>0.19481250000000117</v>
      </c>
      <c r="AN65">
        <f>IF(ABS(MAX(AI65:AI71)) &gt; ABS(MIN(AI65:AI71)),MAX(AI65:AI71), MIN(AI65:AI71))</f>
        <v>0.19481250000000117</v>
      </c>
      <c r="AO65">
        <f>IF(ABS(AN66)&gt;ABS(AN65),AN66,AN65)</f>
        <v>0.19481250000000117</v>
      </c>
    </row>
    <row r="66" spans="1:41" x14ac:dyDescent="0.35">
      <c r="A66" t="s">
        <v>233</v>
      </c>
      <c r="B66" t="s">
        <v>231</v>
      </c>
      <c r="C66" t="s">
        <v>309</v>
      </c>
      <c r="D66">
        <v>25</v>
      </c>
      <c r="E66">
        <v>25</v>
      </c>
      <c r="F66">
        <v>-0.5</v>
      </c>
      <c r="G66">
        <v>-0.49979800000000002</v>
      </c>
      <c r="H66">
        <v>30.082812499999999</v>
      </c>
      <c r="J66">
        <v>-6264</v>
      </c>
      <c r="N66" t="s">
        <v>172</v>
      </c>
      <c r="O66">
        <f t="shared" si="0"/>
        <v>30.00808</v>
      </c>
      <c r="P66">
        <f t="shared" si="1"/>
        <v>9.3415624999999558E-2</v>
      </c>
      <c r="Q66">
        <f t="shared" si="2"/>
        <v>9.3415624999999558E-2</v>
      </c>
      <c r="Y66">
        <f>TREND(H65:H69,G65:G69,G66)</f>
        <v>30.2017782178707</v>
      </c>
      <c r="Z66">
        <f>ABS((Y66-H66)/80*100)</f>
        <v>0.14870714733837609</v>
      </c>
      <c r="AB66">
        <f>IF(ABS(T65) &gt; ABS(V65),T65,V65)</f>
        <v>0.43848125000000238</v>
      </c>
      <c r="AD66">
        <f>ABS(P67-P70)</f>
        <v>3.2121874999999633E-2</v>
      </c>
      <c r="AE66">
        <f>ABS(P93-P65)</f>
        <v>0.11587812499999961</v>
      </c>
      <c r="AH66">
        <f>H66-AG65</f>
        <v>29.887877499999998</v>
      </c>
      <c r="AI66">
        <f>100*(AH66-O66)/80</f>
        <v>-0.15025312500000165</v>
      </c>
      <c r="AN66">
        <f>IF(ABS(AK65) &gt; ABS(AM65),AK65,AM65)</f>
        <v>0.19481250000000117</v>
      </c>
    </row>
    <row r="67" spans="1:41" x14ac:dyDescent="0.35">
      <c r="A67" t="s">
        <v>233</v>
      </c>
      <c r="B67" t="s">
        <v>231</v>
      </c>
      <c r="C67" t="s">
        <v>345</v>
      </c>
      <c r="D67">
        <v>25</v>
      </c>
      <c r="E67">
        <v>25</v>
      </c>
      <c r="F67">
        <v>0</v>
      </c>
      <c r="G67">
        <v>-2.6400000000000002E-4</v>
      </c>
      <c r="H67">
        <v>50.184375000000003</v>
      </c>
      <c r="J67">
        <v>-6264</v>
      </c>
      <c r="N67" t="s">
        <v>172</v>
      </c>
      <c r="O67">
        <f t="shared" si="0"/>
        <v>49.989440000000002</v>
      </c>
      <c r="P67">
        <f t="shared" si="1"/>
        <v>0.24366875000000121</v>
      </c>
      <c r="Q67">
        <f t="shared" si="2"/>
        <v>0.24366875000000121</v>
      </c>
      <c r="Y67">
        <f>TREND(H65:H69,G65:G69,G67)</f>
        <v>50.224931898804918</v>
      </c>
      <c r="Z67">
        <f>ABS((Y67-H67)/80*100)</f>
        <v>5.0696123506144275E-2</v>
      </c>
      <c r="AD67">
        <f>ABS(P65-P71)</f>
        <v>3.3653124999997175E-2</v>
      </c>
      <c r="AE67">
        <f>ABS(P94-P66)</f>
        <v>0.1853875000000027</v>
      </c>
      <c r="AH67">
        <f>H67-AG65</f>
        <v>49.989440000000002</v>
      </c>
      <c r="AI67">
        <f>100*(AH67-O67)/80</f>
        <v>0</v>
      </c>
    </row>
    <row r="68" spans="1:41" x14ac:dyDescent="0.35">
      <c r="A68" t="s">
        <v>233</v>
      </c>
      <c r="B68" t="s">
        <v>231</v>
      </c>
      <c r="C68" t="s">
        <v>382</v>
      </c>
      <c r="D68">
        <v>25</v>
      </c>
      <c r="E68">
        <v>25</v>
      </c>
      <c r="F68">
        <v>0.5</v>
      </c>
      <c r="G68">
        <v>0.49999199999999999</v>
      </c>
      <c r="H68">
        <v>70.301562500000003</v>
      </c>
      <c r="J68">
        <v>-6264</v>
      </c>
      <c r="N68" t="s">
        <v>172</v>
      </c>
      <c r="O68">
        <f t="shared" si="0"/>
        <v>69.999679999999998</v>
      </c>
      <c r="P68">
        <f t="shared" si="1"/>
        <v>0.37735312500000617</v>
      </c>
      <c r="Q68">
        <f t="shared" si="2"/>
        <v>0.37735312500000617</v>
      </c>
      <c r="Y68">
        <f>TREND(H65:H69,G65:G69,G68)</f>
        <v>70.277025986113131</v>
      </c>
      <c r="Z68">
        <f>ABS((Y68-H68)/80*100)</f>
        <v>3.0670642358590076E-2</v>
      </c>
      <c r="AE68">
        <f>ABS(P95-P67)</f>
        <v>1.4428124999996683E-2</v>
      </c>
      <c r="AH68">
        <f>H68-AG65</f>
        <v>70.106627500000002</v>
      </c>
      <c r="AI68">
        <f>100*(AH68-O68)/80</f>
        <v>0.13368437500000496</v>
      </c>
    </row>
    <row r="69" spans="1:41" x14ac:dyDescent="0.35">
      <c r="A69" t="s">
        <v>233</v>
      </c>
      <c r="B69" t="s">
        <v>231</v>
      </c>
      <c r="C69" t="s">
        <v>419</v>
      </c>
      <c r="D69">
        <v>25</v>
      </c>
      <c r="E69">
        <v>25</v>
      </c>
      <c r="F69">
        <v>1</v>
      </c>
      <c r="G69">
        <v>0.99974600000000002</v>
      </c>
      <c r="H69">
        <v>90.340625000000003</v>
      </c>
      <c r="J69">
        <v>-6262</v>
      </c>
      <c r="N69" t="s">
        <v>172</v>
      </c>
      <c r="O69">
        <f t="shared" si="0"/>
        <v>89.989840000000001</v>
      </c>
      <c r="P69">
        <f t="shared" si="1"/>
        <v>0.43848125000000238</v>
      </c>
      <c r="Q69">
        <f t="shared" si="2"/>
        <v>0.43848125000000238</v>
      </c>
      <c r="Y69">
        <f>TREND(H65:H69,G65:G69,G69)</f>
        <v>90.308998073421705</v>
      </c>
      <c r="Z69">
        <f>ABS((Y69-H69)/80*100)</f>
        <v>3.9533658222872248E-2</v>
      </c>
      <c r="AE69">
        <f>ABS(P96-P68)</f>
        <v>4.6256249999991894E-2</v>
      </c>
      <c r="AH69">
        <f>H69-AG65</f>
        <v>90.145690000000002</v>
      </c>
      <c r="AI69">
        <f>100*(AH69-O69)/80</f>
        <v>0.19481250000000117</v>
      </c>
    </row>
    <row r="70" spans="1:41" x14ac:dyDescent="0.35">
      <c r="A70" t="s">
        <v>233</v>
      </c>
      <c r="B70" t="s">
        <v>231</v>
      </c>
      <c r="C70" t="s">
        <v>456</v>
      </c>
      <c r="D70">
        <v>25</v>
      </c>
      <c r="E70">
        <v>25</v>
      </c>
      <c r="F70">
        <v>0</v>
      </c>
      <c r="G70">
        <v>1.05E-4</v>
      </c>
      <c r="H70">
        <v>50.173437499999999</v>
      </c>
      <c r="J70">
        <v>-6262</v>
      </c>
      <c r="N70" t="s">
        <v>172</v>
      </c>
      <c r="O70">
        <f t="shared" si="0"/>
        <v>50.004199999999997</v>
      </c>
      <c r="P70">
        <f t="shared" si="1"/>
        <v>0.21154687500000158</v>
      </c>
      <c r="Q70">
        <f t="shared" si="2"/>
        <v>0.21154687500000158</v>
      </c>
      <c r="Y70">
        <f>TREND(H65:H69,G65:G69,G70)</f>
        <v>50.239722771314625</v>
      </c>
      <c r="Z70">
        <f>ABS((Y70-H70)/80*100)</f>
        <v>8.2856589143283088E-2</v>
      </c>
      <c r="AE70">
        <f>ABS(P97-P69)</f>
        <v>6.3406249999964359E-3</v>
      </c>
      <c r="AH70">
        <f>H70-AG65</f>
        <v>49.978502499999998</v>
      </c>
      <c r="AI70">
        <f>100*(AH70-O70)/80</f>
        <v>-3.2121874999999633E-2</v>
      </c>
    </row>
    <row r="71" spans="1:41" x14ac:dyDescent="0.35">
      <c r="A71" t="s">
        <v>233</v>
      </c>
      <c r="B71" t="s">
        <v>231</v>
      </c>
      <c r="C71" t="s">
        <v>493</v>
      </c>
      <c r="D71">
        <v>25</v>
      </c>
      <c r="E71">
        <v>25</v>
      </c>
      <c r="F71">
        <v>-1</v>
      </c>
      <c r="G71">
        <v>-0.99998299999999996</v>
      </c>
      <c r="H71">
        <v>10.2828125</v>
      </c>
      <c r="J71">
        <v>-6270</v>
      </c>
      <c r="N71" t="s">
        <v>172</v>
      </c>
      <c r="O71">
        <f t="shared" si="0"/>
        <v>10.000680000000003</v>
      </c>
      <c r="P71">
        <f t="shared" si="1"/>
        <v>0.3526656249999971</v>
      </c>
      <c r="Q71">
        <f t="shared" si="2"/>
        <v>0.3526656249999971</v>
      </c>
      <c r="Y71">
        <f>TREND(H65:H69,G65:G69,G71)</f>
        <v>10.152530070801475</v>
      </c>
      <c r="Z71">
        <f>ABS((Y71-H71)/80*100)</f>
        <v>0.16285303649815619</v>
      </c>
      <c r="AE71">
        <f>ABS(P98-P70)</f>
        <v>0.11166874999999798</v>
      </c>
      <c r="AH71">
        <f>H71-AG65</f>
        <v>10.087877499999999</v>
      </c>
      <c r="AI71">
        <f>100*(AH71-O71)/80</f>
        <v>0.10899687499999589</v>
      </c>
    </row>
    <row r="72" spans="1:41" x14ac:dyDescent="0.35">
      <c r="A72" t="s">
        <v>233</v>
      </c>
      <c r="B72" t="s">
        <v>231</v>
      </c>
      <c r="C72" t="s">
        <v>530</v>
      </c>
      <c r="D72">
        <v>-20</v>
      </c>
      <c r="E72">
        <v>-20</v>
      </c>
      <c r="F72">
        <v>-1</v>
      </c>
      <c r="G72">
        <v>-0.99993600000000005</v>
      </c>
      <c r="H72">
        <v>10.9046875</v>
      </c>
      <c r="J72">
        <v>-23813</v>
      </c>
      <c r="N72" t="s">
        <v>172</v>
      </c>
      <c r="O72">
        <f t="shared" si="0"/>
        <v>10.002559999999999</v>
      </c>
      <c r="P72">
        <f t="shared" si="1"/>
        <v>1.1276593750000008</v>
      </c>
      <c r="Q72">
        <f t="shared" si="2"/>
        <v>1.1276593750000008</v>
      </c>
      <c r="S72">
        <v>50.604687499999997</v>
      </c>
      <c r="T72">
        <v>0.72620937499999094</v>
      </c>
      <c r="U72">
        <v>90.5703125</v>
      </c>
      <c r="V72">
        <v>0.7096906249999968</v>
      </c>
      <c r="W72">
        <v>79.665625000000006</v>
      </c>
      <c r="X72">
        <f>(W72-80)/80*100</f>
        <v>-0.41796874999999289</v>
      </c>
      <c r="Y72">
        <f>TREND(H72:H76,G72:G76,G72)</f>
        <v>10.780052650648138</v>
      </c>
      <c r="Z72">
        <f>ABS((Y72-H72)/80*100)</f>
        <v>0.15579356168982761</v>
      </c>
      <c r="AA72">
        <f>MAX(Z72:Z76)</f>
        <v>0.16730382709035041</v>
      </c>
      <c r="AB72">
        <f>IF(ABS(MAX(P72:P78)) &gt; ABS(MIN(P72:P78)),MAX(P72:P78), MIN(P72:P78))</f>
        <v>1.1637187500000001</v>
      </c>
      <c r="AC72">
        <f>IF(ABS(AB73)&gt;ABS(AB72),AB73,AB72)</f>
        <v>1.1637187500000001</v>
      </c>
      <c r="AE72">
        <f>ABS(P99-P71)</f>
        <v>7.6078125000003105E-2</v>
      </c>
      <c r="AH72">
        <f>H72-AG65</f>
        <v>10.709752499999999</v>
      </c>
      <c r="AI72">
        <f>100*(AH72-O72)/80</f>
        <v>0.88399062499999947</v>
      </c>
      <c r="AJ72">
        <v>50.409752499999996</v>
      </c>
      <c r="AK72">
        <v>0.48254062499998973</v>
      </c>
      <c r="AL72">
        <v>90.375377499999999</v>
      </c>
      <c r="AM72">
        <v>0.46602187499999559</v>
      </c>
      <c r="AN72">
        <f>IF(ABS(MAX(AI72:AI78)) &gt; ABS(MIN(AI72:AI78)),MAX(AI72:AI78), MIN(AI72:AI78))</f>
        <v>0.92004999999999892</v>
      </c>
      <c r="AO72">
        <f>IF(ABS(AN73)&gt;ABS(AN72),AN73,AN72)</f>
        <v>0.92004999999999892</v>
      </c>
    </row>
    <row r="73" spans="1:41" x14ac:dyDescent="0.35">
      <c r="A73" t="s">
        <v>233</v>
      </c>
      <c r="B73" t="s">
        <v>231</v>
      </c>
      <c r="C73" t="s">
        <v>567</v>
      </c>
      <c r="D73">
        <v>-20</v>
      </c>
      <c r="E73">
        <v>-20.100000000000001</v>
      </c>
      <c r="F73">
        <v>-0.5</v>
      </c>
      <c r="G73">
        <v>-0.49967299999999998</v>
      </c>
      <c r="H73">
        <v>30.596875000000001</v>
      </c>
      <c r="J73">
        <v>-23845</v>
      </c>
      <c r="N73" t="s">
        <v>172</v>
      </c>
      <c r="O73">
        <f t="shared" ref="O73:O136" si="3">(((G73--1)*(40))+10)</f>
        <v>30.013079999999999</v>
      </c>
      <c r="P73">
        <f t="shared" ref="P73:P136" si="4">100*(H73-O73)/80</f>
        <v>0.72974375000000258</v>
      </c>
      <c r="Q73">
        <f t="shared" ref="Q73:Q136" si="5">ABS(P73)</f>
        <v>0.72974375000000258</v>
      </c>
      <c r="Y73">
        <f>TREND(H72:H76,G72:G76,G73)</f>
        <v>30.730718061672281</v>
      </c>
      <c r="Z73">
        <f>ABS((Y73-H73)/80*100)</f>
        <v>0.16730382709035041</v>
      </c>
      <c r="AB73">
        <f>IF(ABS(T72) &gt; ABS(V72),T72,V72)</f>
        <v>0.72620937499999094</v>
      </c>
      <c r="AE73">
        <f>ABS(P121-P65)</f>
        <v>0.97887499999999905</v>
      </c>
      <c r="AH73">
        <f>H73-AG65</f>
        <v>30.40194</v>
      </c>
      <c r="AI73">
        <f>100*(AH73-O73)/80</f>
        <v>0.48607500000000137</v>
      </c>
      <c r="AN73">
        <f>IF(ABS(AK72) &gt; ABS(AM72),AK72,AM72)</f>
        <v>0.48254062499998973</v>
      </c>
    </row>
    <row r="74" spans="1:41" x14ac:dyDescent="0.35">
      <c r="A74" t="s">
        <v>233</v>
      </c>
      <c r="B74" t="s">
        <v>231</v>
      </c>
      <c r="C74" t="s">
        <v>604</v>
      </c>
      <c r="D74">
        <v>-20</v>
      </c>
      <c r="E74">
        <v>-19.899999999999999</v>
      </c>
      <c r="F74">
        <v>0</v>
      </c>
      <c r="G74">
        <v>5.9299999999999999E-4</v>
      </c>
      <c r="H74">
        <v>50.604687499999997</v>
      </c>
      <c r="J74">
        <v>-23871</v>
      </c>
      <c r="N74" t="s">
        <v>172</v>
      </c>
      <c r="O74">
        <f t="shared" si="3"/>
        <v>50.023720000000004</v>
      </c>
      <c r="P74">
        <f t="shared" si="4"/>
        <v>0.72620937499999094</v>
      </c>
      <c r="Q74">
        <f t="shared" si="5"/>
        <v>0.72620937499999094</v>
      </c>
      <c r="Y74">
        <f>TREND(H72:H76,G72:G76,G74)</f>
        <v>50.681503113757685</v>
      </c>
      <c r="Z74">
        <f>ABS((Y74-H74)/80*100)</f>
        <v>9.6019517197110105E-2</v>
      </c>
      <c r="AE74">
        <f>ABS(P122-P66)</f>
        <v>6.5303124999998019E-2</v>
      </c>
      <c r="AH74">
        <f>H74-AG65</f>
        <v>50.409752499999996</v>
      </c>
      <c r="AI74">
        <f>100*(AH74-O74)/80</f>
        <v>0.48254062499998973</v>
      </c>
    </row>
    <row r="75" spans="1:41" x14ac:dyDescent="0.35">
      <c r="A75" t="s">
        <v>233</v>
      </c>
      <c r="B75" t="s">
        <v>231</v>
      </c>
      <c r="C75" t="s">
        <v>639</v>
      </c>
      <c r="D75">
        <v>-20</v>
      </c>
      <c r="E75">
        <v>-20.100000000000001</v>
      </c>
      <c r="F75">
        <v>0.5</v>
      </c>
      <c r="G75">
        <v>0.50008300000000006</v>
      </c>
      <c r="H75">
        <v>70.657812500000006</v>
      </c>
      <c r="J75">
        <v>-23903</v>
      </c>
      <c r="N75" t="s">
        <v>172</v>
      </c>
      <c r="O75">
        <f t="shared" si="3"/>
        <v>70.003320000000002</v>
      </c>
      <c r="P75">
        <f t="shared" si="4"/>
        <v>0.81811562500000434</v>
      </c>
      <c r="Q75">
        <f t="shared" si="5"/>
        <v>0.81811562500000434</v>
      </c>
      <c r="Y75">
        <f>TREND(H72:H76,G72:G76,G75)</f>
        <v>70.601341011328458</v>
      </c>
      <c r="Z75">
        <f>ABS((Y75-H75)/80*100)</f>
        <v>7.0589360839434789E-2</v>
      </c>
      <c r="AE75">
        <f>ABS(P123-P67)</f>
        <v>6.9787500000000335E-2</v>
      </c>
      <c r="AH75">
        <f>H75-AG65</f>
        <v>70.462877500000005</v>
      </c>
      <c r="AI75">
        <f>100*(AH75-O75)/80</f>
        <v>0.57444687500000313</v>
      </c>
    </row>
    <row r="76" spans="1:41" x14ac:dyDescent="0.35">
      <c r="A76" t="s">
        <v>233</v>
      </c>
      <c r="B76" t="s">
        <v>231</v>
      </c>
      <c r="C76" t="s">
        <v>676</v>
      </c>
      <c r="D76">
        <v>-20</v>
      </c>
      <c r="E76">
        <v>-19.899999999999999</v>
      </c>
      <c r="F76">
        <v>1</v>
      </c>
      <c r="G76">
        <v>1.0000640000000001</v>
      </c>
      <c r="H76">
        <v>90.5703125</v>
      </c>
      <c r="J76">
        <v>-23916</v>
      </c>
      <c r="N76" t="s">
        <v>172</v>
      </c>
      <c r="O76">
        <f t="shared" si="3"/>
        <v>90.002560000000003</v>
      </c>
      <c r="P76">
        <f t="shared" si="4"/>
        <v>0.7096906249999968</v>
      </c>
      <c r="Q76">
        <f t="shared" si="5"/>
        <v>0.7096906249999968</v>
      </c>
      <c r="Y76">
        <f>TREND(H72:H76,G72:G76,G76)</f>
        <v>90.540760162593415</v>
      </c>
      <c r="Z76">
        <f>ABS((Y76-H76)/80*100)</f>
        <v>3.6940421758231423E-2</v>
      </c>
      <c r="AE76">
        <f>ABS(P124-P68)</f>
        <v>5.3565624999993844E-2</v>
      </c>
      <c r="AH76">
        <f>H76-AG65</f>
        <v>90.375377499999999</v>
      </c>
      <c r="AI76">
        <f>100*(AH76-O76)/80</f>
        <v>0.46602187499999559</v>
      </c>
    </row>
    <row r="77" spans="1:41" x14ac:dyDescent="0.35">
      <c r="A77" t="s">
        <v>233</v>
      </c>
      <c r="B77" t="s">
        <v>231</v>
      </c>
      <c r="C77" t="s">
        <v>713</v>
      </c>
      <c r="D77">
        <v>-20</v>
      </c>
      <c r="E77">
        <v>-19.899999999999999</v>
      </c>
      <c r="F77">
        <v>0</v>
      </c>
      <c r="G77">
        <v>9.4899999999999997E-4</v>
      </c>
      <c r="H77">
        <v>50.559375000000003</v>
      </c>
      <c r="J77">
        <v>-23948</v>
      </c>
      <c r="N77" t="s">
        <v>172</v>
      </c>
      <c r="O77">
        <f t="shared" si="3"/>
        <v>50.037960000000005</v>
      </c>
      <c r="P77">
        <f t="shared" si="4"/>
        <v>0.6517687499999969</v>
      </c>
      <c r="Q77">
        <f t="shared" si="5"/>
        <v>0.6517687499999969</v>
      </c>
      <c r="Y77">
        <f>TREND(H72:H76,G72:G76,G77)</f>
        <v>50.69570051969481</v>
      </c>
      <c r="Z77">
        <f>ABS((Y77-H77)/80*100)</f>
        <v>0.1704068996185093</v>
      </c>
      <c r="AE77">
        <f>ABS(P125-P69)</f>
        <v>3.6562500000059117E-4</v>
      </c>
      <c r="AH77">
        <f>H77-AG65</f>
        <v>50.364440000000002</v>
      </c>
      <c r="AI77">
        <f>100*(AH77-O77)/80</f>
        <v>0.40809999999999569</v>
      </c>
    </row>
    <row r="78" spans="1:41" x14ac:dyDescent="0.35">
      <c r="A78" t="s">
        <v>233</v>
      </c>
      <c r="B78" t="s">
        <v>231</v>
      </c>
      <c r="C78" t="s">
        <v>748</v>
      </c>
      <c r="D78">
        <v>-20</v>
      </c>
      <c r="E78">
        <v>-20</v>
      </c>
      <c r="F78">
        <v>-1</v>
      </c>
      <c r="G78">
        <v>-0.999915</v>
      </c>
      <c r="H78">
        <v>10.934374999999999</v>
      </c>
      <c r="J78">
        <v>-23976</v>
      </c>
      <c r="N78" t="s">
        <v>172</v>
      </c>
      <c r="O78">
        <f t="shared" si="3"/>
        <v>10.003399999999999</v>
      </c>
      <c r="P78">
        <f t="shared" si="4"/>
        <v>1.1637187500000001</v>
      </c>
      <c r="Q78">
        <f t="shared" si="5"/>
        <v>1.1637187500000001</v>
      </c>
      <c r="Y78">
        <f>TREND(H72:H76,G72:G76,G78)</f>
        <v>10.780890138077019</v>
      </c>
      <c r="Z78">
        <f>ABS((Y78-H78)/80*100)</f>
        <v>0.19185607740372479</v>
      </c>
      <c r="AE78">
        <f>ABS(P126-P70)</f>
        <v>3.5309375000007748E-2</v>
      </c>
      <c r="AH78">
        <f>H78-AG65</f>
        <v>10.739439999999998</v>
      </c>
      <c r="AI78">
        <f>100*(AH78-O78)/80</f>
        <v>0.92004999999999892</v>
      </c>
    </row>
    <row r="79" spans="1:41" x14ac:dyDescent="0.35">
      <c r="A79" t="s">
        <v>233</v>
      </c>
      <c r="B79" t="s">
        <v>231</v>
      </c>
      <c r="C79" t="s">
        <v>785</v>
      </c>
      <c r="D79">
        <v>0</v>
      </c>
      <c r="E79">
        <v>0</v>
      </c>
      <c r="F79">
        <v>-1</v>
      </c>
      <c r="G79">
        <v>-0.99994700000000003</v>
      </c>
      <c r="H79">
        <v>10.479687500000001</v>
      </c>
      <c r="J79">
        <v>-16702</v>
      </c>
      <c r="N79" t="s">
        <v>172</v>
      </c>
      <c r="O79">
        <f t="shared" si="3"/>
        <v>10.002119999999998</v>
      </c>
      <c r="P79">
        <f t="shared" si="4"/>
        <v>0.59695937500000351</v>
      </c>
      <c r="Q79">
        <f t="shared" si="5"/>
        <v>0.59695937500000351</v>
      </c>
      <c r="S79">
        <v>50.328125</v>
      </c>
      <c r="T79">
        <v>0.41305624999999679</v>
      </c>
      <c r="U79">
        <v>90.490624999999994</v>
      </c>
      <c r="V79">
        <v>0.64343124999998835</v>
      </c>
      <c r="W79">
        <v>80.010935974121097</v>
      </c>
      <c r="X79">
        <f>(W79-80)/80*100</f>
        <v>1.3669967651370742E-2</v>
      </c>
      <c r="Y79">
        <f>TREND(H79:H83,G79:G83,G79)</f>
        <v>10.440907048072681</v>
      </c>
      <c r="Z79">
        <f>ABS((Y79-H79)/80*100)</f>
        <v>4.8475564909149504E-2</v>
      </c>
      <c r="AA79">
        <f>MAX(Z79:Z83)</f>
        <v>0.13264375358541081</v>
      </c>
      <c r="AB79">
        <f>IF(ABS(MAX(P79:P85)) &gt; ABS(MIN(P79:P85)),MAX(P79:P85), MIN(P79:P85))</f>
        <v>0.65926249999999964</v>
      </c>
      <c r="AC79">
        <f>IF(ABS(AB80)&gt;ABS(AB79),AB80,AB79)</f>
        <v>0.65926249999999964</v>
      </c>
      <c r="AE79">
        <f>ABS(P127-P71)</f>
        <v>0.17427499999999707</v>
      </c>
      <c r="AH79">
        <f>H79-AG65</f>
        <v>10.2847525</v>
      </c>
      <c r="AI79">
        <f>100*(AH79-O79)/80</f>
        <v>0.3532906250000023</v>
      </c>
      <c r="AJ79">
        <v>50.133189999999999</v>
      </c>
      <c r="AK79">
        <v>0.16938749999999558</v>
      </c>
      <c r="AL79">
        <v>90.295689999999993</v>
      </c>
      <c r="AM79">
        <v>0.39976249999998714</v>
      </c>
      <c r="AN79">
        <f>IF(ABS(MAX(AI79:AI85)) &gt; ABS(MIN(AI79:AI85)),MAX(AI79:AI85), MIN(AI79:AI85))</f>
        <v>0.41559374999999843</v>
      </c>
      <c r="AO79">
        <f>IF(ABS(AN80)&gt;ABS(AN79),AN80,AN79)</f>
        <v>0.41559374999999843</v>
      </c>
    </row>
    <row r="80" spans="1:41" x14ac:dyDescent="0.35">
      <c r="A80" t="s">
        <v>233</v>
      </c>
      <c r="B80" t="s">
        <v>231</v>
      </c>
      <c r="C80" t="s">
        <v>822</v>
      </c>
      <c r="D80">
        <v>0</v>
      </c>
      <c r="E80">
        <v>0.1</v>
      </c>
      <c r="F80">
        <v>-0.5</v>
      </c>
      <c r="G80">
        <v>-0.50045099999999998</v>
      </c>
      <c r="H80">
        <v>30.454687499999999</v>
      </c>
      <c r="J80">
        <v>-16691</v>
      </c>
      <c r="N80" t="s">
        <v>172</v>
      </c>
      <c r="O80">
        <f t="shared" si="3"/>
        <v>29.981960000000001</v>
      </c>
      <c r="P80">
        <f t="shared" si="4"/>
        <v>0.59090937499999718</v>
      </c>
      <c r="Q80">
        <f t="shared" si="5"/>
        <v>0.59090937499999718</v>
      </c>
      <c r="Y80">
        <f>TREND(H79:H83,G79:G83,G80)</f>
        <v>30.419634524411165</v>
      </c>
      <c r="Z80">
        <f>ABS((Y80-H80)/80*100)</f>
        <v>4.3816219486041419E-2</v>
      </c>
      <c r="AB80">
        <f>IF(ABS(T79) &gt; ABS(V79),T79,V79)</f>
        <v>0.64343124999998835</v>
      </c>
      <c r="AE80">
        <f>ABS(P121-P93)</f>
        <v>0.86299687499999944</v>
      </c>
      <c r="AH80">
        <f>H80-AG65</f>
        <v>30.259752499999998</v>
      </c>
      <c r="AI80">
        <f>100*(AH80-O80)/80</f>
        <v>0.34724062499999597</v>
      </c>
      <c r="AN80">
        <f>IF(ABS(AK79) &gt; ABS(AM79),AK79,AM79)</f>
        <v>0.39976249999998714</v>
      </c>
    </row>
    <row r="81" spans="1:41" x14ac:dyDescent="0.35">
      <c r="A81" t="s">
        <v>233</v>
      </c>
      <c r="B81" t="s">
        <v>231</v>
      </c>
      <c r="C81" t="s">
        <v>858</v>
      </c>
      <c r="D81">
        <v>0</v>
      </c>
      <c r="E81">
        <v>0</v>
      </c>
      <c r="F81">
        <v>0</v>
      </c>
      <c r="G81">
        <v>-5.8E-5</v>
      </c>
      <c r="H81">
        <v>50.328125</v>
      </c>
      <c r="J81">
        <v>-16677</v>
      </c>
      <c r="N81" t="s">
        <v>172</v>
      </c>
      <c r="O81">
        <f t="shared" si="3"/>
        <v>49.997680000000003</v>
      </c>
      <c r="P81">
        <f t="shared" si="4"/>
        <v>0.41305624999999679</v>
      </c>
      <c r="Q81">
        <f t="shared" si="5"/>
        <v>0.41305624999999679</v>
      </c>
      <c r="Y81">
        <f>TREND(H79:H83,G79:G83,G81)</f>
        <v>50.434240002868329</v>
      </c>
      <c r="Z81">
        <f>ABS((Y81-H81)/80*100)</f>
        <v>0.13264375358541081</v>
      </c>
      <c r="AE81">
        <f>ABS(P122-P94)</f>
        <v>0.25069062500000072</v>
      </c>
      <c r="AH81">
        <f>H81-AG65</f>
        <v>50.133189999999999</v>
      </c>
      <c r="AI81">
        <f>100*(AH81-O81)/80</f>
        <v>0.16938749999999558</v>
      </c>
    </row>
    <row r="82" spans="1:41" x14ac:dyDescent="0.35">
      <c r="A82" t="s">
        <v>233</v>
      </c>
      <c r="B82" t="s">
        <v>231</v>
      </c>
      <c r="C82" t="s">
        <v>894</v>
      </c>
      <c r="D82">
        <v>0</v>
      </c>
      <c r="E82">
        <v>0.1</v>
      </c>
      <c r="F82">
        <v>0.5</v>
      </c>
      <c r="G82">
        <v>0.49965300000000001</v>
      </c>
      <c r="H82">
        <v>70.373437499999994</v>
      </c>
      <c r="J82">
        <v>-16661</v>
      </c>
      <c r="N82" t="s">
        <v>172</v>
      </c>
      <c r="O82">
        <f t="shared" si="3"/>
        <v>69.98612</v>
      </c>
      <c r="P82">
        <f t="shared" si="4"/>
        <v>0.48414687499999332</v>
      </c>
      <c r="Q82">
        <f t="shared" si="5"/>
        <v>0.48414687499999332</v>
      </c>
      <c r="Y82">
        <f>TREND(H79:H83,G79:G83,G82)</f>
        <v>70.421567000338939</v>
      </c>
      <c r="Z82">
        <f>ABS((Y82-H82)/80*100)</f>
        <v>6.016187542368101E-2</v>
      </c>
      <c r="AE82">
        <f>ABS(P123-P95)</f>
        <v>5.5359375000003652E-2</v>
      </c>
      <c r="AH82">
        <f>H82-AG65</f>
        <v>70.178502499999993</v>
      </c>
      <c r="AI82">
        <f>100*(AH82-O82)/80</f>
        <v>0.2404781249999921</v>
      </c>
    </row>
    <row r="83" spans="1:41" x14ac:dyDescent="0.35">
      <c r="A83" t="s">
        <v>233</v>
      </c>
      <c r="B83" t="s">
        <v>231</v>
      </c>
      <c r="C83" t="s">
        <v>931</v>
      </c>
      <c r="D83">
        <v>0</v>
      </c>
      <c r="E83">
        <v>0.1</v>
      </c>
      <c r="F83">
        <v>1</v>
      </c>
      <c r="G83">
        <v>0.99939699999999998</v>
      </c>
      <c r="H83">
        <v>90.490624999999994</v>
      </c>
      <c r="J83">
        <v>-16657</v>
      </c>
      <c r="N83" t="s">
        <v>172</v>
      </c>
      <c r="O83">
        <f t="shared" si="3"/>
        <v>89.975880000000004</v>
      </c>
      <c r="P83">
        <f t="shared" si="4"/>
        <v>0.64343124999998835</v>
      </c>
      <c r="Q83">
        <f t="shared" si="5"/>
        <v>0.64343124999998835</v>
      </c>
      <c r="Y83">
        <f>TREND(H79:H83,G79:G83,G83)</f>
        <v>90.410213924308891</v>
      </c>
      <c r="Z83">
        <f>ABS((Y83-H83)/80*100)</f>
        <v>0.1005138446138787</v>
      </c>
      <c r="AE83">
        <f>ABS(P124-P96)</f>
        <v>9.9821874999985738E-2</v>
      </c>
      <c r="AH83">
        <f>H83-AG65</f>
        <v>90.295689999999993</v>
      </c>
      <c r="AI83">
        <f>100*(AH83-O83)/80</f>
        <v>0.39976249999998714</v>
      </c>
    </row>
    <row r="84" spans="1:41" x14ac:dyDescent="0.35">
      <c r="A84" t="s">
        <v>233</v>
      </c>
      <c r="B84" t="s">
        <v>231</v>
      </c>
      <c r="C84" t="s">
        <v>968</v>
      </c>
      <c r="D84">
        <v>0</v>
      </c>
      <c r="E84">
        <v>-0.1</v>
      </c>
      <c r="F84">
        <v>0</v>
      </c>
      <c r="G84">
        <v>5.1E-5</v>
      </c>
      <c r="H84">
        <v>50.325000000000003</v>
      </c>
      <c r="J84">
        <v>-16657</v>
      </c>
      <c r="N84" t="s">
        <v>172</v>
      </c>
      <c r="O84">
        <f t="shared" si="3"/>
        <v>50.002040000000001</v>
      </c>
      <c r="P84">
        <f t="shared" si="4"/>
        <v>0.40370000000000239</v>
      </c>
      <c r="Q84">
        <f t="shared" si="5"/>
        <v>0.40370000000000239</v>
      </c>
      <c r="Y84">
        <f>TREND(H79:H83,G79:G83,G84)</f>
        <v>50.438599760093453</v>
      </c>
      <c r="Z84">
        <f>ABS((Y84-H84)/80*100)</f>
        <v>0.14199970011681273</v>
      </c>
      <c r="AE84">
        <f>ABS(P125-P97)</f>
        <v>5.9749999999958447E-3</v>
      </c>
      <c r="AH84">
        <f>H84-AG65</f>
        <v>50.130065000000002</v>
      </c>
      <c r="AI84">
        <f>100*(AH84-O84)/80</f>
        <v>0.16003125000000118</v>
      </c>
    </row>
    <row r="85" spans="1:41" x14ac:dyDescent="0.35">
      <c r="A85" t="s">
        <v>233</v>
      </c>
      <c r="B85" t="s">
        <v>231</v>
      </c>
      <c r="C85" t="s">
        <v>1004</v>
      </c>
      <c r="D85">
        <v>0</v>
      </c>
      <c r="E85">
        <v>0</v>
      </c>
      <c r="F85">
        <v>-1</v>
      </c>
      <c r="G85">
        <v>-0.99990400000000002</v>
      </c>
      <c r="H85">
        <v>10.53125</v>
      </c>
      <c r="J85">
        <v>-16634</v>
      </c>
      <c r="N85" t="s">
        <v>172</v>
      </c>
      <c r="O85">
        <f t="shared" si="3"/>
        <v>10.00384</v>
      </c>
      <c r="P85">
        <f t="shared" si="4"/>
        <v>0.65926249999999964</v>
      </c>
      <c r="Q85">
        <f t="shared" si="5"/>
        <v>0.65926249999999964</v>
      </c>
      <c r="Y85">
        <f>TREND(H79:H83,G79:G83,G85)</f>
        <v>10.442626952299108</v>
      </c>
      <c r="Z85">
        <f>ABS((Y85-H85)/80*100)</f>
        <v>0.1107788096261153</v>
      </c>
      <c r="AE85">
        <f>ABS(P126-P98)</f>
        <v>0.14697812500000573</v>
      </c>
      <c r="AH85">
        <f>H85-AG65</f>
        <v>10.336314999999999</v>
      </c>
      <c r="AI85">
        <f>100*(AH85-O85)/80</f>
        <v>0.41559374999999843</v>
      </c>
    </row>
    <row r="86" spans="1:41" x14ac:dyDescent="0.35">
      <c r="A86" t="s">
        <v>233</v>
      </c>
      <c r="B86" t="s">
        <v>231</v>
      </c>
      <c r="C86" t="s">
        <v>1040</v>
      </c>
      <c r="D86">
        <v>10</v>
      </c>
      <c r="E86">
        <v>10</v>
      </c>
      <c r="F86">
        <v>-1</v>
      </c>
      <c r="G86">
        <v>-1.0002359999999999</v>
      </c>
      <c r="H86">
        <v>10.442187499999999</v>
      </c>
      <c r="J86">
        <v>-12392</v>
      </c>
      <c r="N86" t="s">
        <v>172</v>
      </c>
      <c r="O86">
        <f t="shared" si="3"/>
        <v>9.9905600000000039</v>
      </c>
      <c r="P86">
        <f t="shared" si="4"/>
        <v>0.56453437499999426</v>
      </c>
      <c r="Q86">
        <f t="shared" si="5"/>
        <v>0.56453437499999426</v>
      </c>
      <c r="S86">
        <v>50.274999999999999</v>
      </c>
      <c r="T86">
        <v>0.35355000000000025</v>
      </c>
      <c r="U86">
        <v>90.371875000000003</v>
      </c>
      <c r="V86">
        <v>0.49299375000000367</v>
      </c>
      <c r="W86">
        <v>79.929684448242185</v>
      </c>
      <c r="X86">
        <f>(W86-80)/80*100</f>
        <v>-8.7894439697269178E-2</v>
      </c>
      <c r="Y86">
        <f>TREND(H86:H90,G86:G90,G86)</f>
        <v>10.35314050275602</v>
      </c>
      <c r="Z86">
        <f>ABS((Y86-H86)/80*100)</f>
        <v>0.11130874655497446</v>
      </c>
      <c r="AA86">
        <f>MAX(Z86:Z90)</f>
        <v>0.11130874655497446</v>
      </c>
      <c r="AB86">
        <f>IF(ABS(MAX(P86:P92)) &gt; ABS(MIN(P86:P92)),MAX(P86:P92), MIN(P86:P92))</f>
        <v>0.56752500000000206</v>
      </c>
      <c r="AC86">
        <f>IF(ABS(AB87)&gt;ABS(AB86),AB87,AB86)</f>
        <v>0.56752500000000206</v>
      </c>
      <c r="AE86">
        <f>ABS(P127-P99)</f>
        <v>0.25035312500000018</v>
      </c>
      <c r="AH86">
        <f>H86-AG65</f>
        <v>10.247252499999998</v>
      </c>
      <c r="AI86">
        <f>100*(AH86-O86)/80</f>
        <v>0.32086562499999305</v>
      </c>
      <c r="AJ86">
        <v>50.080064999999998</v>
      </c>
      <c r="AK86">
        <v>0.10988124999999904</v>
      </c>
      <c r="AL86">
        <v>90.176940000000002</v>
      </c>
      <c r="AM86">
        <v>0.24932500000000246</v>
      </c>
      <c r="AN86">
        <f>IF(ABS(MAX(AI86:AI92)) &gt; ABS(MIN(AI86:AI92)),MAX(AI86:AI92), MIN(AI86:AI92))</f>
        <v>0.32385625000000084</v>
      </c>
      <c r="AO86">
        <f>IF(ABS(AN87)&gt;ABS(AN86),AN87,AN86)</f>
        <v>0.32385625000000084</v>
      </c>
    </row>
    <row r="87" spans="1:41" x14ac:dyDescent="0.35">
      <c r="A87" t="s">
        <v>233</v>
      </c>
      <c r="B87" t="s">
        <v>231</v>
      </c>
      <c r="C87" t="s">
        <v>1075</v>
      </c>
      <c r="D87">
        <v>10</v>
      </c>
      <c r="E87">
        <v>10</v>
      </c>
      <c r="F87">
        <v>-0.5</v>
      </c>
      <c r="G87">
        <v>-0.50020500000000001</v>
      </c>
      <c r="H87">
        <v>30.276562500000001</v>
      </c>
      <c r="J87">
        <v>-12379</v>
      </c>
      <c r="N87" t="s">
        <v>172</v>
      </c>
      <c r="O87">
        <f t="shared" si="3"/>
        <v>29.991799999999998</v>
      </c>
      <c r="P87">
        <f t="shared" si="4"/>
        <v>0.35595312500000365</v>
      </c>
      <c r="Q87">
        <f t="shared" si="5"/>
        <v>0.35595312500000365</v>
      </c>
      <c r="Y87">
        <f>TREND(H86:H90,G86:G90,G87)</f>
        <v>30.354501771046504</v>
      </c>
      <c r="Z87">
        <f>ABS((Y87-H87)/80*100)</f>
        <v>9.7424088808129028E-2</v>
      </c>
      <c r="AB87">
        <f>IF(ABS(T86) &gt; ABS(V86),T86,V86)</f>
        <v>0.49299375000000367</v>
      </c>
      <c r="AH87">
        <f>H87-AG65</f>
        <v>30.0816275</v>
      </c>
      <c r="AI87">
        <f>100*(AH87-O87)/80</f>
        <v>0.11228437500000243</v>
      </c>
      <c r="AN87">
        <f>IF(ABS(AK86) &gt; ABS(AM86),AK86,AM86)</f>
        <v>0.24932500000000246</v>
      </c>
    </row>
    <row r="88" spans="1:41" x14ac:dyDescent="0.35">
      <c r="A88" t="s">
        <v>233</v>
      </c>
      <c r="B88" t="s">
        <v>1111</v>
      </c>
      <c r="C88" t="s">
        <v>1113</v>
      </c>
      <c r="D88">
        <v>10</v>
      </c>
      <c r="E88">
        <v>10</v>
      </c>
      <c r="F88">
        <v>0</v>
      </c>
      <c r="G88">
        <v>-1.9599999999999999E-4</v>
      </c>
      <c r="H88">
        <v>50.274999999999999</v>
      </c>
      <c r="J88">
        <v>-12366</v>
      </c>
      <c r="N88" t="s">
        <v>172</v>
      </c>
      <c r="O88">
        <f t="shared" si="3"/>
        <v>49.992159999999998</v>
      </c>
      <c r="P88">
        <f t="shared" si="4"/>
        <v>0.35355000000000025</v>
      </c>
      <c r="Q88">
        <f t="shared" si="5"/>
        <v>0.35355000000000025</v>
      </c>
      <c r="Y88">
        <f>TREND(H86:H90,G86:G90,G88)</f>
        <v>50.354983034001513</v>
      </c>
      <c r="Z88">
        <f>ABS((Y88-H88)/80*100)</f>
        <v>9.9978792501893565E-2</v>
      </c>
      <c r="AH88">
        <f>H88-AG65</f>
        <v>50.080064999999998</v>
      </c>
      <c r="AI88">
        <f>100*(AH88-O88)/80</f>
        <v>0.10988124999999904</v>
      </c>
    </row>
    <row r="89" spans="1:41" x14ac:dyDescent="0.35">
      <c r="A89" t="s">
        <v>233</v>
      </c>
      <c r="B89" t="s">
        <v>1111</v>
      </c>
      <c r="C89" t="s">
        <v>1150</v>
      </c>
      <c r="D89">
        <v>10</v>
      </c>
      <c r="E89">
        <v>10</v>
      </c>
      <c r="F89">
        <v>0.5</v>
      </c>
      <c r="G89">
        <v>0.49951899999999999</v>
      </c>
      <c r="H89">
        <v>70.381249999999994</v>
      </c>
      <c r="J89">
        <v>-12359</v>
      </c>
      <c r="N89" t="s">
        <v>172</v>
      </c>
      <c r="O89">
        <f t="shared" si="3"/>
        <v>69.980760000000004</v>
      </c>
      <c r="P89">
        <f t="shared" si="4"/>
        <v>0.50061249999998836</v>
      </c>
      <c r="Q89">
        <f t="shared" si="5"/>
        <v>0.50061249999998836</v>
      </c>
      <c r="Y89">
        <f>TREND(H86:H90,G86:G90,G89)</f>
        <v>70.343704225655188</v>
      </c>
      <c r="Z89">
        <f>ABS((Y89-H89)/80*100)</f>
        <v>4.6932217931008324E-2</v>
      </c>
      <c r="AH89">
        <f>H89-AG65</f>
        <v>70.186314999999993</v>
      </c>
      <c r="AI89">
        <f>100*(AH89-O89)/80</f>
        <v>0.25694374999998715</v>
      </c>
    </row>
    <row r="90" spans="1:41" x14ac:dyDescent="0.35">
      <c r="A90" t="s">
        <v>233</v>
      </c>
      <c r="B90" t="s">
        <v>1111</v>
      </c>
      <c r="C90" t="s">
        <v>1187</v>
      </c>
      <c r="D90">
        <v>10</v>
      </c>
      <c r="E90">
        <v>10</v>
      </c>
      <c r="F90">
        <v>1</v>
      </c>
      <c r="G90">
        <v>0.99943700000000002</v>
      </c>
      <c r="H90">
        <v>90.371875000000003</v>
      </c>
      <c r="J90">
        <v>-12351</v>
      </c>
      <c r="N90" t="s">
        <v>172</v>
      </c>
      <c r="O90">
        <f t="shared" si="3"/>
        <v>89.97748</v>
      </c>
      <c r="P90">
        <f t="shared" si="4"/>
        <v>0.49299375000000367</v>
      </c>
      <c r="Q90">
        <f t="shared" si="5"/>
        <v>0.49299375000000367</v>
      </c>
      <c r="Y90">
        <f>TREND(H86:H90,G86:G90,G90)</f>
        <v>90.340545466540746</v>
      </c>
      <c r="Z90">
        <f>ABS((Y90-H90)/80*100)</f>
        <v>3.9161916824070886E-2</v>
      </c>
      <c r="AH90">
        <f>H90-AG65</f>
        <v>90.176940000000002</v>
      </c>
      <c r="AI90">
        <f>100*(AH90-O90)/80</f>
        <v>0.24932500000000246</v>
      </c>
    </row>
    <row r="91" spans="1:41" x14ac:dyDescent="0.35">
      <c r="A91" t="s">
        <v>233</v>
      </c>
      <c r="B91" t="s">
        <v>1111</v>
      </c>
      <c r="C91" t="s">
        <v>1223</v>
      </c>
      <c r="D91">
        <v>10</v>
      </c>
      <c r="E91">
        <v>10</v>
      </c>
      <c r="F91">
        <v>0</v>
      </c>
      <c r="G91">
        <v>1.07E-4</v>
      </c>
      <c r="H91">
        <v>50.364062500000003</v>
      </c>
      <c r="J91">
        <v>-12340</v>
      </c>
      <c r="N91" t="s">
        <v>172</v>
      </c>
      <c r="O91">
        <f t="shared" si="3"/>
        <v>50.004280000000001</v>
      </c>
      <c r="P91">
        <f t="shared" si="4"/>
        <v>0.44972812500000181</v>
      </c>
      <c r="Q91">
        <f t="shared" si="5"/>
        <v>0.44972812500000181</v>
      </c>
      <c r="Y91">
        <f>TREND(H86:H90,G86:G90,G91)</f>
        <v>50.367103107485541</v>
      </c>
      <c r="Z91">
        <f>ABS((Y91-H91)/80*100)</f>
        <v>3.8007593569222564E-3</v>
      </c>
      <c r="AH91">
        <f>H91-AG65</f>
        <v>50.169127500000002</v>
      </c>
      <c r="AI91">
        <f>100*(AH91-O91)/80</f>
        <v>0.2060593750000006</v>
      </c>
    </row>
    <row r="92" spans="1:41" x14ac:dyDescent="0.35">
      <c r="A92" t="s">
        <v>233</v>
      </c>
      <c r="B92" t="s">
        <v>1111</v>
      </c>
      <c r="C92" t="s">
        <v>1260</v>
      </c>
      <c r="D92">
        <v>10</v>
      </c>
      <c r="E92">
        <v>10</v>
      </c>
      <c r="F92">
        <v>-1</v>
      </c>
      <c r="G92">
        <v>-0.99978800000000001</v>
      </c>
      <c r="H92">
        <v>10.4625</v>
      </c>
      <c r="J92">
        <v>-12332</v>
      </c>
      <c r="N92" t="s">
        <v>172</v>
      </c>
      <c r="O92">
        <f t="shared" si="3"/>
        <v>10.008479999999999</v>
      </c>
      <c r="P92">
        <f t="shared" si="4"/>
        <v>0.56752500000000206</v>
      </c>
      <c r="Q92">
        <f t="shared" si="5"/>
        <v>0.56752500000000206</v>
      </c>
      <c r="Y92">
        <f>TREND(H86:H90,G86:G90,G92)</f>
        <v>10.371060611405667</v>
      </c>
      <c r="Z92">
        <f>ABS((Y92-H92)/80*100)</f>
        <v>0.11429923574291623</v>
      </c>
      <c r="AH92">
        <f>H92-AG65</f>
        <v>10.267564999999999</v>
      </c>
      <c r="AI92">
        <f>100*(AH92-O92)/80</f>
        <v>0.32385625000000084</v>
      </c>
    </row>
    <row r="93" spans="1:41" x14ac:dyDescent="0.35">
      <c r="A93" t="s">
        <v>233</v>
      </c>
      <c r="B93" t="s">
        <v>1111</v>
      </c>
      <c r="C93" t="s">
        <v>1296</v>
      </c>
      <c r="D93">
        <v>25</v>
      </c>
      <c r="E93">
        <v>25</v>
      </c>
      <c r="F93">
        <v>-1</v>
      </c>
      <c r="G93">
        <v>-1.000065</v>
      </c>
      <c r="H93">
        <v>10.3453125</v>
      </c>
      <c r="J93">
        <v>-6532</v>
      </c>
      <c r="N93" t="s">
        <v>172</v>
      </c>
      <c r="O93">
        <f t="shared" si="3"/>
        <v>9.9974000000000007</v>
      </c>
      <c r="P93">
        <f t="shared" si="4"/>
        <v>0.43489062499999953</v>
      </c>
      <c r="Q93">
        <f t="shared" si="5"/>
        <v>0.43489062499999953</v>
      </c>
      <c r="S93">
        <v>50.1953125</v>
      </c>
      <c r="T93">
        <v>0.22924062500000453</v>
      </c>
      <c r="U93">
        <v>90.3359375</v>
      </c>
      <c r="V93">
        <v>0.44482187499999881</v>
      </c>
      <c r="W93">
        <v>79.990624999999994</v>
      </c>
      <c r="X93">
        <f>(W93-80)/80*100</f>
        <v>-1.1718750000007105E-2</v>
      </c>
      <c r="Y93">
        <f>TREND(H93:H97,G93:G97,G93)</f>
        <v>10.260886862432137</v>
      </c>
      <c r="Z93">
        <f>ABS((Y93-H93)/80*100)</f>
        <v>0.10553204695982865</v>
      </c>
      <c r="AA93">
        <f>MAX(Z93:Z97)</f>
        <v>0.13304910444535523</v>
      </c>
      <c r="AB93">
        <f>IF(ABS(MAX(P93:P99)) &gt; ABS(MIN(P93:P99)),MAX(P93:P99), MIN(P93:P99))</f>
        <v>0.44482187499999881</v>
      </c>
      <c r="AC93">
        <f>IF(ABS(AB94)&gt;ABS(AB93),AB94,AB93)</f>
        <v>0.44482187499999881</v>
      </c>
      <c r="AH93">
        <f>H93-AG65</f>
        <v>10.150377499999999</v>
      </c>
      <c r="AI93">
        <f>100*(AH93-O93)/80</f>
        <v>0.19122187499999832</v>
      </c>
      <c r="AJ93">
        <v>50.000377499999999</v>
      </c>
      <c r="AK93">
        <v>-1.4428124999996683E-2</v>
      </c>
      <c r="AL93">
        <v>90.141002499999999</v>
      </c>
      <c r="AM93">
        <v>0.2011531249999976</v>
      </c>
      <c r="AN93">
        <f>IF(ABS(MAX(AI93:AI99)) &gt; ABS(MIN(AI93:AI99)),MAX(AI93:AI99), MIN(AI93:AI99))</f>
        <v>0.2011531249999976</v>
      </c>
      <c r="AO93">
        <f>IF(ABS(AN94)&gt;ABS(AN93),AN94,AN93)</f>
        <v>0.2011531249999976</v>
      </c>
    </row>
    <row r="94" spans="1:41" x14ac:dyDescent="0.35">
      <c r="A94" t="s">
        <v>233</v>
      </c>
      <c r="B94" t="s">
        <v>1111</v>
      </c>
      <c r="C94" t="s">
        <v>1333</v>
      </c>
      <c r="D94">
        <v>25</v>
      </c>
      <c r="E94">
        <v>25</v>
      </c>
      <c r="F94">
        <v>-0.5</v>
      </c>
      <c r="G94">
        <v>-0.50053700000000001</v>
      </c>
      <c r="H94">
        <v>30.201562500000001</v>
      </c>
      <c r="J94">
        <v>-6513</v>
      </c>
      <c r="N94" t="s">
        <v>172</v>
      </c>
      <c r="O94">
        <f t="shared" si="3"/>
        <v>29.97852</v>
      </c>
      <c r="P94">
        <f t="shared" si="4"/>
        <v>0.27880312500000226</v>
      </c>
      <c r="Q94">
        <f t="shared" si="5"/>
        <v>0.27880312500000226</v>
      </c>
      <c r="Y94">
        <f>TREND(H93:H97,G93:G97,G94)</f>
        <v>30.255162112835546</v>
      </c>
      <c r="Z94">
        <f>ABS((Y94-H94)/80*100)</f>
        <v>6.6999516044430329E-2</v>
      </c>
      <c r="AB94">
        <f>IF(ABS(T93) &gt; ABS(V93),T93,V93)</f>
        <v>0.44482187499999881</v>
      </c>
      <c r="AH94">
        <f>H94-AG65</f>
        <v>30.0066275</v>
      </c>
      <c r="AI94">
        <f>100*(AH94-O94)/80</f>
        <v>3.513437500000105E-2</v>
      </c>
      <c r="AN94">
        <f>IF(ABS(AK93) &gt; ABS(AM93),AK93,AM93)</f>
        <v>0.2011531249999976</v>
      </c>
    </row>
    <row r="95" spans="1:41" x14ac:dyDescent="0.35">
      <c r="A95" t="s">
        <v>233</v>
      </c>
      <c r="B95" t="s">
        <v>1111</v>
      </c>
      <c r="C95" t="s">
        <v>1369</v>
      </c>
      <c r="D95">
        <v>25</v>
      </c>
      <c r="E95">
        <v>25</v>
      </c>
      <c r="F95">
        <v>0</v>
      </c>
      <c r="G95">
        <v>2.9799999999999998E-4</v>
      </c>
      <c r="H95">
        <v>50.1953125</v>
      </c>
      <c r="J95">
        <v>-6493</v>
      </c>
      <c r="N95" t="s">
        <v>172</v>
      </c>
      <c r="O95">
        <f t="shared" si="3"/>
        <v>50.011919999999996</v>
      </c>
      <c r="P95">
        <f t="shared" si="4"/>
        <v>0.22924062500000453</v>
      </c>
      <c r="Q95">
        <f t="shared" si="5"/>
        <v>0.22924062500000453</v>
      </c>
      <c r="Y95">
        <f>TREND(H93:H97,G93:G97,G95)</f>
        <v>50.301751783556284</v>
      </c>
      <c r="Z95">
        <f>ABS((Y95-H95)/80*100)</f>
        <v>0.13304910444535523</v>
      </c>
      <c r="AH95">
        <f>H95-AG65</f>
        <v>50.000377499999999</v>
      </c>
      <c r="AI95">
        <f>100*(AH95-O95)/80</f>
        <v>-1.4428124999996683E-2</v>
      </c>
    </row>
    <row r="96" spans="1:41" x14ac:dyDescent="0.35">
      <c r="A96" t="s">
        <v>233</v>
      </c>
      <c r="B96" t="s">
        <v>1111</v>
      </c>
      <c r="C96" t="s">
        <v>1406</v>
      </c>
      <c r="D96">
        <v>25</v>
      </c>
      <c r="E96">
        <v>25</v>
      </c>
      <c r="F96">
        <v>0.5</v>
      </c>
      <c r="G96">
        <v>0.49976999999999999</v>
      </c>
      <c r="H96">
        <v>70.329687500000006</v>
      </c>
      <c r="J96">
        <v>-6483</v>
      </c>
      <c r="N96" t="s">
        <v>172</v>
      </c>
      <c r="O96">
        <f t="shared" si="3"/>
        <v>69.990800000000007</v>
      </c>
      <c r="P96">
        <f t="shared" si="4"/>
        <v>0.42360937499999807</v>
      </c>
      <c r="Q96">
        <f t="shared" si="5"/>
        <v>0.42360937499999807</v>
      </c>
      <c r="Y96">
        <f>TREND(H93:H97,G93:G97,G96)</f>
        <v>70.293785559179454</v>
      </c>
      <c r="Z96">
        <f>ABS((Y96-H96)/80*100)</f>
        <v>4.4877426025689005E-2</v>
      </c>
      <c r="AH96">
        <f>H96-AG65</f>
        <v>70.134752500000005</v>
      </c>
      <c r="AI96">
        <f>100*(AH96-O96)/80</f>
        <v>0.17994062499999686</v>
      </c>
    </row>
    <row r="97" spans="1:41" x14ac:dyDescent="0.35">
      <c r="A97" t="s">
        <v>233</v>
      </c>
      <c r="B97" t="s">
        <v>1111</v>
      </c>
      <c r="C97" t="s">
        <v>1443</v>
      </c>
      <c r="D97">
        <v>25</v>
      </c>
      <c r="E97">
        <v>25</v>
      </c>
      <c r="F97">
        <v>1</v>
      </c>
      <c r="G97">
        <v>0.999502</v>
      </c>
      <c r="H97">
        <v>90.3359375</v>
      </c>
      <c r="J97">
        <v>-6459</v>
      </c>
      <c r="N97" t="s">
        <v>172</v>
      </c>
      <c r="O97">
        <f t="shared" si="3"/>
        <v>89.980080000000001</v>
      </c>
      <c r="P97">
        <f t="shared" si="4"/>
        <v>0.44482187499999881</v>
      </c>
      <c r="Q97">
        <f t="shared" si="5"/>
        <v>0.44482187499999881</v>
      </c>
      <c r="Y97">
        <f>TREND(H93:H97,G93:G97,G97)</f>
        <v>90.296226181996587</v>
      </c>
      <c r="Z97">
        <f>ABS((Y97-H97)/80*100)</f>
        <v>4.9639147504265679E-2</v>
      </c>
      <c r="AH97">
        <f>H97-AG65</f>
        <v>90.141002499999999</v>
      </c>
      <c r="AI97">
        <f>100*(AH97-O97)/80</f>
        <v>0.2011531249999976</v>
      </c>
    </row>
    <row r="98" spans="1:41" x14ac:dyDescent="0.35">
      <c r="A98" t="s">
        <v>233</v>
      </c>
      <c r="B98" t="s">
        <v>1111</v>
      </c>
      <c r="C98" t="s">
        <v>1479</v>
      </c>
      <c r="D98">
        <v>25</v>
      </c>
      <c r="E98">
        <v>25</v>
      </c>
      <c r="F98">
        <v>0</v>
      </c>
      <c r="G98">
        <v>-1.9000000000000001E-5</v>
      </c>
      <c r="H98">
        <v>50.2578125</v>
      </c>
      <c r="J98">
        <v>-6453</v>
      </c>
      <c r="N98" t="s">
        <v>172</v>
      </c>
      <c r="O98">
        <f t="shared" si="3"/>
        <v>49.99924</v>
      </c>
      <c r="P98">
        <f t="shared" si="4"/>
        <v>0.32321562499999956</v>
      </c>
      <c r="Q98">
        <f t="shared" si="5"/>
        <v>0.32321562499999956</v>
      </c>
      <c r="Y98">
        <f>TREND(H93:H97,G93:G97,G98)</f>
        <v>50.289063435246725</v>
      </c>
      <c r="Z98">
        <f>ABS((Y98-H98)/80*100)</f>
        <v>3.9063669058405637E-2</v>
      </c>
      <c r="AH98">
        <f>H98-AG65</f>
        <v>50.062877499999999</v>
      </c>
      <c r="AI98">
        <f>100*(AH98-O98)/80</f>
        <v>7.9546874999998352E-2</v>
      </c>
    </row>
    <row r="99" spans="1:41" x14ac:dyDescent="0.35">
      <c r="A99" t="s">
        <v>233</v>
      </c>
      <c r="B99" t="s">
        <v>1111</v>
      </c>
      <c r="C99" t="s">
        <v>1516</v>
      </c>
      <c r="D99">
        <v>25</v>
      </c>
      <c r="E99">
        <v>25</v>
      </c>
      <c r="F99">
        <v>-1</v>
      </c>
      <c r="G99">
        <v>-0.99990299999999999</v>
      </c>
      <c r="H99">
        <v>10.346875000000001</v>
      </c>
      <c r="J99">
        <v>-6444</v>
      </c>
      <c r="N99" t="s">
        <v>172</v>
      </c>
      <c r="O99">
        <f t="shared" si="3"/>
        <v>10.003880000000001</v>
      </c>
      <c r="P99">
        <f t="shared" si="4"/>
        <v>0.4287437500000002</v>
      </c>
      <c r="Q99">
        <f t="shared" si="5"/>
        <v>0.4287437500000002</v>
      </c>
      <c r="Y99">
        <f>TREND(H93:H97,G93:G97,G99)</f>
        <v>10.267371128760686</v>
      </c>
      <c r="Z99">
        <f>ABS((Y99-H99)/80*100)</f>
        <v>9.9379839049142923E-2</v>
      </c>
      <c r="AH99">
        <f>H99-AG65</f>
        <v>10.15194</v>
      </c>
      <c r="AI99">
        <f>100*(AH99-O99)/80</f>
        <v>0.18507499999999899</v>
      </c>
    </row>
    <row r="100" spans="1:41" x14ac:dyDescent="0.35">
      <c r="A100" t="s">
        <v>233</v>
      </c>
      <c r="B100" t="s">
        <v>1111</v>
      </c>
      <c r="C100" t="s">
        <v>1553</v>
      </c>
      <c r="D100">
        <v>50</v>
      </c>
      <c r="E100">
        <v>50</v>
      </c>
      <c r="F100">
        <v>-1</v>
      </c>
      <c r="G100">
        <v>-0.99973599999999996</v>
      </c>
      <c r="H100">
        <v>10.246874999999999</v>
      </c>
      <c r="J100">
        <v>3135</v>
      </c>
      <c r="N100" t="s">
        <v>172</v>
      </c>
      <c r="O100">
        <f t="shared" si="3"/>
        <v>10.010560000000002</v>
      </c>
      <c r="P100">
        <f t="shared" si="4"/>
        <v>0.29539374999999701</v>
      </c>
      <c r="Q100">
        <f t="shared" si="5"/>
        <v>0.29539374999999701</v>
      </c>
      <c r="S100">
        <v>50.279687500000001</v>
      </c>
      <c r="T100">
        <v>0.36425937499999783</v>
      </c>
      <c r="U100">
        <v>90.409374999999997</v>
      </c>
      <c r="V100">
        <v>0.51571875000000489</v>
      </c>
      <c r="W100">
        <v>80.16250305175781</v>
      </c>
      <c r="X100">
        <f>(W100-80)/80*100</f>
        <v>0.20312881469726207</v>
      </c>
      <c r="Y100">
        <f>TREND(H100:H104,G100:G104,G100)</f>
        <v>10.199471664344351</v>
      </c>
      <c r="Z100">
        <f>ABS((Y100-H100)/80*100)</f>
        <v>5.9254169569560318E-2</v>
      </c>
      <c r="AA100">
        <f>MAX(Z100:Z104)</f>
        <v>8.1918821741284731E-2</v>
      </c>
      <c r="AB100">
        <f>IF(ABS(MAX(P100:P106)) &gt; ABS(MIN(P100:P106)),MAX(P100:P106), MIN(P100:P106))</f>
        <v>0.51571875000000489</v>
      </c>
      <c r="AC100">
        <f>IF(ABS(AB101)&gt;ABS(AB100),AB101,AB100)</f>
        <v>0.51571875000000489</v>
      </c>
      <c r="AH100">
        <f>H100-AG65</f>
        <v>10.051939999999998</v>
      </c>
      <c r="AI100">
        <f>100*(AH100-O100)/80</f>
        <v>5.1724999999995802E-2</v>
      </c>
      <c r="AJ100">
        <v>50.0847525</v>
      </c>
      <c r="AK100">
        <v>0.12059062499999662</v>
      </c>
      <c r="AL100">
        <v>90.214439999999996</v>
      </c>
      <c r="AM100">
        <v>0.27205000000000368</v>
      </c>
      <c r="AN100">
        <f>IF(ABS(MAX(AI100:AI106)) &gt; ABS(MIN(AI100:AI106)),MAX(AI100:AI106), MIN(AI100:AI106))</f>
        <v>0.27205000000000368</v>
      </c>
      <c r="AO100">
        <f>IF(ABS(AN101)&gt;ABS(AN100),AN101,AN100)</f>
        <v>0.27205000000000368</v>
      </c>
    </row>
    <row r="101" spans="1:41" x14ac:dyDescent="0.35">
      <c r="A101" t="s">
        <v>233</v>
      </c>
      <c r="B101" t="s">
        <v>1111</v>
      </c>
      <c r="C101" t="s">
        <v>1589</v>
      </c>
      <c r="D101">
        <v>50</v>
      </c>
      <c r="E101">
        <v>50</v>
      </c>
      <c r="F101">
        <v>-0.5</v>
      </c>
      <c r="G101">
        <v>-0.50000599999999995</v>
      </c>
      <c r="H101">
        <v>30.178125000000001</v>
      </c>
      <c r="J101">
        <v>3180</v>
      </c>
      <c r="N101" t="s">
        <v>172</v>
      </c>
      <c r="O101">
        <f t="shared" si="3"/>
        <v>29.999760000000002</v>
      </c>
      <c r="P101">
        <f t="shared" si="4"/>
        <v>0.2229562499999993</v>
      </c>
      <c r="Q101">
        <f t="shared" si="5"/>
        <v>0.2229562499999993</v>
      </c>
      <c r="Y101">
        <f>TREND(H100:H104,G100:G104,G101)</f>
        <v>30.243660057393029</v>
      </c>
      <c r="Z101">
        <f>ABS((Y101-H101)/80*100)</f>
        <v>8.1918821741284731E-2</v>
      </c>
      <c r="AB101">
        <f>IF(ABS(T100) &gt; ABS(V100),T100,V100)</f>
        <v>0.51571875000000489</v>
      </c>
      <c r="AH101">
        <f>H101-AG65</f>
        <v>29.98319</v>
      </c>
      <c r="AI101">
        <f>100*(AH101-O101)/80</f>
        <v>-2.071250000000191E-2</v>
      </c>
      <c r="AN101">
        <f>IF(ABS(AK100) &gt; ABS(AM100),AK100,AM100)</f>
        <v>0.27205000000000368</v>
      </c>
    </row>
    <row r="102" spans="1:41" x14ac:dyDescent="0.35">
      <c r="A102" t="s">
        <v>233</v>
      </c>
      <c r="B102" t="s">
        <v>1111</v>
      </c>
      <c r="C102" t="s">
        <v>1626</v>
      </c>
      <c r="D102">
        <v>50</v>
      </c>
      <c r="E102">
        <v>50</v>
      </c>
      <c r="F102">
        <v>0</v>
      </c>
      <c r="G102">
        <v>-2.9300000000000002E-4</v>
      </c>
      <c r="H102">
        <v>50.279687500000001</v>
      </c>
      <c r="J102">
        <v>3210</v>
      </c>
      <c r="N102" t="s">
        <v>172</v>
      </c>
      <c r="O102">
        <f t="shared" si="3"/>
        <v>49.988280000000003</v>
      </c>
      <c r="P102">
        <f t="shared" si="4"/>
        <v>0.36425937499999783</v>
      </c>
      <c r="Q102">
        <f t="shared" si="5"/>
        <v>0.36425937499999783</v>
      </c>
      <c r="Y102">
        <f>TREND(H100:H104,G100:G104,G102)</f>
        <v>50.287166579826213</v>
      </c>
      <c r="Z102">
        <f>ABS((Y102-H102)/80*100)</f>
        <v>9.3488497827642902E-3</v>
      </c>
      <c r="AH102">
        <f>H102-AG65</f>
        <v>50.0847525</v>
      </c>
      <c r="AI102">
        <f>100*(AH102-O102)/80</f>
        <v>0.12059062499999662</v>
      </c>
    </row>
    <row r="103" spans="1:41" x14ac:dyDescent="0.35">
      <c r="A103" t="s">
        <v>233</v>
      </c>
      <c r="B103" t="s">
        <v>1111</v>
      </c>
      <c r="C103" t="s">
        <v>1663</v>
      </c>
      <c r="D103">
        <v>50</v>
      </c>
      <c r="E103">
        <v>50</v>
      </c>
      <c r="F103">
        <v>0.5</v>
      </c>
      <c r="G103">
        <v>0.50005500000000003</v>
      </c>
      <c r="H103">
        <v>70.378124999999997</v>
      </c>
      <c r="J103">
        <v>3234</v>
      </c>
      <c r="N103" t="s">
        <v>172</v>
      </c>
      <c r="O103">
        <f t="shared" si="3"/>
        <v>70.002200000000002</v>
      </c>
      <c r="P103">
        <f t="shared" si="4"/>
        <v>0.46990624999999397</v>
      </c>
      <c r="Q103">
        <f t="shared" si="5"/>
        <v>0.46990624999999397</v>
      </c>
      <c r="Y103">
        <f>TREND(H100:H104,G100:G104,G103)</f>
        <v>70.356142975249981</v>
      </c>
      <c r="Z103">
        <f>ABS((Y103-H103)/80*100)</f>
        <v>2.7477530937520811E-2</v>
      </c>
      <c r="AH103">
        <f>H103-AG65</f>
        <v>70.183189999999996</v>
      </c>
      <c r="AI103">
        <f>100*(AH103-O103)/80</f>
        <v>0.22623749999999276</v>
      </c>
    </row>
    <row r="104" spans="1:41" x14ac:dyDescent="0.35">
      <c r="A104" t="s">
        <v>233</v>
      </c>
      <c r="B104" t="s">
        <v>1111</v>
      </c>
      <c r="C104" t="s">
        <v>1700</v>
      </c>
      <c r="D104">
        <v>50</v>
      </c>
      <c r="E104">
        <v>50</v>
      </c>
      <c r="F104">
        <v>1</v>
      </c>
      <c r="G104">
        <v>0.99992000000000003</v>
      </c>
      <c r="H104">
        <v>90.409374999999997</v>
      </c>
      <c r="J104">
        <v>3259</v>
      </c>
      <c r="N104" t="s">
        <v>172</v>
      </c>
      <c r="O104">
        <f t="shared" si="3"/>
        <v>89.996799999999993</v>
      </c>
      <c r="P104">
        <f t="shared" si="4"/>
        <v>0.51571875000000489</v>
      </c>
      <c r="Q104">
        <f t="shared" si="5"/>
        <v>0.51571875000000489</v>
      </c>
      <c r="Y104">
        <f>TREND(H100:H104,G100:G104,G104)</f>
        <v>90.405746223186412</v>
      </c>
      <c r="Z104">
        <f>ABS((Y104-H104)/80*100)</f>
        <v>4.5359710169812217E-3</v>
      </c>
      <c r="AH104">
        <f>H104-AG65</f>
        <v>90.214439999999996</v>
      </c>
      <c r="AI104">
        <f>100*(AH104-O104)/80</f>
        <v>0.27205000000000368</v>
      </c>
    </row>
    <row r="105" spans="1:41" x14ac:dyDescent="0.35">
      <c r="A105" t="s">
        <v>233</v>
      </c>
      <c r="B105" t="s">
        <v>1111</v>
      </c>
      <c r="C105" t="s">
        <v>1736</v>
      </c>
      <c r="D105">
        <v>50</v>
      </c>
      <c r="E105">
        <v>50</v>
      </c>
      <c r="F105">
        <v>0</v>
      </c>
      <c r="G105">
        <v>-2.2100000000000001E-4</v>
      </c>
      <c r="H105">
        <v>50.207812500000003</v>
      </c>
      <c r="J105">
        <v>3281</v>
      </c>
      <c r="N105" t="s">
        <v>172</v>
      </c>
      <c r="O105">
        <f t="shared" si="3"/>
        <v>49.991160000000001</v>
      </c>
      <c r="P105">
        <f t="shared" si="4"/>
        <v>0.27081562500000267</v>
      </c>
      <c r="Q105">
        <f t="shared" si="5"/>
        <v>0.27081562500000267</v>
      </c>
      <c r="Y105">
        <f>TREND(H100:H104,G100:G104,G105)</f>
        <v>50.290054502433016</v>
      </c>
      <c r="Z105">
        <f>ABS((Y105-H105)/80*100)</f>
        <v>0.10280250304126604</v>
      </c>
      <c r="AH105">
        <f>H105-AG65</f>
        <v>50.012877500000002</v>
      </c>
      <c r="AI105">
        <f>100*(AH105-O105)/80</f>
        <v>2.7146875000001458E-2</v>
      </c>
    </row>
    <row r="106" spans="1:41" x14ac:dyDescent="0.35">
      <c r="A106" t="s">
        <v>233</v>
      </c>
      <c r="B106" t="s">
        <v>1111</v>
      </c>
      <c r="C106" t="s">
        <v>1773</v>
      </c>
      <c r="D106">
        <v>50</v>
      </c>
      <c r="E106">
        <v>50</v>
      </c>
      <c r="F106">
        <v>-1</v>
      </c>
      <c r="G106">
        <v>-0.99995000000000001</v>
      </c>
      <c r="H106">
        <v>10.259375</v>
      </c>
      <c r="J106">
        <v>3311</v>
      </c>
      <c r="N106" t="s">
        <v>172</v>
      </c>
      <c r="O106">
        <f t="shared" si="3"/>
        <v>10.001999999999999</v>
      </c>
      <c r="P106">
        <f t="shared" si="4"/>
        <v>0.32171875000000183</v>
      </c>
      <c r="Q106">
        <f t="shared" si="5"/>
        <v>0.32171875000000183</v>
      </c>
      <c r="Y106">
        <f>TREND(H100:H104,G100:G104,G106)</f>
        <v>10.190888116596341</v>
      </c>
      <c r="Z106">
        <f>ABS((Y106-H106)/80*100)</f>
        <v>8.5608604254574505E-2</v>
      </c>
      <c r="AH106">
        <f>H106-AG65</f>
        <v>10.064439999999999</v>
      </c>
      <c r="AI106">
        <f>100*(AH106-O106)/80</f>
        <v>7.8050000000000619E-2</v>
      </c>
    </row>
    <row r="107" spans="1:41" x14ac:dyDescent="0.35">
      <c r="A107" t="s">
        <v>233</v>
      </c>
      <c r="B107" t="s">
        <v>1111</v>
      </c>
      <c r="C107" t="s">
        <v>1810</v>
      </c>
      <c r="D107">
        <v>70</v>
      </c>
      <c r="E107">
        <v>70</v>
      </c>
      <c r="F107">
        <v>-1</v>
      </c>
      <c r="G107">
        <v>-1.000008</v>
      </c>
      <c r="H107">
        <v>10.2953125</v>
      </c>
      <c r="J107">
        <v>11115</v>
      </c>
      <c r="N107" t="s">
        <v>172</v>
      </c>
      <c r="O107">
        <f t="shared" si="3"/>
        <v>9.9996799999999997</v>
      </c>
      <c r="P107">
        <f t="shared" si="4"/>
        <v>0.36954062499999996</v>
      </c>
      <c r="Q107">
        <f t="shared" si="5"/>
        <v>0.36954062499999996</v>
      </c>
      <c r="S107">
        <v>50.3359375</v>
      </c>
      <c r="T107">
        <v>0.41912187499999476</v>
      </c>
      <c r="U107">
        <v>90.482812499999994</v>
      </c>
      <c r="V107">
        <v>0.57666562499999685</v>
      </c>
      <c r="W107">
        <v>80.187498474121099</v>
      </c>
      <c r="X107">
        <f>(W107-80)/80*100</f>
        <v>0.23437309265137429</v>
      </c>
      <c r="Y107">
        <f>TREND(H107:H111,G107:G111,G107)</f>
        <v>10.204971618402091</v>
      </c>
      <c r="Z107">
        <f>ABS((Y107-H107)/80*100)</f>
        <v>0.11292610199738595</v>
      </c>
      <c r="AA107">
        <f>MAX(Z107:Z111)</f>
        <v>0.17077822025363787</v>
      </c>
      <c r="AB107">
        <f>IF(ABS(MAX(P107:P113)) &gt; ABS(MIN(P107:P113)),MAX(P107:P113), MIN(P107:P113))</f>
        <v>0.57666562499999685</v>
      </c>
      <c r="AC107">
        <f>IF(ABS(AB108)&gt;ABS(AB107),AB108,AB107)</f>
        <v>0.57666562499999685</v>
      </c>
      <c r="AH107">
        <f>H107-AG65</f>
        <v>10.100377499999999</v>
      </c>
      <c r="AI107">
        <f>100*(AH107-O107)/80</f>
        <v>0.12587187499999875</v>
      </c>
      <c r="AJ107">
        <v>50.141002499999999</v>
      </c>
      <c r="AK107">
        <v>0.17545312499999355</v>
      </c>
      <c r="AL107">
        <v>90.287877499999993</v>
      </c>
      <c r="AM107">
        <v>0.33299687499999564</v>
      </c>
      <c r="AN107">
        <f>IF(ABS(MAX(AI107:AI113)) &gt; ABS(MIN(AI107:AI113)),MAX(AI107:AI113), MIN(AI107:AI113))</f>
        <v>0.33299687499999564</v>
      </c>
      <c r="AO107">
        <f>IF(ABS(AN108)&gt;ABS(AN107),AN108,AN107)</f>
        <v>0.33299687499999564</v>
      </c>
    </row>
    <row r="108" spans="1:41" x14ac:dyDescent="0.35">
      <c r="A108" t="s">
        <v>233</v>
      </c>
      <c r="B108" t="s">
        <v>1111</v>
      </c>
      <c r="C108" t="s">
        <v>1847</v>
      </c>
      <c r="D108">
        <v>70</v>
      </c>
      <c r="E108">
        <v>70</v>
      </c>
      <c r="F108">
        <v>-0.5</v>
      </c>
      <c r="G108">
        <v>-0.500116</v>
      </c>
      <c r="H108">
        <v>30.128125000000001</v>
      </c>
      <c r="J108">
        <v>11139</v>
      </c>
      <c r="N108" t="s">
        <v>172</v>
      </c>
      <c r="O108">
        <f t="shared" si="3"/>
        <v>29.995359999999998</v>
      </c>
      <c r="P108">
        <f t="shared" si="4"/>
        <v>0.16595625000000336</v>
      </c>
      <c r="Q108">
        <f t="shared" si="5"/>
        <v>0.16595625000000336</v>
      </c>
      <c r="Y108">
        <f>TREND(H107:H111,G107:G111,G108)</f>
        <v>30.264747576202911</v>
      </c>
      <c r="Z108">
        <f>ABS((Y108-H108)/80*100)</f>
        <v>0.17077822025363787</v>
      </c>
      <c r="AB108">
        <f>IF(ABS(T107) &gt; ABS(V107),T107,V107)</f>
        <v>0.57666562499999685</v>
      </c>
      <c r="AH108">
        <f>H108-AG65</f>
        <v>29.93319</v>
      </c>
      <c r="AI108">
        <f>100*(AH108-O108)/80</f>
        <v>-7.7712499999997853E-2</v>
      </c>
      <c r="AN108">
        <f>IF(ABS(AK107) &gt; ABS(AM107),AK107,AM107)</f>
        <v>0.33299687499999564</v>
      </c>
    </row>
    <row r="109" spans="1:41" x14ac:dyDescent="0.35">
      <c r="A109" t="s">
        <v>233</v>
      </c>
      <c r="B109" t="s">
        <v>1111</v>
      </c>
      <c r="C109" t="s">
        <v>1883</v>
      </c>
      <c r="D109">
        <v>70</v>
      </c>
      <c r="E109">
        <v>70</v>
      </c>
      <c r="F109">
        <v>0</v>
      </c>
      <c r="G109">
        <v>1.5999999999999999E-5</v>
      </c>
      <c r="H109">
        <v>50.3359375</v>
      </c>
      <c r="J109">
        <v>11169</v>
      </c>
      <c r="N109" t="s">
        <v>172</v>
      </c>
      <c r="O109">
        <f t="shared" si="3"/>
        <v>50.000640000000004</v>
      </c>
      <c r="P109">
        <f t="shared" si="4"/>
        <v>0.41912187499999476</v>
      </c>
      <c r="Q109">
        <f t="shared" si="5"/>
        <v>0.41912187499999476</v>
      </c>
      <c r="Y109">
        <f>TREND(H107:H111,G107:G111,G109)</f>
        <v>50.334154306710381</v>
      </c>
      <c r="Z109">
        <f>ABS((Y109-H109)/80*100)</f>
        <v>2.2289916120232789E-3</v>
      </c>
      <c r="AH109">
        <f>H109-AG65</f>
        <v>50.141002499999999</v>
      </c>
      <c r="AI109">
        <f>100*(AH109-O109)/80</f>
        <v>0.17545312499999355</v>
      </c>
    </row>
    <row r="110" spans="1:41" x14ac:dyDescent="0.35">
      <c r="A110" t="s">
        <v>233</v>
      </c>
      <c r="B110" t="s">
        <v>1111</v>
      </c>
      <c r="C110" t="s">
        <v>1920</v>
      </c>
      <c r="D110">
        <v>70</v>
      </c>
      <c r="E110">
        <v>70</v>
      </c>
      <c r="F110">
        <v>0.5</v>
      </c>
      <c r="G110">
        <v>0.49998999999999999</v>
      </c>
      <c r="H110">
        <v>70.442187500000003</v>
      </c>
      <c r="J110">
        <v>11191</v>
      </c>
      <c r="N110" t="s">
        <v>172</v>
      </c>
      <c r="O110">
        <f t="shared" si="3"/>
        <v>69.999600000000001</v>
      </c>
      <c r="P110">
        <f t="shared" si="4"/>
        <v>0.55323437500000239</v>
      </c>
      <c r="Q110">
        <f t="shared" si="5"/>
        <v>0.55323437500000239</v>
      </c>
      <c r="Y110">
        <f>TREND(H107:H111,G107:G111,G110)</f>
        <v>70.397220778519298</v>
      </c>
      <c r="Z110">
        <f>ABS((Y110-H110)/80*100)</f>
        <v>5.620840185088128E-2</v>
      </c>
      <c r="AH110">
        <f>H110-AG65</f>
        <v>70.247252500000002</v>
      </c>
      <c r="AI110">
        <f>100*(AH110-O110)/80</f>
        <v>0.30956562500000118</v>
      </c>
    </row>
    <row r="111" spans="1:41" x14ac:dyDescent="0.35">
      <c r="A111" t="s">
        <v>233</v>
      </c>
      <c r="B111" t="s">
        <v>1111</v>
      </c>
      <c r="C111" t="s">
        <v>1956</v>
      </c>
      <c r="D111">
        <v>70</v>
      </c>
      <c r="E111">
        <v>70</v>
      </c>
      <c r="F111">
        <v>1</v>
      </c>
      <c r="G111">
        <v>1.000537</v>
      </c>
      <c r="H111">
        <v>90.482812499999994</v>
      </c>
      <c r="J111">
        <v>11210</v>
      </c>
      <c r="N111" t="s">
        <v>172</v>
      </c>
      <c r="O111">
        <f t="shared" si="3"/>
        <v>90.021479999999997</v>
      </c>
      <c r="P111">
        <f t="shared" si="4"/>
        <v>0.57666562499999685</v>
      </c>
      <c r="Q111">
        <f t="shared" si="5"/>
        <v>0.57666562499999685</v>
      </c>
      <c r="Y111">
        <f>TREND(H107:H111,G107:G111,G111)</f>
        <v>90.483280720165354</v>
      </c>
      <c r="Z111">
        <f>ABS((Y111-H111)/80*100)</f>
        <v>5.8527520669926503E-4</v>
      </c>
      <c r="AH111">
        <f>H111-AG65</f>
        <v>90.287877499999993</v>
      </c>
      <c r="AI111">
        <f>100*(AH111-O111)/80</f>
        <v>0.33299687499999564</v>
      </c>
    </row>
    <row r="112" spans="1:41" x14ac:dyDescent="0.35">
      <c r="A112" t="s">
        <v>233</v>
      </c>
      <c r="B112" t="s">
        <v>1111</v>
      </c>
      <c r="C112" t="s">
        <v>1993</v>
      </c>
      <c r="D112">
        <v>70</v>
      </c>
      <c r="E112">
        <v>70</v>
      </c>
      <c r="F112">
        <v>0</v>
      </c>
      <c r="G112">
        <v>1.6000000000000001E-4</v>
      </c>
      <c r="H112">
        <v>50.243749999999999</v>
      </c>
      <c r="J112">
        <v>11235</v>
      </c>
      <c r="N112" t="s">
        <v>172</v>
      </c>
      <c r="O112">
        <f t="shared" si="3"/>
        <v>50.006399999999999</v>
      </c>
      <c r="P112">
        <f t="shared" si="4"/>
        <v>0.2966874999999991</v>
      </c>
      <c r="Q112">
        <f t="shared" si="5"/>
        <v>0.2966874999999991</v>
      </c>
      <c r="Y112">
        <f>TREND(H107:H111,G107:G111,G112)</f>
        <v>50.339932770334372</v>
      </c>
      <c r="Z112">
        <f>ABS((Y112-H112)/80*100)</f>
        <v>0.12022846291796618</v>
      </c>
      <c r="AH112">
        <f>H112-AG65</f>
        <v>50.048814999999998</v>
      </c>
      <c r="AI112">
        <f>100*(AH112-O112)/80</f>
        <v>5.3018749999997894E-2</v>
      </c>
    </row>
    <row r="113" spans="1:41" x14ac:dyDescent="0.35">
      <c r="A113" t="s">
        <v>233</v>
      </c>
      <c r="B113" t="s">
        <v>1111</v>
      </c>
      <c r="C113" t="s">
        <v>2030</v>
      </c>
      <c r="D113">
        <v>70</v>
      </c>
      <c r="E113">
        <v>70</v>
      </c>
      <c r="F113">
        <v>-1</v>
      </c>
      <c r="G113">
        <v>-1.000022</v>
      </c>
      <c r="H113">
        <v>10.292187500000001</v>
      </c>
      <c r="J113">
        <v>11255</v>
      </c>
      <c r="N113" t="s">
        <v>172</v>
      </c>
      <c r="O113">
        <f t="shared" si="3"/>
        <v>9.9991200000000013</v>
      </c>
      <c r="P113">
        <f t="shared" si="4"/>
        <v>0.36633437499999921</v>
      </c>
      <c r="Q113">
        <f t="shared" si="5"/>
        <v>0.36633437499999921</v>
      </c>
      <c r="Y113">
        <f>TREND(H107:H111,G107:G111,G113)</f>
        <v>10.204409823327538</v>
      </c>
      <c r="Z113">
        <f>ABS((Y113-H113)/80*100)</f>
        <v>0.1097220958405787</v>
      </c>
      <c r="AH113">
        <f>H113-AG65</f>
        <v>10.0972525</v>
      </c>
      <c r="AI113">
        <f>100*(AH113-O113)/80</f>
        <v>0.122665624999998</v>
      </c>
    </row>
    <row r="114" spans="1:41" x14ac:dyDescent="0.35">
      <c r="A114" t="s">
        <v>233</v>
      </c>
      <c r="B114" t="s">
        <v>1111</v>
      </c>
      <c r="C114" t="s">
        <v>2066</v>
      </c>
      <c r="D114">
        <v>85</v>
      </c>
      <c r="E114">
        <v>85</v>
      </c>
      <c r="F114">
        <v>-1</v>
      </c>
      <c r="G114">
        <v>-1.0001340000000001</v>
      </c>
      <c r="H114">
        <v>10.324999999999999</v>
      </c>
      <c r="J114">
        <v>17121</v>
      </c>
      <c r="N114" t="s">
        <v>172</v>
      </c>
      <c r="O114">
        <f t="shared" si="3"/>
        <v>9.9946399999999969</v>
      </c>
      <c r="P114">
        <f t="shared" si="4"/>
        <v>0.41295000000000304</v>
      </c>
      <c r="Q114">
        <f t="shared" si="5"/>
        <v>0.41295000000000304</v>
      </c>
      <c r="S114">
        <v>50.365625000000001</v>
      </c>
      <c r="T114">
        <v>0.46488124999999769</v>
      </c>
      <c r="U114">
        <v>90.520312500000003</v>
      </c>
      <c r="V114">
        <v>0.65924062500000602</v>
      </c>
      <c r="W114">
        <v>80.195309448242185</v>
      </c>
      <c r="X114">
        <f>(W114-80)/80*100</f>
        <v>0.24413681030273082</v>
      </c>
      <c r="Y114">
        <f>TREND(H114:H118,G114:G118,G114)</f>
        <v>10.284111123379887</v>
      </c>
      <c r="Z114">
        <f>ABS((Y114-H114)/80*100)</f>
        <v>5.1111095775140399E-2</v>
      </c>
      <c r="AA114">
        <f>MAX(Z114:Z118)</f>
        <v>7.1120295207176554E-2</v>
      </c>
      <c r="AB114">
        <f>IF(ABS(MAX(P114:P120)) &gt; ABS(MIN(P114:P120)),MAX(P114:P120), MIN(P114:P120))</f>
        <v>0.66575000000000273</v>
      </c>
      <c r="AC114">
        <f>IF(ABS(AB115)&gt;ABS(AB114),AB115,AB114)</f>
        <v>0.66575000000000273</v>
      </c>
      <c r="AH114">
        <f>H114-AG65</f>
        <v>10.130064999999998</v>
      </c>
      <c r="AI114">
        <f>100*(AH114-O114)/80</f>
        <v>0.16928125000000183</v>
      </c>
      <c r="AJ114">
        <v>50.17069</v>
      </c>
      <c r="AK114">
        <v>0.22121249999999648</v>
      </c>
      <c r="AL114">
        <v>90.325377500000002</v>
      </c>
      <c r="AM114">
        <v>0.41557187500000481</v>
      </c>
      <c r="AN114">
        <f>IF(ABS(MAX(AI114:AI120)) &gt; ABS(MIN(AI114:AI120)),MAX(AI114:AI120), MIN(AI114:AI120))</f>
        <v>0.42208125000000152</v>
      </c>
      <c r="AO114">
        <f>IF(ABS(AN115)&gt;ABS(AN114),AN115,AN114)</f>
        <v>0.42208125000000152</v>
      </c>
    </row>
    <row r="115" spans="1:41" x14ac:dyDescent="0.35">
      <c r="A115" t="s">
        <v>233</v>
      </c>
      <c r="B115" t="s">
        <v>1111</v>
      </c>
      <c r="C115" t="s">
        <v>2102</v>
      </c>
      <c r="D115">
        <v>85</v>
      </c>
      <c r="E115">
        <v>85</v>
      </c>
      <c r="F115">
        <v>-0.5</v>
      </c>
      <c r="G115">
        <v>-0.50014700000000001</v>
      </c>
      <c r="H115">
        <v>30.3</v>
      </c>
      <c r="J115">
        <v>17151</v>
      </c>
      <c r="N115" t="s">
        <v>172</v>
      </c>
      <c r="O115">
        <f t="shared" si="3"/>
        <v>29.994119999999999</v>
      </c>
      <c r="P115">
        <f t="shared" si="4"/>
        <v>0.38235000000000241</v>
      </c>
      <c r="Q115">
        <f t="shared" si="5"/>
        <v>0.38235000000000241</v>
      </c>
      <c r="Y115">
        <f>TREND(H114:H118,G114:G118,G115)</f>
        <v>30.345669373769809</v>
      </c>
      <c r="Z115">
        <f>ABS((Y115-H115)/80*100)</f>
        <v>5.7086717212260218E-2</v>
      </c>
      <c r="AB115">
        <f>IF(ABS(T114) &gt; ABS(V114),T114,V114)</f>
        <v>0.65924062500000602</v>
      </c>
      <c r="AH115">
        <f>H115-AG65</f>
        <v>30.105065</v>
      </c>
      <c r="AI115">
        <f>100*(AH115-O115)/80</f>
        <v>0.1386812500000012</v>
      </c>
      <c r="AN115">
        <f>IF(ABS(AK114) &gt; ABS(AM114),AK114,AM114)</f>
        <v>0.41557187500000481</v>
      </c>
    </row>
    <row r="116" spans="1:41" x14ac:dyDescent="0.35">
      <c r="A116" t="s">
        <v>233</v>
      </c>
      <c r="B116" t="s">
        <v>1111</v>
      </c>
      <c r="C116" t="s">
        <v>2138</v>
      </c>
      <c r="D116">
        <v>85</v>
      </c>
      <c r="E116">
        <v>85</v>
      </c>
      <c r="F116">
        <v>0</v>
      </c>
      <c r="G116">
        <v>-1.5699999999999999E-4</v>
      </c>
      <c r="H116">
        <v>50.365625000000001</v>
      </c>
      <c r="J116">
        <v>17164</v>
      </c>
      <c r="N116" t="s">
        <v>172</v>
      </c>
      <c r="O116">
        <f t="shared" si="3"/>
        <v>49.993720000000003</v>
      </c>
      <c r="P116">
        <f t="shared" si="4"/>
        <v>0.46488124999999769</v>
      </c>
      <c r="Q116">
        <f t="shared" si="5"/>
        <v>0.46488124999999769</v>
      </c>
      <c r="Y116">
        <f>TREND(H114:H118,G114:G118,G116)</f>
        <v>50.407347996638919</v>
      </c>
      <c r="Z116">
        <f>ABS((Y116-H116)/80*100)</f>
        <v>5.2153745798646511E-2</v>
      </c>
      <c r="AH116">
        <f>H116-AG65</f>
        <v>50.17069</v>
      </c>
      <c r="AI116">
        <f>100*(AH116-O116)/80</f>
        <v>0.22121249999999648</v>
      </c>
    </row>
    <row r="117" spans="1:41" x14ac:dyDescent="0.35">
      <c r="A117" t="s">
        <v>233</v>
      </c>
      <c r="B117" t="s">
        <v>1111</v>
      </c>
      <c r="C117" t="s">
        <v>2175</v>
      </c>
      <c r="D117">
        <v>85</v>
      </c>
      <c r="E117">
        <v>85</v>
      </c>
      <c r="F117">
        <v>0.5</v>
      </c>
      <c r="G117">
        <v>0.49980999999999998</v>
      </c>
      <c r="H117">
        <v>70.525000000000006</v>
      </c>
      <c r="J117">
        <v>17190</v>
      </c>
      <c r="N117" t="s">
        <v>172</v>
      </c>
      <c r="O117">
        <f t="shared" si="3"/>
        <v>69.992400000000004</v>
      </c>
      <c r="P117">
        <f t="shared" si="4"/>
        <v>0.66575000000000273</v>
      </c>
      <c r="Q117">
        <f t="shared" si="5"/>
        <v>0.66575000000000273</v>
      </c>
      <c r="Y117">
        <f>TREND(H114:H118,G114:G118,G117)</f>
        <v>70.468103763834264</v>
      </c>
      <c r="Z117">
        <f>ABS((Y117-H117)/80*100)</f>
        <v>7.1120295207176554E-2</v>
      </c>
      <c r="AH117">
        <f>H117-AG65</f>
        <v>70.330065000000005</v>
      </c>
      <c r="AI117">
        <f>100*(AH117-O117)/80</f>
        <v>0.42208125000000152</v>
      </c>
    </row>
    <row r="118" spans="1:41" x14ac:dyDescent="0.35">
      <c r="A118" t="s">
        <v>233</v>
      </c>
      <c r="B118" t="s">
        <v>1111</v>
      </c>
      <c r="C118" t="s">
        <v>2212</v>
      </c>
      <c r="D118">
        <v>85</v>
      </c>
      <c r="E118">
        <v>85</v>
      </c>
      <c r="F118">
        <v>1</v>
      </c>
      <c r="G118">
        <v>0.99982300000000002</v>
      </c>
      <c r="H118">
        <v>90.520312500000003</v>
      </c>
      <c r="J118">
        <v>17207</v>
      </c>
      <c r="N118" t="s">
        <v>172</v>
      </c>
      <c r="O118">
        <f t="shared" si="3"/>
        <v>89.992919999999998</v>
      </c>
      <c r="P118">
        <f t="shared" si="4"/>
        <v>0.65924062500000602</v>
      </c>
      <c r="Q118">
        <f t="shared" si="5"/>
        <v>0.65924062500000602</v>
      </c>
      <c r="Y118">
        <f>TREND(H114:H118,G114:G118,G118)</f>
        <v>90.530705242377138</v>
      </c>
      <c r="Z118">
        <f>ABS((Y118-H118)/80*100)</f>
        <v>1.2990927971419099E-2</v>
      </c>
      <c r="AH118">
        <f>H118-AG65</f>
        <v>90.325377500000002</v>
      </c>
      <c r="AI118">
        <f>100*(AH118-O118)/80</f>
        <v>0.41557187500000481</v>
      </c>
    </row>
    <row r="119" spans="1:41" x14ac:dyDescent="0.35">
      <c r="A119" t="s">
        <v>233</v>
      </c>
      <c r="B119" t="s">
        <v>1111</v>
      </c>
      <c r="C119" t="s">
        <v>2248</v>
      </c>
      <c r="D119">
        <v>85</v>
      </c>
      <c r="E119">
        <v>85</v>
      </c>
      <c r="F119">
        <v>0</v>
      </c>
      <c r="G119">
        <v>2.0799999999999999E-4</v>
      </c>
      <c r="H119">
        <v>50.379687500000003</v>
      </c>
      <c r="J119">
        <v>17230</v>
      </c>
      <c r="N119" t="s">
        <v>172</v>
      </c>
      <c r="O119">
        <f t="shared" si="3"/>
        <v>50.008319999999998</v>
      </c>
      <c r="P119">
        <f t="shared" si="4"/>
        <v>0.46420937500000647</v>
      </c>
      <c r="Q119">
        <f t="shared" si="5"/>
        <v>0.46420937500000647</v>
      </c>
      <c r="Y119">
        <f>TREND(H114:H118,G114:G118,G119)</f>
        <v>50.421993314939982</v>
      </c>
      <c r="Z119">
        <f>ABS((Y119-H119)/80*100)</f>
        <v>5.2882268674974149E-2</v>
      </c>
      <c r="AH119">
        <f>H119-AG65</f>
        <v>50.184752500000002</v>
      </c>
      <c r="AI119">
        <f>100*(AH119-O119)/80</f>
        <v>0.22054062500000526</v>
      </c>
    </row>
    <row r="120" spans="1:41" x14ac:dyDescent="0.35">
      <c r="A120" t="s">
        <v>233</v>
      </c>
      <c r="B120" t="s">
        <v>1111</v>
      </c>
      <c r="C120" t="s">
        <v>2285</v>
      </c>
      <c r="D120">
        <v>85</v>
      </c>
      <c r="E120">
        <v>85</v>
      </c>
      <c r="F120">
        <v>-1</v>
      </c>
      <c r="G120">
        <v>-1.0002690000000001</v>
      </c>
      <c r="H120">
        <v>10.354687500000001</v>
      </c>
      <c r="J120">
        <v>17243</v>
      </c>
      <c r="N120" t="s">
        <v>172</v>
      </c>
      <c r="O120">
        <f t="shared" si="3"/>
        <v>9.989239999999997</v>
      </c>
      <c r="P120">
        <f t="shared" si="4"/>
        <v>0.45680937500000462</v>
      </c>
      <c r="Q120">
        <f t="shared" si="5"/>
        <v>0.45680937500000462</v>
      </c>
      <c r="Y120">
        <f>TREND(H114:H118,G114:G118,G120)</f>
        <v>10.278694361816477</v>
      </c>
      <c r="Z120">
        <f>ABS((Y120-H120)/80*100)</f>
        <v>9.499142272940464E-2</v>
      </c>
      <c r="AH120">
        <f>H120-AG65</f>
        <v>10.1597525</v>
      </c>
      <c r="AI120">
        <f>100*(AH120-O120)/80</f>
        <v>0.21314062500000341</v>
      </c>
    </row>
    <row r="121" spans="1:41" x14ac:dyDescent="0.35">
      <c r="A121" t="s">
        <v>233</v>
      </c>
      <c r="B121" t="s">
        <v>1111</v>
      </c>
      <c r="C121" t="s">
        <v>2322</v>
      </c>
      <c r="D121">
        <v>25</v>
      </c>
      <c r="E121">
        <v>25</v>
      </c>
      <c r="F121">
        <v>-1</v>
      </c>
      <c r="G121">
        <v>-0.99986399999999998</v>
      </c>
      <c r="H121">
        <v>11.043749999999999</v>
      </c>
      <c r="J121">
        <v>-5527</v>
      </c>
      <c r="N121" t="s">
        <v>172</v>
      </c>
      <c r="O121">
        <f t="shared" si="3"/>
        <v>10.00544</v>
      </c>
      <c r="P121">
        <f t="shared" si="4"/>
        <v>1.297887499999999</v>
      </c>
      <c r="Q121">
        <f t="shared" si="5"/>
        <v>1.297887499999999</v>
      </c>
      <c r="S121">
        <v>50.140625</v>
      </c>
      <c r="T121">
        <v>0.17388125000000088</v>
      </c>
      <c r="U121">
        <v>90.348437500000003</v>
      </c>
      <c r="V121">
        <v>0.43884687500000297</v>
      </c>
      <c r="W121">
        <v>79.304684448242185</v>
      </c>
      <c r="X121">
        <f>(W121-80)/80*100</f>
        <v>-0.86914443969726918</v>
      </c>
      <c r="Y121">
        <f>TREND(H121:H125,G121:G125,G121)</f>
        <v>10.595065848265463</v>
      </c>
      <c r="Z121">
        <f>ABS((Y121-H121)/80*100)</f>
        <v>0.56085518966817016</v>
      </c>
      <c r="AA121">
        <f>MAX(Z121:Z125)</f>
        <v>0.56661068230171363</v>
      </c>
      <c r="AB121">
        <f>IF(ABS(MAX(P121:P127)) &gt; ABS(MIN(P121:P127)),MAX(P121:P127), MIN(P121:P127))</f>
        <v>1.297887499999999</v>
      </c>
      <c r="AC121">
        <f>IF(ABS(AB122)&gt;ABS(AB121),AB122,AB121)</f>
        <v>1.297887499999999</v>
      </c>
      <c r="AH121">
        <f>H121-AG65</f>
        <v>10.848814999999998</v>
      </c>
      <c r="AI121">
        <f>100*(AH121-O121)/80</f>
        <v>1.0542187499999978</v>
      </c>
      <c r="AJ121">
        <v>49.945689999999999</v>
      </c>
      <c r="AK121">
        <v>-6.9787500000000335E-2</v>
      </c>
      <c r="AL121">
        <v>90.153502500000002</v>
      </c>
      <c r="AM121">
        <v>0.19517812500000176</v>
      </c>
      <c r="AN121">
        <f>IF(ABS(MAX(AI121:AI127)) &gt; ABS(MIN(AI121:AI127)),MAX(AI121:AI127), MIN(AI121:AI127))</f>
        <v>1.0542187499999978</v>
      </c>
      <c r="AO121">
        <f>IF(ABS(AN122)&gt;ABS(AN121),AN122,AN121)</f>
        <v>1.0542187499999978</v>
      </c>
    </row>
    <row r="122" spans="1:41" x14ac:dyDescent="0.35">
      <c r="A122" t="s">
        <v>233</v>
      </c>
      <c r="B122" t="s">
        <v>1111</v>
      </c>
      <c r="C122" t="s">
        <v>2359</v>
      </c>
      <c r="D122">
        <v>25</v>
      </c>
      <c r="E122">
        <v>25</v>
      </c>
      <c r="F122">
        <v>-0.5</v>
      </c>
      <c r="G122">
        <v>-0.49978099999999998</v>
      </c>
      <c r="H122">
        <v>30.03125</v>
      </c>
      <c r="J122">
        <v>-5574</v>
      </c>
      <c r="N122" t="s">
        <v>172</v>
      </c>
      <c r="O122">
        <f t="shared" si="3"/>
        <v>30.008759999999999</v>
      </c>
      <c r="P122">
        <f t="shared" si="4"/>
        <v>2.8112500000001539E-2</v>
      </c>
      <c r="Q122">
        <f t="shared" si="5"/>
        <v>2.8112500000001539E-2</v>
      </c>
      <c r="Y122">
        <f>TREND(H121:H125,G121:G125,G122)</f>
        <v>30.484538545841371</v>
      </c>
      <c r="Z122">
        <f>ABS((Y122-H122)/80*100)</f>
        <v>0.56661068230171363</v>
      </c>
      <c r="AB122">
        <f>IF(ABS(T121) &gt; ABS(V121),T121,V121)</f>
        <v>0.43884687500000297</v>
      </c>
      <c r="AH122">
        <f>H122-AG65</f>
        <v>29.836314999999999</v>
      </c>
      <c r="AI122">
        <f>100*(AH122-O122)/80</f>
        <v>-0.21555624999999967</v>
      </c>
      <c r="AN122">
        <f>IF(ABS(AK121) &gt; ABS(AM121),AK121,AM121)</f>
        <v>0.19517812500000176</v>
      </c>
    </row>
    <row r="123" spans="1:41" x14ac:dyDescent="0.35">
      <c r="A123" t="s">
        <v>233</v>
      </c>
      <c r="B123" t="s">
        <v>1111</v>
      </c>
      <c r="C123" t="s">
        <v>2395</v>
      </c>
      <c r="D123">
        <v>25</v>
      </c>
      <c r="E123">
        <v>25</v>
      </c>
      <c r="F123">
        <v>0</v>
      </c>
      <c r="G123">
        <v>3.8000000000000002E-5</v>
      </c>
      <c r="H123">
        <v>50.140625</v>
      </c>
      <c r="J123">
        <v>-5636</v>
      </c>
      <c r="N123" t="s">
        <v>172</v>
      </c>
      <c r="O123">
        <f t="shared" si="3"/>
        <v>50.001519999999999</v>
      </c>
      <c r="P123">
        <f t="shared" si="4"/>
        <v>0.17388125000000088</v>
      </c>
      <c r="Q123">
        <f t="shared" si="5"/>
        <v>0.17388125000000088</v>
      </c>
      <c r="Y123">
        <f>TREND(H121:H125,G121:G125,G123)</f>
        <v>50.363511344816125</v>
      </c>
      <c r="Z123">
        <f>ABS((Y123-H123)/80*100)</f>
        <v>0.27860793102015613</v>
      </c>
      <c r="AH123">
        <f>H123-AG65</f>
        <v>49.945689999999999</v>
      </c>
      <c r="AI123">
        <f>100*(AH123-O123)/80</f>
        <v>-6.9787500000000335E-2</v>
      </c>
    </row>
    <row r="124" spans="1:41" x14ac:dyDescent="0.35">
      <c r="A124" t="s">
        <v>233</v>
      </c>
      <c r="B124" t="s">
        <v>1111</v>
      </c>
      <c r="C124" t="s">
        <v>2432</v>
      </c>
      <c r="D124">
        <v>25</v>
      </c>
      <c r="E124">
        <v>25</v>
      </c>
      <c r="F124">
        <v>0.5</v>
      </c>
      <c r="G124">
        <v>0.49961800000000001</v>
      </c>
      <c r="H124">
        <v>70.243750000000006</v>
      </c>
      <c r="J124">
        <v>-5675</v>
      </c>
      <c r="N124" t="s">
        <v>172</v>
      </c>
      <c r="O124">
        <f t="shared" si="3"/>
        <v>69.984719999999996</v>
      </c>
      <c r="P124">
        <f t="shared" si="4"/>
        <v>0.32378750000001233</v>
      </c>
      <c r="Q124">
        <f t="shared" si="5"/>
        <v>0.32378750000001233</v>
      </c>
      <c r="Y124">
        <f>TREND(H121:H125,G121:G125,G124)</f>
        <v>70.232978553769385</v>
      </c>
      <c r="Z124">
        <f>ABS((Y124-H124)/80*100)</f>
        <v>1.3464307788275677E-2</v>
      </c>
      <c r="AH124">
        <f>H124-AG65</f>
        <v>70.048815000000005</v>
      </c>
      <c r="AI124">
        <f>100*(AH124-O124)/80</f>
        <v>8.0118750000011119E-2</v>
      </c>
    </row>
    <row r="125" spans="1:41" x14ac:dyDescent="0.35">
      <c r="A125" t="s">
        <v>233</v>
      </c>
      <c r="B125" t="s">
        <v>1111</v>
      </c>
      <c r="C125" t="s">
        <v>2469</v>
      </c>
      <c r="D125">
        <v>25</v>
      </c>
      <c r="E125">
        <v>25</v>
      </c>
      <c r="F125">
        <v>1</v>
      </c>
      <c r="G125">
        <v>0.99993399999999999</v>
      </c>
      <c r="H125">
        <v>90.348437500000003</v>
      </c>
      <c r="J125">
        <v>-5716</v>
      </c>
      <c r="N125" t="s">
        <v>172</v>
      </c>
      <c r="O125">
        <f t="shared" si="3"/>
        <v>89.99736</v>
      </c>
      <c r="P125">
        <f t="shared" si="4"/>
        <v>0.43884687500000297</v>
      </c>
      <c r="Q125">
        <f t="shared" si="5"/>
        <v>0.43884687500000297</v>
      </c>
      <c r="Y125">
        <f>TREND(H121:H125,G121:G125,G125)</f>
        <v>90.131718207307671</v>
      </c>
      <c r="Z125">
        <f>ABS((Y125-H125)/80*100)</f>
        <v>0.27089911586541504</v>
      </c>
      <c r="AH125">
        <f>H125-AG65</f>
        <v>90.153502500000002</v>
      </c>
      <c r="AI125">
        <f>100*(AH125-O125)/80</f>
        <v>0.19517812500000176</v>
      </c>
    </row>
    <row r="126" spans="1:41" x14ac:dyDescent="0.35">
      <c r="A126" t="s">
        <v>233</v>
      </c>
      <c r="B126" t="s">
        <v>1111</v>
      </c>
      <c r="C126" t="s">
        <v>2506</v>
      </c>
      <c r="D126">
        <v>25</v>
      </c>
      <c r="E126">
        <v>25</v>
      </c>
      <c r="F126">
        <v>0</v>
      </c>
      <c r="G126">
        <v>6.8999999999999997E-5</v>
      </c>
      <c r="H126">
        <v>50.143749999999997</v>
      </c>
      <c r="J126">
        <v>-5763</v>
      </c>
      <c r="N126" t="s">
        <v>172</v>
      </c>
      <c r="O126">
        <f t="shared" si="3"/>
        <v>50.002760000000002</v>
      </c>
      <c r="P126">
        <f t="shared" si="4"/>
        <v>0.17623749999999383</v>
      </c>
      <c r="Q126">
        <f t="shared" si="5"/>
        <v>0.17623749999999383</v>
      </c>
      <c r="Y126">
        <f>TREND(H121:H125,G121:G125,G126)</f>
        <v>50.364744287454897</v>
      </c>
      <c r="Z126">
        <f>ABS((Y126-H126)/80*100)</f>
        <v>0.27624285931862502</v>
      </c>
      <c r="AH126">
        <f>H126-AG65</f>
        <v>49.948814999999996</v>
      </c>
      <c r="AI126">
        <f>100*(AH126-O126)/80</f>
        <v>-6.7431250000007381E-2</v>
      </c>
    </row>
    <row r="127" spans="1:41" x14ac:dyDescent="0.35">
      <c r="A127" t="s">
        <v>233</v>
      </c>
      <c r="B127" t="s">
        <v>1111</v>
      </c>
      <c r="C127" t="s">
        <v>2541</v>
      </c>
      <c r="D127">
        <v>25</v>
      </c>
      <c r="E127">
        <v>25</v>
      </c>
      <c r="F127">
        <v>-1</v>
      </c>
      <c r="G127">
        <v>-0.99993500000000002</v>
      </c>
      <c r="H127">
        <v>10.145312499999999</v>
      </c>
      <c r="J127">
        <v>-5806</v>
      </c>
      <c r="N127" t="s">
        <v>172</v>
      </c>
      <c r="O127">
        <f t="shared" si="3"/>
        <v>10.002599999999999</v>
      </c>
      <c r="P127">
        <f t="shared" si="4"/>
        <v>0.17839062500000002</v>
      </c>
      <c r="Q127">
        <f t="shared" si="5"/>
        <v>0.17839062500000002</v>
      </c>
      <c r="Y127">
        <f>TREND(H121:H125,G121:G125,G127)</f>
        <v>10.592242011899245</v>
      </c>
      <c r="Z127">
        <f>ABS((Y127-H127)/80*100)</f>
        <v>0.55866188987405696</v>
      </c>
      <c r="AH127">
        <f>H127-AG65</f>
        <v>9.9503774999999983</v>
      </c>
      <c r="AI127">
        <f>100*(AH127-O127)/80</f>
        <v>-6.5278125000001186E-2</v>
      </c>
    </row>
    <row r="128" spans="1:41" x14ac:dyDescent="0.35">
      <c r="A128" t="s">
        <v>235</v>
      </c>
      <c r="B128" t="s">
        <v>231</v>
      </c>
      <c r="C128" t="s">
        <v>236</v>
      </c>
      <c r="D128">
        <v>25</v>
      </c>
      <c r="E128">
        <v>25</v>
      </c>
      <c r="F128">
        <v>-1</v>
      </c>
      <c r="G128">
        <v>-0.99996300000000005</v>
      </c>
      <c r="H128">
        <v>10.223437499999999</v>
      </c>
      <c r="J128">
        <v>-6214</v>
      </c>
      <c r="N128" t="s">
        <v>173</v>
      </c>
      <c r="O128">
        <f t="shared" si="3"/>
        <v>10.001479999999997</v>
      </c>
      <c r="P128">
        <f t="shared" si="4"/>
        <v>0.27744687500000254</v>
      </c>
      <c r="Q128">
        <f t="shared" si="5"/>
        <v>0.27744687500000254</v>
      </c>
      <c r="S128">
        <v>50.223437500000003</v>
      </c>
      <c r="T128">
        <v>0.29054687500000398</v>
      </c>
      <c r="U128">
        <v>90.2734375</v>
      </c>
      <c r="V128">
        <v>0.35764687499998615</v>
      </c>
      <c r="W128">
        <v>80.05</v>
      </c>
      <c r="X128">
        <f>(W128-80)/80*100</f>
        <v>6.2499999999996447E-2</v>
      </c>
      <c r="Y128">
        <f>TREND(H128:H132,G128:G132,G128)</f>
        <v>10.118181273484645</v>
      </c>
      <c r="Z128">
        <f>ABS((Y128-H128)/80*100)</f>
        <v>0.13157028314419339</v>
      </c>
      <c r="AA128">
        <f>MAX(Z128:Z132)</f>
        <v>0.22217721804183463</v>
      </c>
      <c r="AB128">
        <f>IF(ABS(MAX(P128:P134)) &gt; ABS(MIN(P128:P134)),MAX(P128:P134), MIN(P128:P134))</f>
        <v>0.40534375000000011</v>
      </c>
      <c r="AC128">
        <f>IF(ABS(AB129)&gt;ABS(AB128),AB129,AB128)</f>
        <v>0.40534375000000011</v>
      </c>
      <c r="AD128">
        <f>MAX(AD129:AD130)</f>
        <v>3.7740624999988981E-2</v>
      </c>
      <c r="AE128">
        <f>MAX(AE129:AE149)</f>
        <v>0.36649687500000194</v>
      </c>
      <c r="AF128">
        <f>MAX(AD128,AA128)</f>
        <v>0.22217721804183463</v>
      </c>
      <c r="AG128">
        <f>H130-O130</f>
        <v>0.23243750000000318</v>
      </c>
      <c r="AH128">
        <f>H128-AG128</f>
        <v>9.9909999999999961</v>
      </c>
      <c r="AI128">
        <f>100*(AH128-O128)/80</f>
        <v>-1.3100000000001444E-2</v>
      </c>
      <c r="AJ128">
        <v>49.991</v>
      </c>
      <c r="AK128">
        <v>0</v>
      </c>
      <c r="AL128">
        <v>90.040999999999997</v>
      </c>
      <c r="AM128">
        <v>6.7099999999982174E-2</v>
      </c>
      <c r="AN128">
        <f>IF(ABS(MAX(AI128:AI134)) &gt; ABS(MIN(AI128:AI134)),MAX(AI128:AI134), MIN(AI128:AI134))</f>
        <v>-0.30847500000000583</v>
      </c>
      <c r="AO128">
        <f>IF(ABS(AN129)&gt;ABS(AN128),AN129,AN128)</f>
        <v>-0.30847500000000583</v>
      </c>
    </row>
    <row r="129" spans="1:41" x14ac:dyDescent="0.35">
      <c r="A129" t="s">
        <v>235</v>
      </c>
      <c r="B129" t="s">
        <v>231</v>
      </c>
      <c r="C129" t="s">
        <v>310</v>
      </c>
      <c r="D129">
        <v>25</v>
      </c>
      <c r="E129">
        <v>25</v>
      </c>
      <c r="F129">
        <v>-0.5</v>
      </c>
      <c r="G129">
        <v>-0.49999300000000002</v>
      </c>
      <c r="H129">
        <v>29.985937499999999</v>
      </c>
      <c r="J129">
        <v>-6212</v>
      </c>
      <c r="N129" t="s">
        <v>173</v>
      </c>
      <c r="O129">
        <f t="shared" si="3"/>
        <v>30.00028</v>
      </c>
      <c r="P129">
        <f t="shared" si="4"/>
        <v>-1.7928125000001849E-2</v>
      </c>
      <c r="Q129">
        <f t="shared" si="5"/>
        <v>1.7928125000001849E-2</v>
      </c>
      <c r="Y129">
        <f>TREND(H128:H132,G128:G132,G129)</f>
        <v>30.163679274433466</v>
      </c>
      <c r="Z129">
        <f>ABS((Y129-H129)/80*100)</f>
        <v>0.22217721804183463</v>
      </c>
      <c r="AB129">
        <f>IF(ABS(T128) &gt; ABS(V128),T128,V128)</f>
        <v>0.35764687499998615</v>
      </c>
      <c r="AD129">
        <f>ABS(P130-P133)</f>
        <v>3.7740624999988981E-2</v>
      </c>
      <c r="AE129">
        <f>ABS(P156-P128)</f>
        <v>8.8087499999995877E-2</v>
      </c>
      <c r="AH129">
        <f>H129-AG128</f>
        <v>29.753499999999995</v>
      </c>
      <c r="AI129">
        <f>100*(AH129-O129)/80</f>
        <v>-0.30847500000000583</v>
      </c>
      <c r="AN129">
        <f>IF(ABS(AK128) &gt; ABS(AM128),AK128,AM128)</f>
        <v>6.7099999999982174E-2</v>
      </c>
    </row>
    <row r="130" spans="1:41" x14ac:dyDescent="0.35">
      <c r="A130" t="s">
        <v>235</v>
      </c>
      <c r="B130" t="s">
        <v>231</v>
      </c>
      <c r="C130" t="s">
        <v>346</v>
      </c>
      <c r="D130">
        <v>25</v>
      </c>
      <c r="E130">
        <v>25</v>
      </c>
      <c r="F130">
        <v>0</v>
      </c>
      <c r="G130">
        <v>-2.2499999999999999E-4</v>
      </c>
      <c r="H130">
        <v>50.223437500000003</v>
      </c>
      <c r="J130">
        <v>-6210</v>
      </c>
      <c r="N130" t="s">
        <v>173</v>
      </c>
      <c r="O130">
        <f t="shared" si="3"/>
        <v>49.991</v>
      </c>
      <c r="P130">
        <f t="shared" si="4"/>
        <v>0.29054687500000398</v>
      </c>
      <c r="Q130">
        <f t="shared" si="5"/>
        <v>0.29054687500000398</v>
      </c>
      <c r="Y130">
        <f>TREND(H128:H132,G128:G132,G130)</f>
        <v>50.201078408257878</v>
      </c>
      <c r="Z130">
        <f>ABS((Y130-H130)/80*100)</f>
        <v>2.7948864677656005E-2</v>
      </c>
      <c r="AD130">
        <f>ABS(P128-P134)</f>
        <v>3.3531249999962931E-3</v>
      </c>
      <c r="AE130">
        <f>ABS(P157-P129)</f>
        <v>0.36649687500000194</v>
      </c>
      <c r="AH130">
        <f>H130-AG128</f>
        <v>49.991</v>
      </c>
      <c r="AI130">
        <f>100*(AH130-O130)/80</f>
        <v>0</v>
      </c>
    </row>
    <row r="131" spans="1:41" x14ac:dyDescent="0.35">
      <c r="A131" t="s">
        <v>235</v>
      </c>
      <c r="B131" t="s">
        <v>231</v>
      </c>
      <c r="C131" t="s">
        <v>383</v>
      </c>
      <c r="D131">
        <v>25</v>
      </c>
      <c r="E131">
        <v>25</v>
      </c>
      <c r="F131">
        <v>0.5</v>
      </c>
      <c r="G131">
        <v>0.49994</v>
      </c>
      <c r="H131">
        <v>70.321875000000006</v>
      </c>
      <c r="J131">
        <v>-6210</v>
      </c>
      <c r="N131" t="s">
        <v>173</v>
      </c>
      <c r="O131">
        <f t="shared" si="3"/>
        <v>69.997600000000006</v>
      </c>
      <c r="P131">
        <f t="shared" si="4"/>
        <v>0.40534375000000011</v>
      </c>
      <c r="Q131">
        <f t="shared" si="5"/>
        <v>0.40534375000000011</v>
      </c>
      <c r="Y131">
        <f>TREND(H128:H132,G128:G132,G131)</f>
        <v>70.254394622519868</v>
      </c>
      <c r="Z131">
        <f>ABS((Y131-H131)/80*100)</f>
        <v>8.4350471850171971E-2</v>
      </c>
      <c r="AE131">
        <f>ABS(P158-P130)</f>
        <v>8.5937500000632383E-4</v>
      </c>
      <c r="AH131">
        <f>H131-AG128</f>
        <v>70.089437500000003</v>
      </c>
      <c r="AI131">
        <f>100*(AH131-O131)/80</f>
        <v>0.11479687499999613</v>
      </c>
    </row>
    <row r="132" spans="1:41" x14ac:dyDescent="0.35">
      <c r="A132" t="s">
        <v>235</v>
      </c>
      <c r="B132" t="s">
        <v>231</v>
      </c>
      <c r="C132" t="s">
        <v>420</v>
      </c>
      <c r="D132">
        <v>25</v>
      </c>
      <c r="E132">
        <v>25</v>
      </c>
      <c r="F132">
        <v>1</v>
      </c>
      <c r="G132">
        <v>0.99968299999999999</v>
      </c>
      <c r="H132">
        <v>90.2734375</v>
      </c>
      <c r="J132">
        <v>-6219</v>
      </c>
      <c r="N132" t="s">
        <v>173</v>
      </c>
      <c r="O132">
        <f t="shared" si="3"/>
        <v>89.987320000000011</v>
      </c>
      <c r="P132">
        <f t="shared" si="4"/>
        <v>0.35764687499998615</v>
      </c>
      <c r="Q132">
        <f t="shared" si="5"/>
        <v>0.35764687499998615</v>
      </c>
      <c r="Y132">
        <f>TREND(H128:H132,G128:G132,G132)</f>
        <v>90.290791421304135</v>
      </c>
      <c r="Z132">
        <f>ABS((Y132-H132)/80*100)</f>
        <v>2.1692401630168945E-2</v>
      </c>
      <c r="AE132">
        <f>ABS(P159-P131)</f>
        <v>8.2715625000009396E-2</v>
      </c>
      <c r="AH132">
        <f>H132-AG128</f>
        <v>90.040999999999997</v>
      </c>
      <c r="AI132">
        <f>100*(AH132-O132)/80</f>
        <v>6.7099999999982174E-2</v>
      </c>
    </row>
    <row r="133" spans="1:41" x14ac:dyDescent="0.35">
      <c r="A133" t="s">
        <v>235</v>
      </c>
      <c r="B133" t="s">
        <v>231</v>
      </c>
      <c r="C133" t="s">
        <v>457</v>
      </c>
      <c r="D133">
        <v>25</v>
      </c>
      <c r="E133">
        <v>25</v>
      </c>
      <c r="F133">
        <v>0</v>
      </c>
      <c r="G133">
        <v>1.5300000000000001E-4</v>
      </c>
      <c r="H133">
        <v>50.268749999999997</v>
      </c>
      <c r="J133">
        <v>-6210</v>
      </c>
      <c r="N133" t="s">
        <v>173</v>
      </c>
      <c r="O133">
        <f t="shared" si="3"/>
        <v>50.006120000000003</v>
      </c>
      <c r="P133">
        <f t="shared" si="4"/>
        <v>0.32828749999999296</v>
      </c>
      <c r="Q133">
        <f t="shared" si="5"/>
        <v>0.32828749999999296</v>
      </c>
      <c r="Y133">
        <f>TREND(H128:H132,G128:G132,G133)</f>
        <v>50.216233714064941</v>
      </c>
      <c r="Z133">
        <f>ABS((Y133-H133)/80*100)</f>
        <v>6.5645357418819827E-2</v>
      </c>
      <c r="AE133">
        <f>ABS(P160-P132)</f>
        <v>0.1060062500000214</v>
      </c>
      <c r="AH133">
        <f>H133-AG128</f>
        <v>50.036312499999994</v>
      </c>
      <c r="AI133">
        <f>100*(AH133-O133)/80</f>
        <v>3.7740624999988981E-2</v>
      </c>
    </row>
    <row r="134" spans="1:41" x14ac:dyDescent="0.35">
      <c r="A134" t="s">
        <v>235</v>
      </c>
      <c r="B134" t="s">
        <v>231</v>
      </c>
      <c r="C134" t="s">
        <v>494</v>
      </c>
      <c r="D134">
        <v>25</v>
      </c>
      <c r="E134">
        <v>25</v>
      </c>
      <c r="F134">
        <v>-1</v>
      </c>
      <c r="G134">
        <v>-0.99999099999999996</v>
      </c>
      <c r="H134">
        <v>10.225</v>
      </c>
      <c r="J134">
        <v>-6212</v>
      </c>
      <c r="N134" t="s">
        <v>173</v>
      </c>
      <c r="O134">
        <f t="shared" si="3"/>
        <v>10.000360000000001</v>
      </c>
      <c r="P134">
        <f t="shared" si="4"/>
        <v>0.28079999999999883</v>
      </c>
      <c r="Q134">
        <f t="shared" si="5"/>
        <v>0.28079999999999883</v>
      </c>
      <c r="Y134">
        <f>TREND(H128:H132,G128:G132,G134)</f>
        <v>10.117058658239678</v>
      </c>
      <c r="Z134">
        <f>ABS((Y134-H134)/80*100)</f>
        <v>0.13492667720040208</v>
      </c>
      <c r="AE134">
        <f>ABS(P161-P133)</f>
        <v>4.0703125000014495E-2</v>
      </c>
      <c r="AH134">
        <f>H134-AG128</f>
        <v>9.9925624999999965</v>
      </c>
      <c r="AI134">
        <f>100*(AH134-O134)/80</f>
        <v>-9.7468750000051507E-3</v>
      </c>
    </row>
    <row r="135" spans="1:41" x14ac:dyDescent="0.35">
      <c r="A135" t="s">
        <v>235</v>
      </c>
      <c r="B135" t="s">
        <v>231</v>
      </c>
      <c r="C135" t="s">
        <v>531</v>
      </c>
      <c r="D135">
        <v>-20</v>
      </c>
      <c r="E135">
        <v>-19.899999999999999</v>
      </c>
      <c r="F135">
        <v>-1</v>
      </c>
      <c r="G135">
        <v>-0.99988999999999995</v>
      </c>
      <c r="H135">
        <v>10.46875</v>
      </c>
      <c r="J135">
        <v>-23654</v>
      </c>
      <c r="N135" t="s">
        <v>173</v>
      </c>
      <c r="O135">
        <f t="shared" si="3"/>
        <v>10.004400000000002</v>
      </c>
      <c r="P135">
        <f t="shared" si="4"/>
        <v>0.58043749999999728</v>
      </c>
      <c r="Q135">
        <f t="shared" si="5"/>
        <v>0.58043749999999728</v>
      </c>
      <c r="S135">
        <v>50.493749999999999</v>
      </c>
      <c r="T135">
        <v>0.58683749999999257</v>
      </c>
      <c r="U135">
        <v>90.503124999999997</v>
      </c>
      <c r="V135">
        <v>0.62430624999999296</v>
      </c>
      <c r="W135">
        <v>80.034378051757813</v>
      </c>
      <c r="X135">
        <f>(W135-80)/80*100</f>
        <v>4.2972564697265625E-2</v>
      </c>
      <c r="Y135">
        <f>TREND(H135:H139,G135:G139,G135)</f>
        <v>10.454264780360511</v>
      </c>
      <c r="Z135">
        <f>ABS((Y135-H135)/80*100)</f>
        <v>1.810652454936168E-2</v>
      </c>
      <c r="AA135">
        <f>MAX(Z135:Z139)</f>
        <v>5.1455593399438726E-2</v>
      </c>
      <c r="AB135">
        <f>IF(ABS(MAX(P135:P141)) &gt; ABS(MIN(P135:P141)),MAX(P135:P141), MIN(P135:P141))</f>
        <v>0.6770406249999894</v>
      </c>
      <c r="AC135">
        <f>IF(ABS(AB136)&gt;ABS(AB135),AB136,AB135)</f>
        <v>0.6770406249999894</v>
      </c>
      <c r="AE135">
        <f>ABS(P162-P134)</f>
        <v>6.2509375000003864E-2</v>
      </c>
      <c r="AH135">
        <f>H135-AG128</f>
        <v>10.236312499999997</v>
      </c>
      <c r="AI135">
        <f>100*(AH135-O135)/80</f>
        <v>0.2898906249999933</v>
      </c>
      <c r="AJ135">
        <v>50.261312499999995</v>
      </c>
      <c r="AK135">
        <v>0.29629062499998859</v>
      </c>
      <c r="AL135">
        <v>90.270687499999994</v>
      </c>
      <c r="AM135">
        <v>0.33375937499998898</v>
      </c>
      <c r="AN135">
        <f>IF(ABS(MAX(AI135:AI141)) &gt; ABS(MIN(AI135:AI141)),MAX(AI135:AI141), MIN(AI135:AI141))</f>
        <v>0.38649374999998543</v>
      </c>
      <c r="AO135">
        <f>IF(ABS(AN136)&gt;ABS(AN135),AN136,AN135)</f>
        <v>0.38649374999998543</v>
      </c>
    </row>
    <row r="136" spans="1:41" x14ac:dyDescent="0.35">
      <c r="A136" t="s">
        <v>235</v>
      </c>
      <c r="B136" t="s">
        <v>231</v>
      </c>
      <c r="C136" t="s">
        <v>568</v>
      </c>
      <c r="D136">
        <v>-20</v>
      </c>
      <c r="E136">
        <v>-20.100000000000001</v>
      </c>
      <c r="F136">
        <v>-0.5</v>
      </c>
      <c r="G136">
        <v>-0.49971100000000002</v>
      </c>
      <c r="H136">
        <v>30.454687499999999</v>
      </c>
      <c r="J136">
        <v>-23690</v>
      </c>
      <c r="N136" t="s">
        <v>173</v>
      </c>
      <c r="O136">
        <f t="shared" si="3"/>
        <v>30.011559999999999</v>
      </c>
      <c r="P136">
        <f t="shared" si="4"/>
        <v>0.55390937499999904</v>
      </c>
      <c r="Q136">
        <f t="shared" si="5"/>
        <v>0.55390937499999904</v>
      </c>
      <c r="Y136">
        <f>TREND(H135:H139,G135:G139,G136)</f>
        <v>30.478298769808919</v>
      </c>
      <c r="Z136">
        <f>ABS((Y136-H136)/80*100)</f>
        <v>2.9514087261151012E-2</v>
      </c>
      <c r="AB136">
        <f>IF(ABS(T135) &gt; ABS(V135),T135,V135)</f>
        <v>0.62430624999999296</v>
      </c>
      <c r="AE136">
        <f>ABS(P184-P128)</f>
        <v>0.10699062500000078</v>
      </c>
      <c r="AH136">
        <f>H136-AG128</f>
        <v>30.222249999999995</v>
      </c>
      <c r="AI136">
        <f>100*(AH136-O136)/80</f>
        <v>0.26336249999999506</v>
      </c>
      <c r="AN136">
        <f>IF(ABS(AK135) &gt; ABS(AM135),AK135,AM135)</f>
        <v>0.33375937499998898</v>
      </c>
    </row>
    <row r="137" spans="1:41" x14ac:dyDescent="0.35">
      <c r="A137" t="s">
        <v>235</v>
      </c>
      <c r="B137" t="s">
        <v>231</v>
      </c>
      <c r="C137" t="s">
        <v>605</v>
      </c>
      <c r="D137">
        <v>-20</v>
      </c>
      <c r="E137">
        <v>-19.899999999999999</v>
      </c>
      <c r="F137">
        <v>0</v>
      </c>
      <c r="G137">
        <v>6.0700000000000001E-4</v>
      </c>
      <c r="H137">
        <v>50.493749999999999</v>
      </c>
      <c r="J137">
        <v>-23709</v>
      </c>
      <c r="N137" t="s">
        <v>173</v>
      </c>
      <c r="O137">
        <f t="shared" ref="O137:O200" si="6">(((G137--1)*(40))+10)</f>
        <v>50.024280000000005</v>
      </c>
      <c r="P137">
        <f t="shared" ref="P137:P200" si="7">100*(H137-O137)/80</f>
        <v>0.58683749999999257</v>
      </c>
      <c r="Q137">
        <f t="shared" ref="Q137:Q200" si="8">ABS(P137)</f>
        <v>0.58683749999999257</v>
      </c>
      <c r="Y137">
        <f>TREND(H135:H139,G135:G139,G137)</f>
        <v>50.507897448547638</v>
      </c>
      <c r="Z137">
        <f>ABS((Y137-H137)/80*100)</f>
        <v>1.7684310684549231E-2</v>
      </c>
      <c r="AE137">
        <f>ABS(P185-P129)</f>
        <v>6.5878125000002896E-2</v>
      </c>
      <c r="AH137">
        <f>H137-AG128</f>
        <v>50.261312499999995</v>
      </c>
      <c r="AI137">
        <f>100*(AH137-O137)/80</f>
        <v>0.29629062499998859</v>
      </c>
    </row>
    <row r="138" spans="1:41" x14ac:dyDescent="0.35">
      <c r="A138" t="s">
        <v>235</v>
      </c>
      <c r="B138" t="s">
        <v>231</v>
      </c>
      <c r="C138" t="s">
        <v>640</v>
      </c>
      <c r="D138">
        <v>-20</v>
      </c>
      <c r="E138">
        <v>-20.100000000000001</v>
      </c>
      <c r="F138">
        <v>0.5</v>
      </c>
      <c r="G138">
        <v>0.50009199999999998</v>
      </c>
      <c r="H138">
        <v>70.545312499999994</v>
      </c>
      <c r="J138">
        <v>-23738</v>
      </c>
      <c r="N138" t="s">
        <v>173</v>
      </c>
      <c r="O138">
        <f t="shared" si="6"/>
        <v>70.003680000000003</v>
      </c>
      <c r="P138">
        <f t="shared" si="7"/>
        <v>0.6770406249999894</v>
      </c>
      <c r="Q138">
        <f t="shared" si="8"/>
        <v>0.6770406249999894</v>
      </c>
      <c r="Y138">
        <f>TREND(H135:H139,G135:G139,G138)</f>
        <v>70.504148025280443</v>
      </c>
      <c r="Z138">
        <f>ABS((Y138-H138)/80*100)</f>
        <v>5.1455593399438726E-2</v>
      </c>
      <c r="AE138">
        <f>ABS(P186-P130)</f>
        <v>0.10810000000000208</v>
      </c>
      <c r="AH138">
        <f>H138-AG128</f>
        <v>70.312874999999991</v>
      </c>
      <c r="AI138">
        <f>100*(AH138-O138)/80</f>
        <v>0.38649374999998543</v>
      </c>
    </row>
    <row r="139" spans="1:41" x14ac:dyDescent="0.35">
      <c r="A139" t="s">
        <v>235</v>
      </c>
      <c r="B139" t="s">
        <v>231</v>
      </c>
      <c r="C139" t="s">
        <v>677</v>
      </c>
      <c r="D139">
        <v>-20</v>
      </c>
      <c r="E139">
        <v>-19.899999999999999</v>
      </c>
      <c r="F139">
        <v>1</v>
      </c>
      <c r="G139">
        <v>1.000092</v>
      </c>
      <c r="H139">
        <v>90.503124999999997</v>
      </c>
      <c r="J139">
        <v>-23759</v>
      </c>
      <c r="N139" t="s">
        <v>173</v>
      </c>
      <c r="O139">
        <f t="shared" si="6"/>
        <v>90.003680000000003</v>
      </c>
      <c r="P139">
        <f t="shared" si="7"/>
        <v>0.62430624999999296</v>
      </c>
      <c r="Q139">
        <f t="shared" si="8"/>
        <v>0.62430624999999296</v>
      </c>
      <c r="Y139">
        <f>TREND(H135:H139,G135:G139,G139)</f>
        <v>90.521015976002502</v>
      </c>
      <c r="Z139">
        <f>ABS((Y139-H139)/80*100)</f>
        <v>2.2363720003131249E-2</v>
      </c>
      <c r="AE139">
        <f>ABS(P187-P131)</f>
        <v>1.169687499999128E-2</v>
      </c>
      <c r="AH139">
        <f>H139-AG128</f>
        <v>90.270687499999994</v>
      </c>
      <c r="AI139">
        <f>100*(AH139-O139)/80</f>
        <v>0.33375937499998898</v>
      </c>
    </row>
    <row r="140" spans="1:41" x14ac:dyDescent="0.35">
      <c r="A140" t="s">
        <v>235</v>
      </c>
      <c r="B140" t="s">
        <v>231</v>
      </c>
      <c r="C140" t="s">
        <v>714</v>
      </c>
      <c r="D140">
        <v>-20</v>
      </c>
      <c r="E140">
        <v>-20</v>
      </c>
      <c r="F140">
        <v>0</v>
      </c>
      <c r="G140">
        <v>7.8600000000000002E-4</v>
      </c>
      <c r="H140">
        <v>50.4375</v>
      </c>
      <c r="J140">
        <v>-23782</v>
      </c>
      <c r="N140" t="s">
        <v>173</v>
      </c>
      <c r="O140">
        <f t="shared" si="6"/>
        <v>50.031439999999996</v>
      </c>
      <c r="P140">
        <f t="shared" si="7"/>
        <v>0.50757500000000455</v>
      </c>
      <c r="Q140">
        <f t="shared" si="8"/>
        <v>0.50757500000000455</v>
      </c>
      <c r="Y140">
        <f>TREND(H135:H139,G135:G139,G140)</f>
        <v>50.515063487273991</v>
      </c>
      <c r="Z140">
        <f>ABS((Y140-H140)/80*100)</f>
        <v>9.6954359092489284E-2</v>
      </c>
      <c r="AE140">
        <f>ABS(P188-P132)</f>
        <v>4.0493749999974682E-2</v>
      </c>
      <c r="AH140">
        <f>H140-AG128</f>
        <v>50.205062499999997</v>
      </c>
      <c r="AI140">
        <f>100*(AH140-O140)/80</f>
        <v>0.21702812500000057</v>
      </c>
    </row>
    <row r="141" spans="1:41" x14ac:dyDescent="0.35">
      <c r="A141" t="s">
        <v>235</v>
      </c>
      <c r="B141" t="s">
        <v>231</v>
      </c>
      <c r="C141" t="s">
        <v>749</v>
      </c>
      <c r="D141">
        <v>-20</v>
      </c>
      <c r="E141">
        <v>-20</v>
      </c>
      <c r="F141">
        <v>-1</v>
      </c>
      <c r="G141">
        <v>-0.99983599999999995</v>
      </c>
      <c r="H141">
        <v>10.43125</v>
      </c>
      <c r="J141">
        <v>-23806</v>
      </c>
      <c r="N141" t="s">
        <v>173</v>
      </c>
      <c r="O141">
        <f t="shared" si="6"/>
        <v>10.006560000000002</v>
      </c>
      <c r="P141">
        <f t="shared" si="7"/>
        <v>0.53086249999999779</v>
      </c>
      <c r="Q141">
        <f t="shared" si="8"/>
        <v>0.53086249999999779</v>
      </c>
      <c r="Y141">
        <f>TREND(H135:H139,G135:G139,G141)</f>
        <v>10.456426602099185</v>
      </c>
      <c r="Z141">
        <f>ABS((Y141-H141)/80*100)</f>
        <v>3.1470752623981024E-2</v>
      </c>
      <c r="AE141">
        <f>ABS(P189-P133)</f>
        <v>0.22236874999999046</v>
      </c>
      <c r="AH141">
        <f>H141-AG128</f>
        <v>10.198812499999997</v>
      </c>
      <c r="AI141">
        <f>100*(AH141-O141)/80</f>
        <v>0.24031562499999382</v>
      </c>
    </row>
    <row r="142" spans="1:41" x14ac:dyDescent="0.35">
      <c r="A142" t="s">
        <v>235</v>
      </c>
      <c r="B142" t="s">
        <v>231</v>
      </c>
      <c r="C142" t="s">
        <v>786</v>
      </c>
      <c r="D142">
        <v>0</v>
      </c>
      <c r="E142">
        <v>0</v>
      </c>
      <c r="F142">
        <v>-1</v>
      </c>
      <c r="G142">
        <v>-1.0000929999999999</v>
      </c>
      <c r="H142">
        <v>10.409375000000001</v>
      </c>
      <c r="J142">
        <v>-16567</v>
      </c>
      <c r="N142" t="s">
        <v>173</v>
      </c>
      <c r="O142">
        <f t="shared" si="6"/>
        <v>9.9962800000000041</v>
      </c>
      <c r="P142">
        <f t="shared" si="7"/>
        <v>0.51636874999999582</v>
      </c>
      <c r="Q142">
        <f t="shared" si="8"/>
        <v>0.51636874999999582</v>
      </c>
      <c r="S142">
        <v>50.381250000000001</v>
      </c>
      <c r="T142">
        <v>0.48126250000000148</v>
      </c>
      <c r="U142">
        <v>90.509375000000006</v>
      </c>
      <c r="V142">
        <v>0.65671874999999602</v>
      </c>
      <c r="W142">
        <v>80.100001525878909</v>
      </c>
      <c r="X142">
        <f>(W142-80)/80*100</f>
        <v>0.12500190734863637</v>
      </c>
      <c r="Y142">
        <f>TREND(H142:H146,G142:G146,G142)</f>
        <v>10.385432163057047</v>
      </c>
      <c r="Z142">
        <f>ABS((Y142-H142)/80*100)</f>
        <v>2.992854617869245E-2</v>
      </c>
      <c r="AA142">
        <f>MAX(Z142:Z146)</f>
        <v>6.0227502382268483E-2</v>
      </c>
      <c r="AB142">
        <f>IF(ABS(MAX(P142:P148)) &gt; ABS(MIN(P142:P148)),MAX(P142:P148), MIN(P142:P148))</f>
        <v>0.65671874999999602</v>
      </c>
      <c r="AC142">
        <f>IF(ABS(AB143)&gt;ABS(AB142),AB143,AB142)</f>
        <v>0.65671874999999602</v>
      </c>
      <c r="AE142">
        <f>ABS(P190-P134)</f>
        <v>0.17733437500000226</v>
      </c>
      <c r="AH142">
        <f>H142-AG128</f>
        <v>10.176937499999998</v>
      </c>
      <c r="AI142">
        <f>100*(AH142-O142)/80</f>
        <v>0.22582187499999185</v>
      </c>
      <c r="AJ142">
        <v>50.148812499999998</v>
      </c>
      <c r="AK142">
        <v>0.1907156249999975</v>
      </c>
      <c r="AL142">
        <v>90.276937500000003</v>
      </c>
      <c r="AM142">
        <v>0.36617187499999204</v>
      </c>
      <c r="AN142">
        <f>IF(ABS(MAX(AI142:AI148)) &gt; ABS(MIN(AI142:AI148)),MAX(AI142:AI148), MIN(AI142:AI148))</f>
        <v>0.36617187499999204</v>
      </c>
      <c r="AO142">
        <f>IF(ABS(AN143)&gt;ABS(AN142),AN143,AN142)</f>
        <v>0.36617187499999204</v>
      </c>
    </row>
    <row r="143" spans="1:41" x14ac:dyDescent="0.35">
      <c r="A143" t="s">
        <v>235</v>
      </c>
      <c r="B143" t="s">
        <v>231</v>
      </c>
      <c r="C143" t="s">
        <v>823</v>
      </c>
      <c r="D143">
        <v>0</v>
      </c>
      <c r="E143">
        <v>0.1</v>
      </c>
      <c r="F143">
        <v>-0.5</v>
      </c>
      <c r="G143">
        <v>-0.50023399999999996</v>
      </c>
      <c r="H143">
        <v>30.4140625</v>
      </c>
      <c r="J143">
        <v>-16557</v>
      </c>
      <c r="N143" t="s">
        <v>173</v>
      </c>
      <c r="O143">
        <f t="shared" si="6"/>
        <v>29.990640000000003</v>
      </c>
      <c r="P143">
        <f t="shared" si="7"/>
        <v>0.52927812499999671</v>
      </c>
      <c r="Q143">
        <f t="shared" si="8"/>
        <v>0.52927812499999671</v>
      </c>
      <c r="Y143">
        <f>TREND(H142:H146,G142:G146,G143)</f>
        <v>30.401799543070293</v>
      </c>
      <c r="Z143">
        <f>ABS((Y143-H143)/80*100)</f>
        <v>1.5328696162133504E-2</v>
      </c>
      <c r="AB143">
        <f>IF(ABS(T142) &gt; ABS(V142),T142,V142)</f>
        <v>0.65671874999999602</v>
      </c>
      <c r="AE143">
        <f>ABS(P184-P156)</f>
        <v>0.19507812499999666</v>
      </c>
      <c r="AH143">
        <f>H143-AG128</f>
        <v>30.181624999999997</v>
      </c>
      <c r="AI143">
        <f>100*(AH143-O143)/80</f>
        <v>0.23873124999999273</v>
      </c>
      <c r="AN143">
        <f>IF(ABS(AK142) &gt; ABS(AM142),AK142,AM142)</f>
        <v>0.36617187499999204</v>
      </c>
    </row>
    <row r="144" spans="1:41" x14ac:dyDescent="0.35">
      <c r="A144" t="s">
        <v>235</v>
      </c>
      <c r="B144" t="s">
        <v>231</v>
      </c>
      <c r="C144" t="s">
        <v>858</v>
      </c>
      <c r="D144">
        <v>0</v>
      </c>
      <c r="E144">
        <v>0</v>
      </c>
      <c r="F144">
        <v>0</v>
      </c>
      <c r="G144">
        <v>-9.3999999999999994E-5</v>
      </c>
      <c r="H144">
        <v>50.381250000000001</v>
      </c>
      <c r="J144">
        <v>-16546</v>
      </c>
      <c r="N144" t="s">
        <v>173</v>
      </c>
      <c r="O144">
        <f t="shared" si="6"/>
        <v>49.99624</v>
      </c>
      <c r="P144">
        <f t="shared" si="7"/>
        <v>0.48126250000000148</v>
      </c>
      <c r="Q144">
        <f t="shared" si="8"/>
        <v>0.48126250000000148</v>
      </c>
      <c r="Y144">
        <f>TREND(H142:H146,G142:G146,G144)</f>
        <v>50.429419294719906</v>
      </c>
      <c r="Z144">
        <f>ABS((Y144-H144)/80*100)</f>
        <v>6.021161839988131E-2</v>
      </c>
      <c r="AE144">
        <f>ABS(P185-P157)</f>
        <v>0.30061874999999905</v>
      </c>
      <c r="AH144">
        <f>H144-AG128</f>
        <v>50.148812499999998</v>
      </c>
      <c r="AI144">
        <f>100*(AH144-O144)/80</f>
        <v>0.1907156249999975</v>
      </c>
    </row>
    <row r="145" spans="1:41" x14ac:dyDescent="0.35">
      <c r="A145" t="s">
        <v>235</v>
      </c>
      <c r="B145" t="s">
        <v>231</v>
      </c>
      <c r="C145" t="s">
        <v>895</v>
      </c>
      <c r="D145">
        <v>0</v>
      </c>
      <c r="E145">
        <v>0.1</v>
      </c>
      <c r="F145">
        <v>0.5</v>
      </c>
      <c r="G145">
        <v>0.49940899999999999</v>
      </c>
      <c r="H145">
        <v>70.395312500000003</v>
      </c>
      <c r="J145">
        <v>-16533</v>
      </c>
      <c r="N145" t="s">
        <v>173</v>
      </c>
      <c r="O145">
        <f t="shared" si="6"/>
        <v>69.97636</v>
      </c>
      <c r="P145">
        <f t="shared" si="7"/>
        <v>0.52369062500000396</v>
      </c>
      <c r="Q145">
        <f t="shared" si="8"/>
        <v>0.52369062500000396</v>
      </c>
      <c r="Y145">
        <f>TREND(H142:H146,G142:G146,G145)</f>
        <v>70.431531001058602</v>
      </c>
      <c r="Z145">
        <f>ABS((Y145-H145)/80*100)</f>
        <v>4.5273126323248647E-2</v>
      </c>
      <c r="AE145">
        <f>ABS(P186-P158)</f>
        <v>0.10724062499999576</v>
      </c>
      <c r="AH145">
        <f>H145-AG128</f>
        <v>70.162875</v>
      </c>
      <c r="AI145">
        <f>100*(AH145-O145)/80</f>
        <v>0.23314374999999998</v>
      </c>
    </row>
    <row r="146" spans="1:41" x14ac:dyDescent="0.35">
      <c r="A146" t="s">
        <v>235</v>
      </c>
      <c r="B146" t="s">
        <v>231</v>
      </c>
      <c r="C146" t="s">
        <v>932</v>
      </c>
      <c r="D146">
        <v>0</v>
      </c>
      <c r="E146">
        <v>0.1</v>
      </c>
      <c r="F146">
        <v>1</v>
      </c>
      <c r="G146">
        <v>0.99960000000000004</v>
      </c>
      <c r="H146">
        <v>90.509375000000006</v>
      </c>
      <c r="J146">
        <v>-16529</v>
      </c>
      <c r="N146" t="s">
        <v>173</v>
      </c>
      <c r="O146">
        <f t="shared" si="6"/>
        <v>89.984000000000009</v>
      </c>
      <c r="P146">
        <f t="shared" si="7"/>
        <v>0.65671874999999602</v>
      </c>
      <c r="Q146">
        <f t="shared" si="8"/>
        <v>0.65671874999999602</v>
      </c>
      <c r="Y146">
        <f>TREND(H142:H146,G142:G146,G146)</f>
        <v>90.461192998094191</v>
      </c>
      <c r="Z146">
        <f>ABS((Y146-H146)/80*100)</f>
        <v>6.0227502382268483E-2</v>
      </c>
      <c r="AE146">
        <f>ABS(P187-P159)</f>
        <v>9.4412500000000676E-2</v>
      </c>
      <c r="AH146">
        <f>H146-AG128</f>
        <v>90.276937500000003</v>
      </c>
      <c r="AI146">
        <f>100*(AH146-O146)/80</f>
        <v>0.36617187499999204</v>
      </c>
    </row>
    <row r="147" spans="1:41" x14ac:dyDescent="0.35">
      <c r="A147" t="s">
        <v>235</v>
      </c>
      <c r="B147" t="s">
        <v>231</v>
      </c>
      <c r="C147" t="s">
        <v>969</v>
      </c>
      <c r="D147">
        <v>0</v>
      </c>
      <c r="E147">
        <v>-0.1</v>
      </c>
      <c r="F147">
        <v>0</v>
      </c>
      <c r="G147">
        <v>5.5999999999999999E-5</v>
      </c>
      <c r="H147">
        <v>50.454687499999999</v>
      </c>
      <c r="J147">
        <v>-16527</v>
      </c>
      <c r="N147" t="s">
        <v>173</v>
      </c>
      <c r="O147">
        <f t="shared" si="6"/>
        <v>50.00224</v>
      </c>
      <c r="P147">
        <f t="shared" si="7"/>
        <v>0.56555937499999764</v>
      </c>
      <c r="Q147">
        <f t="shared" si="8"/>
        <v>0.56555937499999764</v>
      </c>
      <c r="Y147">
        <f>TREND(H142:H146,G142:G146,G147)</f>
        <v>50.435425898796261</v>
      </c>
      <c r="Z147">
        <f>ABS((Y147-H147)/80*100)</f>
        <v>2.4077001504672069E-2</v>
      </c>
      <c r="AE147">
        <f>ABS(P188-P160)</f>
        <v>0.14649999999999608</v>
      </c>
      <c r="AH147">
        <f>H147-AG128</f>
        <v>50.222249999999995</v>
      </c>
      <c r="AI147">
        <f>100*(AH147-O147)/80</f>
        <v>0.27501249999999366</v>
      </c>
    </row>
    <row r="148" spans="1:41" x14ac:dyDescent="0.35">
      <c r="A148" t="s">
        <v>235</v>
      </c>
      <c r="B148" t="s">
        <v>231</v>
      </c>
      <c r="C148" t="s">
        <v>1004</v>
      </c>
      <c r="D148">
        <v>0</v>
      </c>
      <c r="E148">
        <v>0</v>
      </c>
      <c r="F148">
        <v>-1</v>
      </c>
      <c r="G148">
        <v>-1.0000640000000001</v>
      </c>
      <c r="H148">
        <v>10.3203125</v>
      </c>
      <c r="J148">
        <v>-16499</v>
      </c>
      <c r="N148" t="s">
        <v>173</v>
      </c>
      <c r="O148">
        <f t="shared" si="6"/>
        <v>9.9974399999999974</v>
      </c>
      <c r="P148">
        <f t="shared" si="7"/>
        <v>0.4035906250000032</v>
      </c>
      <c r="Q148">
        <f t="shared" si="8"/>
        <v>0.4035906250000032</v>
      </c>
      <c r="Y148">
        <f>TREND(H142:H146,G142:G146,G148)</f>
        <v>10.386593439845136</v>
      </c>
      <c r="Z148">
        <f>ABS((Y148-H148)/80*100)</f>
        <v>8.2851174806419792E-2</v>
      </c>
      <c r="AE148">
        <f>ABS(P189-P161)</f>
        <v>0.26307187500000495</v>
      </c>
      <c r="AH148">
        <f>H148-AG128</f>
        <v>10.087874999999997</v>
      </c>
      <c r="AI148">
        <f>100*(AH148-O148)/80</f>
        <v>0.11304374999999922</v>
      </c>
    </row>
    <row r="149" spans="1:41" x14ac:dyDescent="0.35">
      <c r="A149" t="s">
        <v>235</v>
      </c>
      <c r="B149" t="s">
        <v>231</v>
      </c>
      <c r="C149" t="s">
        <v>1041</v>
      </c>
      <c r="D149">
        <v>10</v>
      </c>
      <c r="E149">
        <v>10</v>
      </c>
      <c r="F149">
        <v>-1</v>
      </c>
      <c r="G149">
        <v>-1.000138</v>
      </c>
      <c r="H149">
        <v>10.364062499999999</v>
      </c>
      <c r="J149">
        <v>-12286</v>
      </c>
      <c r="N149" t="s">
        <v>173</v>
      </c>
      <c r="O149">
        <f t="shared" si="6"/>
        <v>9.9944800000000011</v>
      </c>
      <c r="P149">
        <f t="shared" si="7"/>
        <v>0.46197812499999769</v>
      </c>
      <c r="Q149">
        <f t="shared" si="8"/>
        <v>0.46197812499999769</v>
      </c>
      <c r="S149">
        <v>50.35</v>
      </c>
      <c r="T149">
        <v>0.44599999999999973</v>
      </c>
      <c r="U149">
        <v>90.412499999999994</v>
      </c>
      <c r="V149">
        <v>0.54242499999999083</v>
      </c>
      <c r="W149">
        <v>80.048435974121091</v>
      </c>
      <c r="X149">
        <f>(W149-80)/80*100</f>
        <v>6.0544967651363635E-2</v>
      </c>
      <c r="Y149">
        <f>TREND(H149:H153,G149:G153,G149)</f>
        <v>10.311226995004304</v>
      </c>
      <c r="Z149">
        <f>ABS((Y149-H149)/80*100)</f>
        <v>6.6044381244618755E-2</v>
      </c>
      <c r="AA149">
        <f>MAX(Z149:Z153)</f>
        <v>9.1812531909023498E-2</v>
      </c>
      <c r="AB149">
        <f>IF(ABS(MAX(P149:P155)) &gt; ABS(MIN(P149:P155)),MAX(P149:P155), MIN(P149:P155))</f>
        <v>0.59381874999999695</v>
      </c>
      <c r="AC149">
        <f>IF(ABS(AB150)&gt;ABS(AB149),AB150,AB149)</f>
        <v>0.59381874999999695</v>
      </c>
      <c r="AE149">
        <f>ABS(P190-P162)</f>
        <v>0.23984375000000613</v>
      </c>
      <c r="AH149">
        <f>H149-AG128</f>
        <v>10.131624999999996</v>
      </c>
      <c r="AI149">
        <f>100*(AH149-O149)/80</f>
        <v>0.17143124999999371</v>
      </c>
      <c r="AJ149">
        <v>50.117562499999998</v>
      </c>
      <c r="AK149">
        <v>0.15545312499999575</v>
      </c>
      <c r="AL149">
        <v>90.180062499999991</v>
      </c>
      <c r="AM149">
        <v>0.25187812499998685</v>
      </c>
      <c r="AN149">
        <f>IF(ABS(MAX(AI149:AI155)) &gt; ABS(MIN(AI149:AI155)),MAX(AI149:AI155), MIN(AI149:AI155))</f>
        <v>0.30327187499999297</v>
      </c>
      <c r="AO149">
        <f>IF(ABS(AN150)&gt;ABS(AN149),AN150,AN149)</f>
        <v>0.30327187499999297</v>
      </c>
    </row>
    <row r="150" spans="1:41" x14ac:dyDescent="0.35">
      <c r="A150" t="s">
        <v>235</v>
      </c>
      <c r="B150" t="s">
        <v>231</v>
      </c>
      <c r="C150" t="s">
        <v>1076</v>
      </c>
      <c r="D150">
        <v>10</v>
      </c>
      <c r="E150">
        <v>10</v>
      </c>
      <c r="F150">
        <v>-0.5</v>
      </c>
      <c r="G150">
        <v>-0.50022200000000006</v>
      </c>
      <c r="H150">
        <v>30.267187499999999</v>
      </c>
      <c r="J150">
        <v>-12278</v>
      </c>
      <c r="N150" t="s">
        <v>173</v>
      </c>
      <c r="O150">
        <f t="shared" si="6"/>
        <v>29.991119999999999</v>
      </c>
      <c r="P150">
        <f t="shared" si="7"/>
        <v>0.34508437499999989</v>
      </c>
      <c r="Q150">
        <f t="shared" si="8"/>
        <v>0.34508437499999989</v>
      </c>
      <c r="Y150">
        <f>TREND(H149:H153,G149:G153,G150)</f>
        <v>30.340637525527217</v>
      </c>
      <c r="Z150">
        <f>ABS((Y150-H150)/80*100)</f>
        <v>9.1812531909023498E-2</v>
      </c>
      <c r="AB150">
        <f>IF(ABS(T149) &gt; ABS(V149),T149,V149)</f>
        <v>0.54242499999999083</v>
      </c>
      <c r="AH150">
        <f>H150-AG128</f>
        <v>30.034749999999995</v>
      </c>
      <c r="AI150">
        <f>100*(AH150-O150)/80</f>
        <v>5.4537499999995909E-2</v>
      </c>
      <c r="AN150">
        <f>IF(ABS(AK149) &gt; ABS(AM149),AK149,AM149)</f>
        <v>0.25187812499998685</v>
      </c>
    </row>
    <row r="151" spans="1:41" x14ac:dyDescent="0.35">
      <c r="A151" t="s">
        <v>235</v>
      </c>
      <c r="B151" t="s">
        <v>1111</v>
      </c>
      <c r="C151" t="s">
        <v>1114</v>
      </c>
      <c r="D151">
        <v>10</v>
      </c>
      <c r="E151">
        <v>10</v>
      </c>
      <c r="F151">
        <v>0</v>
      </c>
      <c r="G151">
        <v>-1.7000000000000001E-4</v>
      </c>
      <c r="H151">
        <v>50.35</v>
      </c>
      <c r="J151">
        <v>-12261</v>
      </c>
      <c r="N151" t="s">
        <v>173</v>
      </c>
      <c r="O151">
        <f t="shared" si="6"/>
        <v>49.993200000000002</v>
      </c>
      <c r="P151">
        <f t="shared" si="7"/>
        <v>0.44599999999999973</v>
      </c>
      <c r="Q151">
        <f t="shared" si="8"/>
        <v>0.44599999999999973</v>
      </c>
      <c r="Y151">
        <f>TREND(H149:H153,G149:G153,G151)</f>
        <v>50.375496971132172</v>
      </c>
      <c r="Z151">
        <f>ABS((Y151-H151)/80*100)</f>
        <v>3.1871213915213303E-2</v>
      </c>
      <c r="AH151">
        <f>H151-AG128</f>
        <v>50.117562499999998</v>
      </c>
      <c r="AI151">
        <f>100*(AH151-O151)/80</f>
        <v>0.15545312499999575</v>
      </c>
    </row>
    <row r="152" spans="1:41" x14ac:dyDescent="0.35">
      <c r="A152" t="s">
        <v>235</v>
      </c>
      <c r="B152" t="s">
        <v>1111</v>
      </c>
      <c r="C152" t="s">
        <v>1151</v>
      </c>
      <c r="D152">
        <v>10</v>
      </c>
      <c r="E152">
        <v>10</v>
      </c>
      <c r="F152">
        <v>0.5</v>
      </c>
      <c r="G152">
        <v>0.499608</v>
      </c>
      <c r="H152">
        <v>70.459374999999994</v>
      </c>
      <c r="J152">
        <v>-12250</v>
      </c>
      <c r="N152" t="s">
        <v>173</v>
      </c>
      <c r="O152">
        <f t="shared" si="6"/>
        <v>69.984319999999997</v>
      </c>
      <c r="P152">
        <f t="shared" si="7"/>
        <v>0.59381874999999695</v>
      </c>
      <c r="Q152">
        <f t="shared" si="8"/>
        <v>0.59381874999999695</v>
      </c>
      <c r="Y152">
        <f>TREND(H149:H153,G149:G153,G152)</f>
        <v>70.399378455468906</v>
      </c>
      <c r="Z152">
        <f>ABS((Y152-H152)/80*100)</f>
        <v>7.4995680663860753E-2</v>
      </c>
      <c r="AH152">
        <f>H152-AG128</f>
        <v>70.226937499999991</v>
      </c>
      <c r="AI152">
        <f>100*(AH152-O152)/80</f>
        <v>0.30327187499999297</v>
      </c>
    </row>
    <row r="153" spans="1:41" x14ac:dyDescent="0.35">
      <c r="A153" t="s">
        <v>235</v>
      </c>
      <c r="B153" t="s">
        <v>1111</v>
      </c>
      <c r="C153" t="s">
        <v>1188</v>
      </c>
      <c r="D153">
        <v>10</v>
      </c>
      <c r="E153">
        <v>10</v>
      </c>
      <c r="F153">
        <v>1</v>
      </c>
      <c r="G153">
        <v>0.99946400000000002</v>
      </c>
      <c r="H153">
        <v>90.412499999999994</v>
      </c>
      <c r="J153">
        <v>-12236</v>
      </c>
      <c r="N153" t="s">
        <v>173</v>
      </c>
      <c r="O153">
        <f t="shared" si="6"/>
        <v>89.978560000000002</v>
      </c>
      <c r="P153">
        <f t="shared" si="7"/>
        <v>0.54242499999999083</v>
      </c>
      <c r="Q153">
        <f t="shared" si="8"/>
        <v>0.54242499999999083</v>
      </c>
      <c r="Y153">
        <f>TREND(H149:H153,G149:G153,G153)</f>
        <v>90.426385052867403</v>
      </c>
      <c r="Z153">
        <f>ABS((Y153-H153)/80*100)</f>
        <v>1.735631608426047E-2</v>
      </c>
      <c r="AH153">
        <f>H153-AG128</f>
        <v>90.180062499999991</v>
      </c>
      <c r="AI153">
        <f>100*(AH153-O153)/80</f>
        <v>0.25187812499998685</v>
      </c>
    </row>
    <row r="154" spans="1:41" x14ac:dyDescent="0.35">
      <c r="A154" t="s">
        <v>235</v>
      </c>
      <c r="B154" t="s">
        <v>1111</v>
      </c>
      <c r="C154" t="s">
        <v>1224</v>
      </c>
      <c r="D154">
        <v>10</v>
      </c>
      <c r="E154">
        <v>10</v>
      </c>
      <c r="F154">
        <v>0</v>
      </c>
      <c r="G154">
        <v>2.5599999999999999E-4</v>
      </c>
      <c r="H154">
        <v>50.4296875</v>
      </c>
      <c r="J154">
        <v>-12246</v>
      </c>
      <c r="N154" t="s">
        <v>173</v>
      </c>
      <c r="O154">
        <f t="shared" si="6"/>
        <v>50.010240000000003</v>
      </c>
      <c r="P154">
        <f t="shared" si="7"/>
        <v>0.52430937499999608</v>
      </c>
      <c r="Q154">
        <f t="shared" si="8"/>
        <v>0.52430937499999608</v>
      </c>
      <c r="Y154">
        <f>TREND(H149:H153,G149:G153,G154)</f>
        <v>50.392564896315605</v>
      </c>
      <c r="Z154">
        <f>ABS((Y154-H154)/80*100)</f>
        <v>4.6403254605493771E-2</v>
      </c>
      <c r="AH154">
        <f>H154-AG128</f>
        <v>50.197249999999997</v>
      </c>
      <c r="AI154">
        <f>100*(AH154-O154)/80</f>
        <v>0.2337624999999921</v>
      </c>
    </row>
    <row r="155" spans="1:41" x14ac:dyDescent="0.35">
      <c r="A155" t="s">
        <v>235</v>
      </c>
      <c r="B155" t="s">
        <v>1111</v>
      </c>
      <c r="C155" t="s">
        <v>1261</v>
      </c>
      <c r="D155">
        <v>10</v>
      </c>
      <c r="E155">
        <v>10</v>
      </c>
      <c r="F155">
        <v>-1</v>
      </c>
      <c r="G155">
        <v>-0.99977499999999997</v>
      </c>
      <c r="H155">
        <v>10.3375</v>
      </c>
      <c r="J155">
        <v>-12232</v>
      </c>
      <c r="N155" t="s">
        <v>173</v>
      </c>
      <c r="O155">
        <f t="shared" si="6"/>
        <v>10.009</v>
      </c>
      <c r="P155">
        <f t="shared" si="7"/>
        <v>0.41062500000000002</v>
      </c>
      <c r="Q155">
        <f t="shared" si="8"/>
        <v>0.41062500000000002</v>
      </c>
      <c r="Y155">
        <f>TREND(H149:H153,G149:G153,G155)</f>
        <v>10.325770790407091</v>
      </c>
      <c r="Z155">
        <f>ABS((Y155-H155)/80*100)</f>
        <v>1.4661511991136409E-2</v>
      </c>
      <c r="AH155">
        <f>H155-AG128</f>
        <v>10.105062499999997</v>
      </c>
      <c r="AI155">
        <f>100*(AH155-O155)/80</f>
        <v>0.12007812499999604</v>
      </c>
    </row>
    <row r="156" spans="1:41" x14ac:dyDescent="0.35">
      <c r="A156" t="s">
        <v>235</v>
      </c>
      <c r="B156" t="s">
        <v>1111</v>
      </c>
      <c r="C156" t="s">
        <v>1297</v>
      </c>
      <c r="D156">
        <v>25</v>
      </c>
      <c r="E156">
        <v>25</v>
      </c>
      <c r="F156">
        <v>-1</v>
      </c>
      <c r="G156">
        <v>-1.000006</v>
      </c>
      <c r="H156">
        <v>10.292187500000001</v>
      </c>
      <c r="J156">
        <v>-6457</v>
      </c>
      <c r="N156" t="s">
        <v>173</v>
      </c>
      <c r="O156">
        <f t="shared" si="6"/>
        <v>9.999760000000002</v>
      </c>
      <c r="P156">
        <f t="shared" si="7"/>
        <v>0.36553437499999841</v>
      </c>
      <c r="Q156">
        <f t="shared" si="8"/>
        <v>0.36553437499999841</v>
      </c>
      <c r="S156">
        <v>50.243749999999999</v>
      </c>
      <c r="T156">
        <v>0.28968749999999766</v>
      </c>
      <c r="U156">
        <v>90.3515625</v>
      </c>
      <c r="V156">
        <v>0.46365312500000755</v>
      </c>
      <c r="W156">
        <v>80.059375000000003</v>
      </c>
      <c r="X156">
        <f>(W156-80)/80*100</f>
        <v>7.4218750000003553E-2</v>
      </c>
      <c r="Y156">
        <f>TREND(H156:H160,G156:G160,G156)</f>
        <v>10.258940635830669</v>
      </c>
      <c r="Z156">
        <f>ABS((Y156-H156)/80*100)</f>
        <v>4.1558580211664697E-2</v>
      </c>
      <c r="AA156">
        <f>MAX(Z156:Z160)</f>
        <v>0.10144596848386199</v>
      </c>
      <c r="AB156">
        <f>IF(ABS(MAX(P156:P162)) &gt; ABS(MIN(P156:P162)),MAX(P156:P162), MIN(P156:P162))</f>
        <v>0.48805937500000951</v>
      </c>
      <c r="AC156">
        <f>IF(ABS(AB157)&gt;ABS(AB156),AB157,AB156)</f>
        <v>0.48805937500000951</v>
      </c>
      <c r="AH156">
        <f>H156-AG128</f>
        <v>10.059749999999998</v>
      </c>
      <c r="AI156">
        <f>100*(AH156-O156)/80</f>
        <v>7.4987499999994434E-2</v>
      </c>
      <c r="AJ156">
        <v>50.011312499999995</v>
      </c>
      <c r="AK156">
        <v>-8.5937500000632383E-4</v>
      </c>
      <c r="AL156">
        <v>90.119124999999997</v>
      </c>
      <c r="AM156">
        <v>0.17310625000000357</v>
      </c>
      <c r="AN156">
        <f>IF(ABS(MAX(AI156:AI162)) &gt; ABS(MIN(AI156:AI162)),MAX(AI156:AI162), MIN(AI156:AI162))</f>
        <v>0.19751250000000553</v>
      </c>
      <c r="AO156">
        <f>IF(ABS(AN157)&gt;ABS(AN156),AN157,AN156)</f>
        <v>0.19751250000000553</v>
      </c>
    </row>
    <row r="157" spans="1:41" x14ac:dyDescent="0.35">
      <c r="A157" t="s">
        <v>235</v>
      </c>
      <c r="B157" t="s">
        <v>1111</v>
      </c>
      <c r="C157" t="s">
        <v>1334</v>
      </c>
      <c r="D157">
        <v>25</v>
      </c>
      <c r="E157">
        <v>25</v>
      </c>
      <c r="F157">
        <v>-0.5</v>
      </c>
      <c r="G157">
        <v>-0.50048700000000002</v>
      </c>
      <c r="H157">
        <v>30.259374999999999</v>
      </c>
      <c r="J157">
        <v>-6438</v>
      </c>
      <c r="N157" t="s">
        <v>173</v>
      </c>
      <c r="O157">
        <f t="shared" si="6"/>
        <v>29.980519999999999</v>
      </c>
      <c r="P157">
        <f t="shared" si="7"/>
        <v>0.34856875000000009</v>
      </c>
      <c r="Q157">
        <f t="shared" si="8"/>
        <v>0.34856875000000009</v>
      </c>
      <c r="Y157">
        <f>TREND(H156:H160,G156:G160,G157)</f>
        <v>30.266529653356677</v>
      </c>
      <c r="Z157">
        <f>ABS((Y157-H157)/80*100)</f>
        <v>8.9433166958485799E-3</v>
      </c>
      <c r="AB157">
        <f>IF(ABS(T156) &gt; ABS(V156),T156,V156)</f>
        <v>0.46365312500000755</v>
      </c>
      <c r="AH157">
        <f>H157-AG128</f>
        <v>30.026937499999995</v>
      </c>
      <c r="AI157">
        <f>100*(AH157-O157)/80</f>
        <v>5.8021874999996115E-2</v>
      </c>
      <c r="AN157">
        <f>IF(ABS(AK156) &gt; ABS(AM156),AK156,AM156)</f>
        <v>0.17310625000000357</v>
      </c>
    </row>
    <row r="158" spans="1:41" x14ac:dyDescent="0.35">
      <c r="A158" t="s">
        <v>235</v>
      </c>
      <c r="B158" t="s">
        <v>1111</v>
      </c>
      <c r="C158" t="s">
        <v>1370</v>
      </c>
      <c r="D158">
        <v>25</v>
      </c>
      <c r="E158">
        <v>25</v>
      </c>
      <c r="F158">
        <v>0</v>
      </c>
      <c r="G158">
        <v>2.9999999999999997E-4</v>
      </c>
      <c r="H158">
        <v>50.243749999999999</v>
      </c>
      <c r="J158">
        <v>-6419</v>
      </c>
      <c r="N158" t="s">
        <v>173</v>
      </c>
      <c r="O158">
        <f t="shared" si="6"/>
        <v>50.012</v>
      </c>
      <c r="P158">
        <f t="shared" si="7"/>
        <v>0.28968749999999766</v>
      </c>
      <c r="Q158">
        <f t="shared" si="8"/>
        <v>0.28968749999999766</v>
      </c>
      <c r="Y158">
        <f>TREND(H156:H160,G156:G160,G158)</f>
        <v>50.324906774787088</v>
      </c>
      <c r="Z158">
        <f>ABS((Y158-H158)/80*100)</f>
        <v>0.10144596848386199</v>
      </c>
      <c r="AH158">
        <f>H158-AG128</f>
        <v>50.011312499999995</v>
      </c>
      <c r="AI158">
        <f>100*(AH158-O158)/80</f>
        <v>-8.5937500000632383E-4</v>
      </c>
    </row>
    <row r="159" spans="1:41" x14ac:dyDescent="0.35">
      <c r="A159" t="s">
        <v>235</v>
      </c>
      <c r="B159" t="s">
        <v>1111</v>
      </c>
      <c r="C159" t="s">
        <v>1407</v>
      </c>
      <c r="D159">
        <v>25</v>
      </c>
      <c r="E159">
        <v>25</v>
      </c>
      <c r="F159">
        <v>0.5</v>
      </c>
      <c r="G159">
        <v>0.49973099999999998</v>
      </c>
      <c r="H159">
        <v>70.379687500000003</v>
      </c>
      <c r="J159">
        <v>-6402</v>
      </c>
      <c r="N159" t="s">
        <v>173</v>
      </c>
      <c r="O159">
        <f t="shared" si="6"/>
        <v>69.989239999999995</v>
      </c>
      <c r="P159">
        <f t="shared" si="7"/>
        <v>0.48805937500000951</v>
      </c>
      <c r="Q159">
        <f t="shared" si="8"/>
        <v>0.48805937500000951</v>
      </c>
      <c r="Y159">
        <f>TREND(H156:H160,G156:G160,G159)</f>
        <v>70.328971065859164</v>
      </c>
      <c r="Z159">
        <f>ABS((Y159-H159)/80*100)</f>
        <v>6.3395542676047967E-2</v>
      </c>
      <c r="AH159">
        <f>H159-AG128</f>
        <v>70.14725</v>
      </c>
      <c r="AI159">
        <f>100*(AH159-O159)/80</f>
        <v>0.19751250000000553</v>
      </c>
    </row>
    <row r="160" spans="1:41" x14ac:dyDescent="0.35">
      <c r="A160" t="s">
        <v>235</v>
      </c>
      <c r="B160" t="s">
        <v>1111</v>
      </c>
      <c r="C160" t="s">
        <v>1443</v>
      </c>
      <c r="D160">
        <v>25</v>
      </c>
      <c r="E160">
        <v>25</v>
      </c>
      <c r="F160">
        <v>1</v>
      </c>
      <c r="G160">
        <v>0.99951599999999996</v>
      </c>
      <c r="H160">
        <v>90.3515625</v>
      </c>
      <c r="J160">
        <v>-6396</v>
      </c>
      <c r="N160" t="s">
        <v>173</v>
      </c>
      <c r="O160">
        <f t="shared" si="6"/>
        <v>89.980639999999994</v>
      </c>
      <c r="P160">
        <f t="shared" si="7"/>
        <v>0.46365312500000755</v>
      </c>
      <c r="Q160">
        <f t="shared" si="8"/>
        <v>0.46365312500000755</v>
      </c>
      <c r="Y160">
        <f>TREND(H156:H160,G156:G160,G160)</f>
        <v>90.347214370166384</v>
      </c>
      <c r="Z160">
        <f>ABS((Y160-H160)/80*100)</f>
        <v>5.4351622920201237E-3</v>
      </c>
      <c r="AH160">
        <f>H160-AG128</f>
        <v>90.119124999999997</v>
      </c>
      <c r="AI160">
        <f>100*(AH160-O160)/80</f>
        <v>0.17310625000000357</v>
      </c>
    </row>
    <row r="161" spans="1:41" x14ac:dyDescent="0.35">
      <c r="A161" t="s">
        <v>235</v>
      </c>
      <c r="B161" t="s">
        <v>1111</v>
      </c>
      <c r="C161" t="s">
        <v>1480</v>
      </c>
      <c r="D161">
        <v>25</v>
      </c>
      <c r="E161">
        <v>25</v>
      </c>
      <c r="F161">
        <v>0</v>
      </c>
      <c r="G161">
        <v>3.0000000000000001E-6</v>
      </c>
      <c r="H161">
        <v>50.295312500000001</v>
      </c>
      <c r="J161">
        <v>-6377</v>
      </c>
      <c r="N161" t="s">
        <v>173</v>
      </c>
      <c r="O161">
        <f t="shared" si="6"/>
        <v>50.000119999999995</v>
      </c>
      <c r="P161">
        <f t="shared" si="7"/>
        <v>0.36899062500000746</v>
      </c>
      <c r="Q161">
        <f t="shared" si="8"/>
        <v>0.36899062500000746</v>
      </c>
      <c r="Y161">
        <f>TREND(H156:H160,G156:G160,G161)</f>
        <v>50.313010823005065</v>
      </c>
      <c r="Z161">
        <f>ABS((Y161-H161)/80*100)</f>
        <v>2.2122903756329748E-2</v>
      </c>
      <c r="AH161">
        <f>H161-AG128</f>
        <v>50.062874999999998</v>
      </c>
      <c r="AI161">
        <f>100*(AH161-O161)/80</f>
        <v>7.8443750000003476E-2</v>
      </c>
    </row>
    <row r="162" spans="1:41" x14ac:dyDescent="0.35">
      <c r="A162" t="s">
        <v>235</v>
      </c>
      <c r="B162" t="s">
        <v>1111</v>
      </c>
      <c r="C162" t="s">
        <v>1517</v>
      </c>
      <c r="D162">
        <v>25</v>
      </c>
      <c r="E162">
        <v>25</v>
      </c>
      <c r="F162">
        <v>-1</v>
      </c>
      <c r="G162">
        <v>-0.99987400000000004</v>
      </c>
      <c r="H162">
        <v>10.2796875</v>
      </c>
      <c r="J162">
        <v>-6356</v>
      </c>
      <c r="N162" t="s">
        <v>173</v>
      </c>
      <c r="O162">
        <f t="shared" si="6"/>
        <v>10.005039999999997</v>
      </c>
      <c r="P162">
        <f t="shared" si="7"/>
        <v>0.34330937500000269</v>
      </c>
      <c r="Q162">
        <f t="shared" si="8"/>
        <v>0.34330937500000269</v>
      </c>
      <c r="Y162">
        <f>TREND(H156:H160,G156:G160,G162)</f>
        <v>10.264227725511567</v>
      </c>
      <c r="Z162">
        <f>ABS((Y162-H162)/80*100)</f>
        <v>1.9324718110540484E-2</v>
      </c>
      <c r="AH162">
        <f>H162-AG128</f>
        <v>10.047249999999996</v>
      </c>
      <c r="AI162">
        <f>100*(AH162-O162)/80</f>
        <v>5.2762499999998713E-2</v>
      </c>
    </row>
    <row r="163" spans="1:41" x14ac:dyDescent="0.35">
      <c r="A163" t="s">
        <v>235</v>
      </c>
      <c r="B163" t="s">
        <v>1111</v>
      </c>
      <c r="C163" t="s">
        <v>1554</v>
      </c>
      <c r="D163">
        <v>50</v>
      </c>
      <c r="E163">
        <v>50</v>
      </c>
      <c r="F163">
        <v>-1</v>
      </c>
      <c r="G163">
        <v>-0.99976799999999999</v>
      </c>
      <c r="H163">
        <v>10.246874999999999</v>
      </c>
      <c r="J163">
        <v>3157</v>
      </c>
      <c r="N163" t="s">
        <v>173</v>
      </c>
      <c r="O163">
        <f t="shared" si="6"/>
        <v>10.00928</v>
      </c>
      <c r="P163">
        <f t="shared" si="7"/>
        <v>0.29699374999999861</v>
      </c>
      <c r="Q163">
        <f t="shared" si="8"/>
        <v>0.29699374999999861</v>
      </c>
      <c r="S163">
        <v>50.193750000000001</v>
      </c>
      <c r="T163">
        <v>0.25383750000000482</v>
      </c>
      <c r="U163">
        <v>90.346874999999997</v>
      </c>
      <c r="V163">
        <v>0.43794374999999164</v>
      </c>
      <c r="W163">
        <v>80.10000305175781</v>
      </c>
      <c r="X163">
        <f>(W163-80)/80*100</f>
        <v>0.12500381469726207</v>
      </c>
      <c r="Y163">
        <f>TREND(H163:H167,G163:G167,G163)</f>
        <v>10.150629789967176</v>
      </c>
      <c r="Z163">
        <f>ABS((Y163-H163)/80*100)</f>
        <v>0.12030651254102853</v>
      </c>
      <c r="AA163">
        <f>MAX(Z163:Z167)</f>
        <v>0.15658016172863221</v>
      </c>
      <c r="AB163">
        <f>IF(ABS(MAX(P163:P169)) &gt; ABS(MIN(P163:P169)),MAX(P163:P169), MIN(P163:P169))</f>
        <v>0.48834375000000207</v>
      </c>
      <c r="AC163">
        <f>IF(ABS(AB164)&gt;ABS(AB163),AB164,AB163)</f>
        <v>0.48834375000000207</v>
      </c>
      <c r="AH163">
        <f>H163-AG128</f>
        <v>10.014437499999996</v>
      </c>
      <c r="AI163">
        <f>100*(AH163-O163)/80</f>
        <v>6.446874999994634E-3</v>
      </c>
      <c r="AJ163">
        <v>49.961312499999998</v>
      </c>
      <c r="AK163">
        <v>-3.6709374999999156E-2</v>
      </c>
      <c r="AL163">
        <v>90.114437499999994</v>
      </c>
      <c r="AM163">
        <v>0.14739687499998766</v>
      </c>
      <c r="AN163">
        <f>IF(ABS(MAX(AI163:AI169)) &gt; ABS(MIN(AI163:AI169)),MAX(AI163:AI169), MIN(AI163:AI169))</f>
        <v>-0.20225000000000382</v>
      </c>
      <c r="AO163">
        <f>IF(ABS(AN164)&gt;ABS(AN163),AN164,AN163)</f>
        <v>-0.20225000000000382</v>
      </c>
    </row>
    <row r="164" spans="1:41" x14ac:dyDescent="0.35">
      <c r="A164" t="s">
        <v>235</v>
      </c>
      <c r="B164" t="s">
        <v>1111</v>
      </c>
      <c r="C164" t="s">
        <v>1590</v>
      </c>
      <c r="D164">
        <v>50</v>
      </c>
      <c r="E164">
        <v>50</v>
      </c>
      <c r="F164">
        <v>-0.5</v>
      </c>
      <c r="G164">
        <v>-0.49992999999999999</v>
      </c>
      <c r="H164">
        <v>30.073437500000001</v>
      </c>
      <c r="J164">
        <v>3198</v>
      </c>
      <c r="N164" t="s">
        <v>173</v>
      </c>
      <c r="O164">
        <f t="shared" si="6"/>
        <v>30.002800000000001</v>
      </c>
      <c r="P164">
        <f t="shared" si="7"/>
        <v>8.8296875000000163E-2</v>
      </c>
      <c r="Q164">
        <f t="shared" si="8"/>
        <v>8.8296875000000163E-2</v>
      </c>
      <c r="Y164">
        <f>TREND(H163:H167,G163:G167,G164)</f>
        <v>30.198701629382906</v>
      </c>
      <c r="Z164">
        <f>ABS((Y164-H164)/80*100)</f>
        <v>0.15658016172863221</v>
      </c>
      <c r="AB164">
        <f>IF(ABS(T163) &gt; ABS(V163),T163,V163)</f>
        <v>0.43794374999999164</v>
      </c>
      <c r="AH164">
        <f>H164-AG128</f>
        <v>29.840999999999998</v>
      </c>
      <c r="AI164">
        <f>100*(AH164-O164)/80</f>
        <v>-0.20225000000000382</v>
      </c>
      <c r="AN164">
        <f>IF(ABS(AK163) &gt; ABS(AM163),AK163,AM163)</f>
        <v>0.14739687499998766</v>
      </c>
    </row>
    <row r="165" spans="1:41" x14ac:dyDescent="0.35">
      <c r="A165" t="s">
        <v>235</v>
      </c>
      <c r="B165" t="s">
        <v>1111</v>
      </c>
      <c r="C165" t="s">
        <v>1627</v>
      </c>
      <c r="D165">
        <v>50</v>
      </c>
      <c r="E165">
        <v>50</v>
      </c>
      <c r="F165">
        <v>0</v>
      </c>
      <c r="G165">
        <v>-2.33E-4</v>
      </c>
      <c r="H165">
        <v>50.193750000000001</v>
      </c>
      <c r="J165">
        <v>3221</v>
      </c>
      <c r="N165" t="s">
        <v>173</v>
      </c>
      <c r="O165">
        <f t="shared" si="6"/>
        <v>49.990679999999998</v>
      </c>
      <c r="P165">
        <f t="shared" si="7"/>
        <v>0.25383750000000482</v>
      </c>
      <c r="Q165">
        <f t="shared" si="8"/>
        <v>0.25383750000000482</v>
      </c>
      <c r="Y165">
        <f>TREND(H163:H167,G163:G167,G165)</f>
        <v>50.241118080194013</v>
      </c>
      <c r="Z165">
        <f>ABS((Y165-H165)/80*100)</f>
        <v>5.921010024251494E-2</v>
      </c>
      <c r="AH165">
        <f>H165-AG128</f>
        <v>49.961312499999998</v>
      </c>
      <c r="AI165">
        <f>100*(AH165-O165)/80</f>
        <v>-3.6709374999999156E-2</v>
      </c>
    </row>
    <row r="166" spans="1:41" x14ac:dyDescent="0.35">
      <c r="A166" t="s">
        <v>235</v>
      </c>
      <c r="B166" t="s">
        <v>1111</v>
      </c>
      <c r="C166" t="s">
        <v>1664</v>
      </c>
      <c r="D166">
        <v>50</v>
      </c>
      <c r="E166">
        <v>50</v>
      </c>
      <c r="F166">
        <v>0.5</v>
      </c>
      <c r="G166">
        <v>0.50015500000000002</v>
      </c>
      <c r="H166">
        <v>70.396874999999994</v>
      </c>
      <c r="J166">
        <v>3254</v>
      </c>
      <c r="N166" t="s">
        <v>173</v>
      </c>
      <c r="O166">
        <f t="shared" si="6"/>
        <v>70.006199999999993</v>
      </c>
      <c r="P166">
        <f t="shared" si="7"/>
        <v>0.48834375000000207</v>
      </c>
      <c r="Q166">
        <f t="shared" si="8"/>
        <v>0.48834375000000207</v>
      </c>
      <c r="Y166">
        <f>TREND(H163:H167,G163:G167,G166)</f>
        <v>70.311249946081674</v>
      </c>
      <c r="Z166">
        <f>ABS((Y166-H166)/80*100)</f>
        <v>0.10703131739790094</v>
      </c>
      <c r="AH166">
        <f>H166-AG128</f>
        <v>70.164437499999991</v>
      </c>
      <c r="AI166">
        <f>100*(AH166-O166)/80</f>
        <v>0.1977968749999981</v>
      </c>
    </row>
    <row r="167" spans="1:41" x14ac:dyDescent="0.35">
      <c r="A167" t="s">
        <v>235</v>
      </c>
      <c r="B167" t="s">
        <v>1111</v>
      </c>
      <c r="C167" t="s">
        <v>1701</v>
      </c>
      <c r="D167">
        <v>50</v>
      </c>
      <c r="E167">
        <v>50</v>
      </c>
      <c r="F167">
        <v>1</v>
      </c>
      <c r="G167">
        <v>0.99991300000000005</v>
      </c>
      <c r="H167">
        <v>90.346874999999997</v>
      </c>
      <c r="J167">
        <v>3271</v>
      </c>
      <c r="N167" t="s">
        <v>173</v>
      </c>
      <c r="O167">
        <f t="shared" si="6"/>
        <v>89.996520000000004</v>
      </c>
      <c r="P167">
        <f t="shared" si="7"/>
        <v>0.43794374999999164</v>
      </c>
      <c r="Q167">
        <f t="shared" si="8"/>
        <v>0.43794374999999164</v>
      </c>
      <c r="Y167">
        <f>TREND(H163:H167,G163:G167,G167)</f>
        <v>90.356113054374219</v>
      </c>
      <c r="Z167">
        <f>ABS((Y167-H167)/80*100)</f>
        <v>1.1547567967777894E-2</v>
      </c>
      <c r="AH167">
        <f>H167-AG128</f>
        <v>90.114437499999994</v>
      </c>
      <c r="AI167">
        <f>100*(AH167-O167)/80</f>
        <v>0.14739687499998766</v>
      </c>
    </row>
    <row r="168" spans="1:41" x14ac:dyDescent="0.35">
      <c r="A168" t="s">
        <v>235</v>
      </c>
      <c r="B168" t="s">
        <v>1111</v>
      </c>
      <c r="C168" t="s">
        <v>1737</v>
      </c>
      <c r="D168">
        <v>50</v>
      </c>
      <c r="E168">
        <v>50</v>
      </c>
      <c r="F168">
        <v>0</v>
      </c>
      <c r="G168">
        <v>-2.2599999999999999E-4</v>
      </c>
      <c r="H168">
        <v>50.229687499999997</v>
      </c>
      <c r="J168">
        <v>3295</v>
      </c>
      <c r="N168" t="s">
        <v>173</v>
      </c>
      <c r="O168">
        <f t="shared" si="6"/>
        <v>49.990960000000001</v>
      </c>
      <c r="P168">
        <f t="shared" si="7"/>
        <v>0.29840937499999498</v>
      </c>
      <c r="Q168">
        <f t="shared" si="8"/>
        <v>0.29840937499999498</v>
      </c>
      <c r="Y168">
        <f>TREND(H163:H167,G163:G167,G168)</f>
        <v>50.241398844167293</v>
      </c>
      <c r="Z168">
        <f>ABS((Y168-H168)/80*100)</f>
        <v>1.4639180209119473E-2</v>
      </c>
      <c r="AH168">
        <f>H168-AG128</f>
        <v>49.997249999999994</v>
      </c>
      <c r="AI168">
        <f>100*(AH168-O168)/80</f>
        <v>7.8624999999910017E-3</v>
      </c>
    </row>
    <row r="169" spans="1:41" x14ac:dyDescent="0.35">
      <c r="A169" t="s">
        <v>235</v>
      </c>
      <c r="B169" t="s">
        <v>1111</v>
      </c>
      <c r="C169" t="s">
        <v>1774</v>
      </c>
      <c r="D169">
        <v>50</v>
      </c>
      <c r="E169">
        <v>50</v>
      </c>
      <c r="F169">
        <v>-1</v>
      </c>
      <c r="G169">
        <v>-0.99992199999999998</v>
      </c>
      <c r="H169">
        <v>10.21875</v>
      </c>
      <c r="J169">
        <v>3313</v>
      </c>
      <c r="N169" t="s">
        <v>173</v>
      </c>
      <c r="O169">
        <f t="shared" si="6"/>
        <v>10.003120000000001</v>
      </c>
      <c r="P169">
        <f t="shared" si="7"/>
        <v>0.26953749999999888</v>
      </c>
      <c r="Q169">
        <f t="shared" si="8"/>
        <v>0.26953749999999888</v>
      </c>
      <c r="Y169">
        <f>TREND(H163:H167,G163:G167,G169)</f>
        <v>10.14445298255503</v>
      </c>
      <c r="Z169">
        <f>ABS((Y169-H169)/80*100)</f>
        <v>9.2871271806211908E-2</v>
      </c>
      <c r="AH169">
        <f>H169-AG128</f>
        <v>9.9863124999999968</v>
      </c>
      <c r="AI169">
        <f>100*(AH169-O169)/80</f>
        <v>-2.1009375000005104E-2</v>
      </c>
    </row>
    <row r="170" spans="1:41" x14ac:dyDescent="0.35">
      <c r="A170" t="s">
        <v>235</v>
      </c>
      <c r="B170" t="s">
        <v>1111</v>
      </c>
      <c r="C170" t="s">
        <v>1811</v>
      </c>
      <c r="D170">
        <v>70</v>
      </c>
      <c r="E170">
        <v>70</v>
      </c>
      <c r="F170">
        <v>-1</v>
      </c>
      <c r="G170">
        <v>-0.99994000000000005</v>
      </c>
      <c r="H170">
        <v>10.268750000000001</v>
      </c>
      <c r="J170">
        <v>11067</v>
      </c>
      <c r="N170" t="s">
        <v>173</v>
      </c>
      <c r="O170">
        <f t="shared" si="6"/>
        <v>10.002399999999998</v>
      </c>
      <c r="P170">
        <f t="shared" si="7"/>
        <v>0.33293750000000344</v>
      </c>
      <c r="Q170">
        <f t="shared" si="8"/>
        <v>0.33293750000000344</v>
      </c>
      <c r="S170">
        <v>50.181249999999999</v>
      </c>
      <c r="T170">
        <v>0.21791249999999707</v>
      </c>
      <c r="U170">
        <v>90.379687500000003</v>
      </c>
      <c r="V170">
        <v>0.44060937500001174</v>
      </c>
      <c r="W170">
        <v>80.11093444824219</v>
      </c>
      <c r="X170">
        <f>(W170-80)/80*100</f>
        <v>0.13866806030273793</v>
      </c>
      <c r="Y170">
        <f>TREND(H170:H174,G170:G174,G170)</f>
        <v>10.162399697152829</v>
      </c>
      <c r="Z170">
        <f>ABS((Y170-H170)/80*100)</f>
        <v>0.13293787855896522</v>
      </c>
      <c r="AA170">
        <f>MAX(Z170:Z174)</f>
        <v>0.14538329319417898</v>
      </c>
      <c r="AB170">
        <f>IF(ABS(MAX(P170:P176)) &gt; ABS(MIN(P170:P176)),MAX(P170:P176), MIN(P170:P176))</f>
        <v>0.4699499999999901</v>
      </c>
      <c r="AC170">
        <f>IF(ABS(AB171)&gt;ABS(AB170),AB171,AB170)</f>
        <v>0.4699499999999901</v>
      </c>
      <c r="AH170">
        <f>H170-AG128</f>
        <v>10.036312499999998</v>
      </c>
      <c r="AI170">
        <f>100*(AH170-O170)/80</f>
        <v>4.239062499999946E-2</v>
      </c>
      <c r="AJ170">
        <v>49.948812499999995</v>
      </c>
      <c r="AK170">
        <v>-7.2634375000006912E-2</v>
      </c>
      <c r="AL170">
        <v>90.14725</v>
      </c>
      <c r="AM170">
        <v>0.15006250000000776</v>
      </c>
      <c r="AN170">
        <f>IF(ABS(MAX(AI170:AI176)) &gt; ABS(MIN(AI170:AI176)),MAX(AI170:AI176), MIN(AI170:AI176))</f>
        <v>0.17940312499998612</v>
      </c>
      <c r="AO170">
        <f>IF(ABS(AN171)&gt;ABS(AN170),AN171,AN170)</f>
        <v>0.17940312499998612</v>
      </c>
    </row>
    <row r="171" spans="1:41" x14ac:dyDescent="0.35">
      <c r="A171" t="s">
        <v>235</v>
      </c>
      <c r="B171" t="s">
        <v>1111</v>
      </c>
      <c r="C171" t="s">
        <v>1848</v>
      </c>
      <c r="D171">
        <v>70</v>
      </c>
      <c r="E171">
        <v>70</v>
      </c>
      <c r="F171">
        <v>-0.5</v>
      </c>
      <c r="G171">
        <v>-0.50024599999999997</v>
      </c>
      <c r="H171">
        <v>30.079687499999999</v>
      </c>
      <c r="J171">
        <v>11101</v>
      </c>
      <c r="N171" t="s">
        <v>173</v>
      </c>
      <c r="O171">
        <f t="shared" si="6"/>
        <v>29.990160000000003</v>
      </c>
      <c r="P171">
        <f t="shared" si="7"/>
        <v>0.11190937499999443</v>
      </c>
      <c r="Q171">
        <f t="shared" si="8"/>
        <v>0.11190937499999443</v>
      </c>
      <c r="Y171">
        <f>TREND(H170:H174,G170:G174,G171)</f>
        <v>30.195994134555342</v>
      </c>
      <c r="Z171">
        <f>ABS((Y171-H171)/80*100)</f>
        <v>0.14538329319417898</v>
      </c>
      <c r="AB171">
        <f>IF(ABS(T170) &gt; ABS(V170),T170,V170)</f>
        <v>0.44060937500001174</v>
      </c>
      <c r="AH171">
        <f>H171-AG128</f>
        <v>29.847249999999995</v>
      </c>
      <c r="AI171">
        <f>100*(AH171-O171)/80</f>
        <v>-0.17863750000000955</v>
      </c>
      <c r="AN171">
        <f>IF(ABS(AK170) &gt; ABS(AM170),AK170,AM170)</f>
        <v>0.15006250000000776</v>
      </c>
    </row>
    <row r="172" spans="1:41" x14ac:dyDescent="0.35">
      <c r="A172" t="s">
        <v>235</v>
      </c>
      <c r="B172" t="s">
        <v>1111</v>
      </c>
      <c r="C172" t="s">
        <v>1884</v>
      </c>
      <c r="D172">
        <v>70</v>
      </c>
      <c r="E172">
        <v>70</v>
      </c>
      <c r="F172">
        <v>0</v>
      </c>
      <c r="G172">
        <v>1.73E-4</v>
      </c>
      <c r="H172">
        <v>50.181249999999999</v>
      </c>
      <c r="J172">
        <v>11124</v>
      </c>
      <c r="N172" t="s">
        <v>173</v>
      </c>
      <c r="O172">
        <f t="shared" si="6"/>
        <v>50.006920000000001</v>
      </c>
      <c r="P172">
        <f t="shared" si="7"/>
        <v>0.21791249999999707</v>
      </c>
      <c r="Q172">
        <f t="shared" si="8"/>
        <v>0.21791249999999707</v>
      </c>
      <c r="Y172">
        <f>TREND(H170:H174,G170:G174,G172)</f>
        <v>50.258655072590464</v>
      </c>
      <c r="Z172">
        <f>ABS((Y172-H172)/80*100)</f>
        <v>9.6756340738082258E-2</v>
      </c>
      <c r="AH172">
        <f>H172-AG128</f>
        <v>49.948812499999995</v>
      </c>
      <c r="AI172">
        <f>100*(AH172-O172)/80</f>
        <v>-7.2634375000006912E-2</v>
      </c>
    </row>
    <row r="173" spans="1:41" x14ac:dyDescent="0.35">
      <c r="A173" t="s">
        <v>235</v>
      </c>
      <c r="B173" t="s">
        <v>1111</v>
      </c>
      <c r="C173" t="s">
        <v>1921</v>
      </c>
      <c r="D173">
        <v>70</v>
      </c>
      <c r="E173">
        <v>70</v>
      </c>
      <c r="F173">
        <v>0.5</v>
      </c>
      <c r="G173">
        <v>0.49997599999999998</v>
      </c>
      <c r="H173">
        <v>70.375</v>
      </c>
      <c r="J173">
        <v>11153</v>
      </c>
      <c r="N173" t="s">
        <v>173</v>
      </c>
      <c r="O173">
        <f t="shared" si="6"/>
        <v>69.999040000000008</v>
      </c>
      <c r="P173">
        <f t="shared" si="7"/>
        <v>0.4699499999999901</v>
      </c>
      <c r="Q173">
        <f t="shared" si="8"/>
        <v>0.4699499999999901</v>
      </c>
      <c r="Y173">
        <f>TREND(H170:H174,G170:G174,G173)</f>
        <v>70.29661950801912</v>
      </c>
      <c r="Z173">
        <f>ABS((Y173-H173)/80*100)</f>
        <v>9.7975614976100175E-2</v>
      </c>
      <c r="AH173">
        <f>H173-AG128</f>
        <v>70.142562499999997</v>
      </c>
      <c r="AI173">
        <f>100*(AH173-O173)/80</f>
        <v>0.17940312499998612</v>
      </c>
    </row>
    <row r="174" spans="1:41" x14ac:dyDescent="0.35">
      <c r="A174" t="s">
        <v>235</v>
      </c>
      <c r="B174" t="s">
        <v>1111</v>
      </c>
      <c r="C174" t="s">
        <v>1957</v>
      </c>
      <c r="D174">
        <v>70</v>
      </c>
      <c r="E174">
        <v>70</v>
      </c>
      <c r="F174">
        <v>1</v>
      </c>
      <c r="G174">
        <v>1.00068</v>
      </c>
      <c r="H174">
        <v>90.379687500000003</v>
      </c>
      <c r="J174">
        <v>11177</v>
      </c>
      <c r="N174" t="s">
        <v>173</v>
      </c>
      <c r="O174">
        <f t="shared" si="6"/>
        <v>90.027199999999993</v>
      </c>
      <c r="P174">
        <f t="shared" si="7"/>
        <v>0.44060937500001174</v>
      </c>
      <c r="Q174">
        <f t="shared" si="8"/>
        <v>0.44060937500001174</v>
      </c>
      <c r="Y174">
        <f>TREND(H170:H174,G170:G174,G174)</f>
        <v>90.370706587682236</v>
      </c>
      <c r="Z174">
        <f>ABS((Y174-H174)/80*100)</f>
        <v>1.122614039720915E-2</v>
      </c>
      <c r="AH174">
        <f>H174-AG128</f>
        <v>90.14725</v>
      </c>
      <c r="AI174">
        <f>100*(AH174-O174)/80</f>
        <v>0.15006250000000776</v>
      </c>
    </row>
    <row r="175" spans="1:41" x14ac:dyDescent="0.35">
      <c r="A175" t="s">
        <v>235</v>
      </c>
      <c r="B175" t="s">
        <v>1111</v>
      </c>
      <c r="C175" t="s">
        <v>1994</v>
      </c>
      <c r="D175">
        <v>70</v>
      </c>
      <c r="E175">
        <v>70</v>
      </c>
      <c r="F175">
        <v>0</v>
      </c>
      <c r="G175">
        <v>5.1E-5</v>
      </c>
      <c r="H175">
        <v>50.154687500000001</v>
      </c>
      <c r="J175">
        <v>11198</v>
      </c>
      <c r="N175" t="s">
        <v>173</v>
      </c>
      <c r="O175">
        <f t="shared" si="6"/>
        <v>50.002040000000001</v>
      </c>
      <c r="P175">
        <f t="shared" si="7"/>
        <v>0.19080937500000061</v>
      </c>
      <c r="Q175">
        <f t="shared" si="8"/>
        <v>0.19080937500000061</v>
      </c>
      <c r="Y175">
        <f>TREND(H170:H174,G170:G174,G175)</f>
        <v>50.253763882139182</v>
      </c>
      <c r="Z175">
        <f>ABS((Y175-H175)/80*100)</f>
        <v>0.12384547767397615</v>
      </c>
      <c r="AH175">
        <f>H175-AG128</f>
        <v>49.922249999999998</v>
      </c>
      <c r="AI175">
        <f>100*(AH175-O175)/80</f>
        <v>-9.9737500000003365E-2</v>
      </c>
    </row>
    <row r="176" spans="1:41" x14ac:dyDescent="0.35">
      <c r="A176" t="s">
        <v>235</v>
      </c>
      <c r="B176" t="s">
        <v>1111</v>
      </c>
      <c r="C176" t="s">
        <v>2031</v>
      </c>
      <c r="D176">
        <v>70</v>
      </c>
      <c r="E176">
        <v>70</v>
      </c>
      <c r="F176">
        <v>-1</v>
      </c>
      <c r="G176">
        <v>-1.000027</v>
      </c>
      <c r="H176">
        <v>10.24375</v>
      </c>
      <c r="J176">
        <v>11215</v>
      </c>
      <c r="N176" t="s">
        <v>173</v>
      </c>
      <c r="O176">
        <f t="shared" si="6"/>
        <v>9.99892</v>
      </c>
      <c r="P176">
        <f t="shared" si="7"/>
        <v>0.30603750000000041</v>
      </c>
      <c r="Q176">
        <f t="shared" si="8"/>
        <v>0.30603750000000041</v>
      </c>
      <c r="Y176">
        <f>TREND(H170:H174,G170:G174,G176)</f>
        <v>10.158911717076919</v>
      </c>
      <c r="Z176">
        <f>ABS((Y176-H176)/80*100)</f>
        <v>0.10604785365385228</v>
      </c>
      <c r="AH176">
        <f>H176-AG128</f>
        <v>10.011312499999997</v>
      </c>
      <c r="AI176">
        <f>100*(AH176-O176)/80</f>
        <v>1.5490624999996427E-2</v>
      </c>
    </row>
    <row r="177" spans="1:41" x14ac:dyDescent="0.35">
      <c r="A177" t="s">
        <v>235</v>
      </c>
      <c r="B177" t="s">
        <v>1111</v>
      </c>
      <c r="C177" t="s">
        <v>2067</v>
      </c>
      <c r="D177">
        <v>85</v>
      </c>
      <c r="E177">
        <v>85</v>
      </c>
      <c r="F177">
        <v>-1</v>
      </c>
      <c r="G177">
        <v>-1.00017</v>
      </c>
      <c r="H177">
        <v>10.228125</v>
      </c>
      <c r="J177">
        <v>17035</v>
      </c>
      <c r="N177" t="s">
        <v>173</v>
      </c>
      <c r="O177">
        <f t="shared" si="6"/>
        <v>9.9931999999999999</v>
      </c>
      <c r="P177">
        <f t="shared" si="7"/>
        <v>0.29365625000000062</v>
      </c>
      <c r="Q177">
        <f t="shared" si="8"/>
        <v>0.29365625000000062</v>
      </c>
      <c r="S177">
        <v>50.232812500000001</v>
      </c>
      <c r="T177">
        <v>0.29801562500000323</v>
      </c>
      <c r="U177">
        <v>90.474999999999994</v>
      </c>
      <c r="V177">
        <v>0.59984999999999289</v>
      </c>
      <c r="W177">
        <v>80.246873474121088</v>
      </c>
      <c r="X177">
        <f>(W177-80)/80*100</f>
        <v>0.30859184265136008</v>
      </c>
      <c r="Y177">
        <f>TREND(H177:H181,G177:G181,G177)</f>
        <v>10.167618971118962</v>
      </c>
      <c r="Z177">
        <f>ABS((Y177-H177)/80*100)</f>
        <v>7.563253610129772E-2</v>
      </c>
      <c r="AA177">
        <f>MAX(Z177:Z181)</f>
        <v>7.9987837045081278E-2</v>
      </c>
      <c r="AB177">
        <f>IF(ABS(MAX(P177:P183)) &gt; ABS(MIN(P177:P183)),MAX(P177:P183), MIN(P177:P183))</f>
        <v>0.59984999999999289</v>
      </c>
      <c r="AC177">
        <f>IF(ABS(AB178)&gt;ABS(AB177),AB178,AB177)</f>
        <v>0.59984999999999289</v>
      </c>
      <c r="AH177">
        <f>H177-AG128</f>
        <v>9.9956874999999972</v>
      </c>
      <c r="AI177">
        <f>100*(AH177-O177)/80</f>
        <v>3.1093749999966391E-3</v>
      </c>
      <c r="AJ177">
        <v>50.000374999999998</v>
      </c>
      <c r="AK177">
        <v>7.4687499999992468E-3</v>
      </c>
      <c r="AL177">
        <v>90.242562499999991</v>
      </c>
      <c r="AM177">
        <v>0.30930312499998891</v>
      </c>
      <c r="AN177">
        <f>IF(ABS(MAX(AI177:AI183)) &gt; ABS(MIN(AI177:AI183)),MAX(AI177:AI183), MIN(AI177:AI183))</f>
        <v>0.30930312499998891</v>
      </c>
      <c r="AO177">
        <f>IF(ABS(AN178)&gt;ABS(AN177),AN178,AN177)</f>
        <v>0.30930312499998891</v>
      </c>
    </row>
    <row r="178" spans="1:41" x14ac:dyDescent="0.35">
      <c r="A178" t="s">
        <v>235</v>
      </c>
      <c r="B178" t="s">
        <v>1111</v>
      </c>
      <c r="C178" t="s">
        <v>2103</v>
      </c>
      <c r="D178">
        <v>85</v>
      </c>
      <c r="E178">
        <v>85</v>
      </c>
      <c r="F178">
        <v>-0.5</v>
      </c>
      <c r="G178">
        <v>-0.50007100000000004</v>
      </c>
      <c r="H178">
        <v>30.201562500000001</v>
      </c>
      <c r="J178">
        <v>17059</v>
      </c>
      <c r="N178" t="s">
        <v>173</v>
      </c>
      <c r="O178">
        <f t="shared" si="6"/>
        <v>29.997159999999997</v>
      </c>
      <c r="P178">
        <f t="shared" si="7"/>
        <v>0.25550312500000505</v>
      </c>
      <c r="Q178">
        <f t="shared" si="8"/>
        <v>0.25550312500000505</v>
      </c>
      <c r="Y178">
        <f>TREND(H177:H181,G177:G181,G178)</f>
        <v>30.235581620694077</v>
      </c>
      <c r="Z178">
        <f>ABS((Y178-H178)/80*100)</f>
        <v>4.2523900867594833E-2</v>
      </c>
      <c r="AB178">
        <f>IF(ABS(T177) &gt; ABS(V177),T177,V177)</f>
        <v>0.59984999999999289</v>
      </c>
      <c r="AH178">
        <f>H178-AG128</f>
        <v>29.969124999999998</v>
      </c>
      <c r="AI178">
        <f>100*(AH178-O178)/80</f>
        <v>-3.504374999999893E-2</v>
      </c>
      <c r="AN178">
        <f>IF(ABS(AK177) &gt; ABS(AM177),AK177,AM177)</f>
        <v>0.30930312499998891</v>
      </c>
    </row>
    <row r="179" spans="1:41" x14ac:dyDescent="0.35">
      <c r="A179" t="s">
        <v>235</v>
      </c>
      <c r="B179" t="s">
        <v>1111</v>
      </c>
      <c r="C179" t="s">
        <v>2139</v>
      </c>
      <c r="D179">
        <v>85</v>
      </c>
      <c r="E179">
        <v>85</v>
      </c>
      <c r="F179">
        <v>0</v>
      </c>
      <c r="G179">
        <v>-1.3999999999999999E-4</v>
      </c>
      <c r="H179">
        <v>50.232812500000001</v>
      </c>
      <c r="J179">
        <v>17078</v>
      </c>
      <c r="N179" t="s">
        <v>173</v>
      </c>
      <c r="O179">
        <f t="shared" si="6"/>
        <v>49.994399999999999</v>
      </c>
      <c r="P179">
        <f t="shared" si="7"/>
        <v>0.29801562500000323</v>
      </c>
      <c r="Q179">
        <f t="shared" si="8"/>
        <v>0.29801562500000323</v>
      </c>
      <c r="Y179">
        <f>TREND(H177:H181,G177:G181,G179)</f>
        <v>50.296802769636066</v>
      </c>
      <c r="Z179">
        <f>ABS((Y179-H179)/80*100)</f>
        <v>7.9987837045081278E-2</v>
      </c>
      <c r="AH179">
        <f>H179-AG128</f>
        <v>50.000374999999998</v>
      </c>
      <c r="AI179">
        <f>100*(AH179-O179)/80</f>
        <v>7.4687499999992468E-3</v>
      </c>
    </row>
    <row r="180" spans="1:41" x14ac:dyDescent="0.35">
      <c r="A180" t="s">
        <v>235</v>
      </c>
      <c r="B180" t="s">
        <v>1111</v>
      </c>
      <c r="C180" t="s">
        <v>2176</v>
      </c>
      <c r="D180">
        <v>85</v>
      </c>
      <c r="E180">
        <v>85</v>
      </c>
      <c r="F180">
        <v>0.5</v>
      </c>
      <c r="G180">
        <v>0.49981199999999998</v>
      </c>
      <c r="H180">
        <v>70.346874999999997</v>
      </c>
      <c r="J180">
        <v>17103</v>
      </c>
      <c r="N180" t="s">
        <v>173</v>
      </c>
      <c r="O180">
        <f t="shared" si="6"/>
        <v>69.99248</v>
      </c>
      <c r="P180">
        <f t="shared" si="7"/>
        <v>0.44299374999999586</v>
      </c>
      <c r="Q180">
        <f t="shared" si="8"/>
        <v>0.44299374999999586</v>
      </c>
      <c r="Y180">
        <f>TREND(H177:H181,G177:G181,G180)</f>
        <v>70.358866606157193</v>
      </c>
      <c r="Z180">
        <f>ABS((Y180-H180)/80*100)</f>
        <v>1.4989507696494542E-2</v>
      </c>
      <c r="AH180">
        <f>H180-AG128</f>
        <v>70.114437499999994</v>
      </c>
      <c r="AI180">
        <f>100*(AH180-O180)/80</f>
        <v>0.15244687499999188</v>
      </c>
    </row>
    <row r="181" spans="1:41" x14ac:dyDescent="0.35">
      <c r="A181" t="s">
        <v>235</v>
      </c>
      <c r="B181" t="s">
        <v>1111</v>
      </c>
      <c r="C181" t="s">
        <v>2213</v>
      </c>
      <c r="D181">
        <v>85</v>
      </c>
      <c r="E181">
        <v>85</v>
      </c>
      <c r="F181">
        <v>1</v>
      </c>
      <c r="G181">
        <v>0.99987800000000004</v>
      </c>
      <c r="H181">
        <v>90.474999999999994</v>
      </c>
      <c r="J181">
        <v>17118</v>
      </c>
      <c r="N181" t="s">
        <v>173</v>
      </c>
      <c r="O181">
        <f t="shared" si="6"/>
        <v>89.99512</v>
      </c>
      <c r="P181">
        <f t="shared" si="7"/>
        <v>0.59984999999999289</v>
      </c>
      <c r="Q181">
        <f t="shared" si="8"/>
        <v>0.59984999999999289</v>
      </c>
      <c r="Y181">
        <f>TREND(H177:H181,G177:G181,G181)</f>
        <v>90.425505032393673</v>
      </c>
      <c r="Z181">
        <f>ABS((Y181-H181)/80*100)</f>
        <v>6.1868709507901791E-2</v>
      </c>
      <c r="AH181">
        <f>H181-AG128</f>
        <v>90.242562499999991</v>
      </c>
      <c r="AI181">
        <f>100*(AH181-O181)/80</f>
        <v>0.30930312499998891</v>
      </c>
    </row>
    <row r="182" spans="1:41" x14ac:dyDescent="0.35">
      <c r="A182" t="s">
        <v>235</v>
      </c>
      <c r="B182" t="s">
        <v>1111</v>
      </c>
      <c r="C182" t="s">
        <v>2249</v>
      </c>
      <c r="D182">
        <v>85</v>
      </c>
      <c r="E182">
        <v>85</v>
      </c>
      <c r="F182">
        <v>0</v>
      </c>
      <c r="G182">
        <v>2.32E-4</v>
      </c>
      <c r="H182">
        <v>50.2109375</v>
      </c>
      <c r="J182">
        <v>17137</v>
      </c>
      <c r="N182" t="s">
        <v>173</v>
      </c>
      <c r="O182">
        <f t="shared" si="6"/>
        <v>50.009280000000004</v>
      </c>
      <c r="P182">
        <f t="shared" si="7"/>
        <v>0.25207187499999506</v>
      </c>
      <c r="Q182">
        <f t="shared" si="8"/>
        <v>0.25207187499999506</v>
      </c>
      <c r="Y182">
        <f>TREND(H177:H181,G177:G181,G182)</f>
        <v>50.311730378180862</v>
      </c>
      <c r="Z182">
        <f>ABS((Y182-H182)/80*100)</f>
        <v>0.12599109772607697</v>
      </c>
      <c r="AH182">
        <f>H182-AG128</f>
        <v>49.978499999999997</v>
      </c>
      <c r="AI182">
        <f>100*(AH182-O182)/80</f>
        <v>-3.8475000000008919E-2</v>
      </c>
    </row>
    <row r="183" spans="1:41" x14ac:dyDescent="0.35">
      <c r="A183" t="s">
        <v>235</v>
      </c>
      <c r="B183" t="s">
        <v>1111</v>
      </c>
      <c r="C183" t="s">
        <v>2286</v>
      </c>
      <c r="D183">
        <v>85</v>
      </c>
      <c r="E183">
        <v>85</v>
      </c>
      <c r="F183">
        <v>-1</v>
      </c>
      <c r="G183">
        <v>-1.0002359999999999</v>
      </c>
      <c r="H183">
        <v>10.25</v>
      </c>
      <c r="J183">
        <v>17154</v>
      </c>
      <c r="N183" t="s">
        <v>173</v>
      </c>
      <c r="O183">
        <f t="shared" si="6"/>
        <v>9.9905600000000039</v>
      </c>
      <c r="P183">
        <f t="shared" si="7"/>
        <v>0.32429999999999515</v>
      </c>
      <c r="Q183">
        <f t="shared" si="8"/>
        <v>0.32429999999999515</v>
      </c>
      <c r="Y183">
        <f>TREND(H177:H181,G177:G181,G183)</f>
        <v>10.164970524441664</v>
      </c>
      <c r="Z183">
        <f>ABS((Y183-H183)/80*100)</f>
        <v>0.10628684444792037</v>
      </c>
      <c r="AH183">
        <f>H183-AG128</f>
        <v>10.017562499999997</v>
      </c>
      <c r="AI183">
        <f>100*(AH183-O183)/80</f>
        <v>3.3753124999991169E-2</v>
      </c>
    </row>
    <row r="184" spans="1:41" x14ac:dyDescent="0.35">
      <c r="A184" t="s">
        <v>235</v>
      </c>
      <c r="B184" t="s">
        <v>1111</v>
      </c>
      <c r="C184" t="s">
        <v>2323</v>
      </c>
      <c r="D184">
        <v>25</v>
      </c>
      <c r="E184">
        <v>25</v>
      </c>
      <c r="F184">
        <v>-1</v>
      </c>
      <c r="G184">
        <v>-0.99958100000000005</v>
      </c>
      <c r="H184">
        <v>10.153124999999999</v>
      </c>
      <c r="J184">
        <v>-5463</v>
      </c>
      <c r="N184" t="s">
        <v>173</v>
      </c>
      <c r="O184">
        <f t="shared" si="6"/>
        <v>10.016759999999998</v>
      </c>
      <c r="P184">
        <f t="shared" si="7"/>
        <v>0.17045625000000175</v>
      </c>
      <c r="Q184">
        <f t="shared" si="8"/>
        <v>0.17045625000000175</v>
      </c>
      <c r="S184">
        <v>50.1484375</v>
      </c>
      <c r="T184">
        <v>0.1824468750000019</v>
      </c>
      <c r="U184">
        <v>90.251562500000006</v>
      </c>
      <c r="V184">
        <v>0.31715312500001147</v>
      </c>
      <c r="W184">
        <v>80.098439025878903</v>
      </c>
      <c r="X184">
        <f>(W184-80)/80*100</f>
        <v>0.12304878234862926</v>
      </c>
      <c r="Y184">
        <f>TREND(H184:H188,G184:G188,G184)</f>
        <v>10.092387360689159</v>
      </c>
      <c r="Z184">
        <f>ABS((Y184-H184)/80*100)</f>
        <v>7.5922049138550385E-2</v>
      </c>
      <c r="AA184">
        <f>MAX(Z184:Z188)</f>
        <v>0.1104889200969783</v>
      </c>
      <c r="AB184">
        <f>IF(ABS(MAX(P184:P190)) &gt; ABS(MIN(P184:P190)),MAX(P184:P190), MIN(P184:P190))</f>
        <v>0.39364687500000883</v>
      </c>
      <c r="AC184">
        <f>IF(ABS(AB185)&gt;ABS(AB184),AB185,AB184)</f>
        <v>0.39364687500000883</v>
      </c>
      <c r="AH184">
        <f>H184-AG128</f>
        <v>9.9206874999999961</v>
      </c>
      <c r="AI184">
        <f>100*(AH184-O184)/80</f>
        <v>-0.12009062500000223</v>
      </c>
      <c r="AJ184">
        <v>49.915999999999997</v>
      </c>
      <c r="AK184">
        <v>-0.10810000000000208</v>
      </c>
      <c r="AL184">
        <v>90.019125000000003</v>
      </c>
      <c r="AM184">
        <v>2.6606250000007492E-2</v>
      </c>
      <c r="AN184">
        <f>IF(ABS(MAX(AI184:AI190)) &gt; ABS(MIN(AI184:AI190)),MAX(AI184:AI190), MIN(AI184:AI190))</f>
        <v>-0.24259687500000293</v>
      </c>
      <c r="AO184">
        <f>IF(ABS(AN185)&gt;ABS(AN184),AN185,AN184)</f>
        <v>-0.24259687500000293</v>
      </c>
    </row>
    <row r="185" spans="1:41" x14ac:dyDescent="0.35">
      <c r="A185" t="s">
        <v>235</v>
      </c>
      <c r="B185" t="s">
        <v>1111</v>
      </c>
      <c r="C185" t="s">
        <v>2360</v>
      </c>
      <c r="D185">
        <v>25</v>
      </c>
      <c r="E185">
        <v>25</v>
      </c>
      <c r="F185">
        <v>-0.5</v>
      </c>
      <c r="G185">
        <v>-0.49970900000000001</v>
      </c>
      <c r="H185">
        <v>30.05</v>
      </c>
      <c r="J185">
        <v>-5522</v>
      </c>
      <c r="N185" t="s">
        <v>173</v>
      </c>
      <c r="O185">
        <f t="shared" si="6"/>
        <v>30.01164</v>
      </c>
      <c r="P185">
        <f t="shared" si="7"/>
        <v>4.7950000000001047E-2</v>
      </c>
      <c r="Q185">
        <f t="shared" si="8"/>
        <v>4.7950000000001047E-2</v>
      </c>
      <c r="Y185">
        <f>TREND(H184:H188,G184:G188,G185)</f>
        <v>30.138391136077583</v>
      </c>
      <c r="Z185">
        <f>ABS((Y185-H185)/80*100)</f>
        <v>0.1104889200969783</v>
      </c>
      <c r="AB185">
        <f>IF(ABS(T184) &gt; ABS(V184),T184,V184)</f>
        <v>0.31715312500001147</v>
      </c>
      <c r="AH185">
        <f>H185-AG128</f>
        <v>29.817562499999998</v>
      </c>
      <c r="AI185">
        <f>100*(AH185-O185)/80</f>
        <v>-0.24259687500000293</v>
      </c>
      <c r="AN185">
        <f>IF(ABS(AK184) &gt; ABS(AM184),AK184,AM184)</f>
        <v>-0.10810000000000208</v>
      </c>
    </row>
    <row r="186" spans="1:41" x14ac:dyDescent="0.35">
      <c r="A186" t="s">
        <v>235</v>
      </c>
      <c r="B186" t="s">
        <v>1111</v>
      </c>
      <c r="C186" t="s">
        <v>2396</v>
      </c>
      <c r="D186">
        <v>25</v>
      </c>
      <c r="E186">
        <v>25</v>
      </c>
      <c r="F186">
        <v>0</v>
      </c>
      <c r="G186">
        <v>6.2000000000000003E-5</v>
      </c>
      <c r="H186">
        <v>50.1484375</v>
      </c>
      <c r="J186">
        <v>-5566</v>
      </c>
      <c r="N186" t="s">
        <v>173</v>
      </c>
      <c r="O186">
        <f t="shared" si="6"/>
        <v>50.002479999999998</v>
      </c>
      <c r="P186">
        <f t="shared" si="7"/>
        <v>0.1824468750000019</v>
      </c>
      <c r="Q186">
        <f t="shared" si="8"/>
        <v>0.1824468750000019</v>
      </c>
      <c r="Y186">
        <f>TREND(H184:H188,G184:G188,G186)</f>
        <v>50.180344581818986</v>
      </c>
      <c r="Z186">
        <f>ABS((Y186-H186)/80*100)</f>
        <v>3.9883852273732145E-2</v>
      </c>
      <c r="AH186">
        <f>H186-AG128</f>
        <v>49.915999999999997</v>
      </c>
      <c r="AI186">
        <f>100*(AH186-O186)/80</f>
        <v>-0.10810000000000208</v>
      </c>
    </row>
    <row r="187" spans="1:41" x14ac:dyDescent="0.35">
      <c r="A187" t="s">
        <v>235</v>
      </c>
      <c r="B187" t="s">
        <v>1111</v>
      </c>
      <c r="C187" t="s">
        <v>2433</v>
      </c>
      <c r="D187">
        <v>25</v>
      </c>
      <c r="E187">
        <v>25</v>
      </c>
      <c r="F187">
        <v>0.5</v>
      </c>
      <c r="G187">
        <v>0.49958799999999998</v>
      </c>
      <c r="H187">
        <v>70.298437500000006</v>
      </c>
      <c r="J187">
        <v>-5619</v>
      </c>
      <c r="N187" t="s">
        <v>173</v>
      </c>
      <c r="O187">
        <f t="shared" si="6"/>
        <v>69.983519999999999</v>
      </c>
      <c r="P187">
        <f t="shared" si="7"/>
        <v>0.39364687500000883</v>
      </c>
      <c r="Q187">
        <f t="shared" si="8"/>
        <v>0.39364687500000883</v>
      </c>
      <c r="Y187">
        <f>TREND(H184:H188,G184:G188,G187)</f>
        <v>70.212472970495838</v>
      </c>
      <c r="Z187">
        <f>ABS((Y187-H187)/80*100)</f>
        <v>0.10745566188020915</v>
      </c>
      <c r="AH187">
        <f>H187-AG128</f>
        <v>70.066000000000003</v>
      </c>
      <c r="AI187">
        <f>100*(AH187-O187)/80</f>
        <v>0.10310000000000485</v>
      </c>
    </row>
    <row r="188" spans="1:41" x14ac:dyDescent="0.35">
      <c r="A188" t="s">
        <v>235</v>
      </c>
      <c r="B188" t="s">
        <v>1111</v>
      </c>
      <c r="C188" t="s">
        <v>2470</v>
      </c>
      <c r="D188">
        <v>25</v>
      </c>
      <c r="E188">
        <v>25</v>
      </c>
      <c r="F188">
        <v>1</v>
      </c>
      <c r="G188">
        <v>0.999946</v>
      </c>
      <c r="H188">
        <v>90.251562500000006</v>
      </c>
      <c r="J188">
        <v>-5659</v>
      </c>
      <c r="N188" t="s">
        <v>173</v>
      </c>
      <c r="O188">
        <f t="shared" si="6"/>
        <v>89.997839999999997</v>
      </c>
      <c r="P188">
        <f t="shared" si="7"/>
        <v>0.31715312500001147</v>
      </c>
      <c r="Q188">
        <f t="shared" si="8"/>
        <v>0.31715312500001147</v>
      </c>
      <c r="Y188">
        <f>TREND(H184:H188,G184:G188,G188)</f>
        <v>90.277966450918427</v>
      </c>
      <c r="Z188">
        <f>ABS((Y188-H188)/80*100)</f>
        <v>3.3004938648026894E-2</v>
      </c>
      <c r="AH188">
        <f>H188-AG128</f>
        <v>90.019125000000003</v>
      </c>
      <c r="AI188">
        <f>100*(AH188-O188)/80</f>
        <v>2.6606250000007492E-2</v>
      </c>
    </row>
    <row r="189" spans="1:41" x14ac:dyDescent="0.35">
      <c r="A189" t="s">
        <v>235</v>
      </c>
      <c r="B189" t="s">
        <v>1111</v>
      </c>
      <c r="C189" t="s">
        <v>2507</v>
      </c>
      <c r="D189">
        <v>25</v>
      </c>
      <c r="E189">
        <v>25</v>
      </c>
      <c r="F189">
        <v>0</v>
      </c>
      <c r="G189">
        <v>-9.0000000000000002E-6</v>
      </c>
      <c r="H189">
        <v>50.084375000000001</v>
      </c>
      <c r="J189">
        <v>-5700</v>
      </c>
      <c r="N189" t="s">
        <v>173</v>
      </c>
      <c r="O189">
        <f t="shared" si="6"/>
        <v>49.999639999999999</v>
      </c>
      <c r="P189">
        <f t="shared" si="7"/>
        <v>0.1059187500000025</v>
      </c>
      <c r="Q189">
        <f t="shared" si="8"/>
        <v>0.1059187500000025</v>
      </c>
      <c r="Y189">
        <f>TREND(H184:H188,G184:G188,G189)</f>
        <v>50.177497320383956</v>
      </c>
      <c r="Z189">
        <f>ABS((Y189-H189)/80*100)</f>
        <v>0.11640290047994384</v>
      </c>
      <c r="AH189">
        <f>H189-AG128</f>
        <v>49.851937499999998</v>
      </c>
      <c r="AI189">
        <f>100*(AH189-O189)/80</f>
        <v>-0.18462812500000148</v>
      </c>
    </row>
    <row r="190" spans="1:41" x14ac:dyDescent="0.35">
      <c r="A190" t="s">
        <v>235</v>
      </c>
      <c r="B190" t="s">
        <v>1111</v>
      </c>
      <c r="C190" t="s">
        <v>2542</v>
      </c>
      <c r="D190">
        <v>25</v>
      </c>
      <c r="E190">
        <v>25</v>
      </c>
      <c r="F190">
        <v>-1</v>
      </c>
      <c r="G190">
        <v>-0.99999899999999997</v>
      </c>
      <c r="H190">
        <v>10.082812499999999</v>
      </c>
      <c r="J190">
        <v>0</v>
      </c>
      <c r="N190" t="s">
        <v>173</v>
      </c>
      <c r="O190">
        <f t="shared" si="6"/>
        <v>10.000040000000002</v>
      </c>
      <c r="P190">
        <f t="shared" si="7"/>
        <v>0.10346562499999656</v>
      </c>
      <c r="Q190">
        <f t="shared" si="8"/>
        <v>0.10346562499999656</v>
      </c>
      <c r="Y190">
        <f>TREND(H184:H188,G184:G188,G190)</f>
        <v>10.075624610268832</v>
      </c>
      <c r="Z190">
        <f>ABS((Y190-H190)/80*100)</f>
        <v>8.9848621639587734E-3</v>
      </c>
      <c r="AH190">
        <f>H190-AG128</f>
        <v>9.8503749999999961</v>
      </c>
      <c r="AI190">
        <f>100*(AH190-O190)/80</f>
        <v>-0.18708125000000742</v>
      </c>
    </row>
    <row r="191" spans="1:41" x14ac:dyDescent="0.35">
      <c r="A191" t="s">
        <v>237</v>
      </c>
      <c r="B191" t="s">
        <v>231</v>
      </c>
      <c r="C191" t="s">
        <v>238</v>
      </c>
      <c r="D191">
        <v>25</v>
      </c>
      <c r="E191">
        <v>25</v>
      </c>
      <c r="F191">
        <v>-1</v>
      </c>
      <c r="G191">
        <v>-0.99997000000000003</v>
      </c>
      <c r="H191">
        <v>9.9984374999999996</v>
      </c>
      <c r="J191">
        <v>-6132</v>
      </c>
      <c r="N191" t="s">
        <v>174</v>
      </c>
      <c r="O191">
        <f t="shared" si="6"/>
        <v>10.001199999999999</v>
      </c>
      <c r="P191">
        <f t="shared" si="7"/>
        <v>-3.4531249999991687E-3</v>
      </c>
      <c r="Q191">
        <f t="shared" si="8"/>
        <v>3.4531249999991687E-3</v>
      </c>
      <c r="S191">
        <v>50.018749999999997</v>
      </c>
      <c r="T191">
        <v>3.4487499999995563E-2</v>
      </c>
      <c r="U191">
        <v>90.317187500000003</v>
      </c>
      <c r="V191">
        <v>0.41373437500000776</v>
      </c>
      <c r="W191">
        <v>80.318746948242193</v>
      </c>
      <c r="X191">
        <f>(W191-80)/80*100</f>
        <v>0.39843368530274148</v>
      </c>
      <c r="Y191">
        <f>TREND(H191:H195,G191:G195,G191)</f>
        <v>9.9027750446590161</v>
      </c>
      <c r="Z191">
        <f>ABS((Y191-H191)/80*100)</f>
        <v>0.11957806917622937</v>
      </c>
      <c r="AA191">
        <f>MAX(Z191:Z195)</f>
        <v>0.11957806917622937</v>
      </c>
      <c r="AB191">
        <f>IF(ABS(MAX(P191:P197)) &gt; ABS(MIN(P191:P197)),MAX(P191:P197), MIN(P191:P197))</f>
        <v>0.41373437500000776</v>
      </c>
      <c r="AC191">
        <f>IF(ABS(AB192)&gt;ABS(AB191),AB192,AB191)</f>
        <v>0.41373437500000776</v>
      </c>
      <c r="AD191">
        <f>MAX(AD192:AD193)</f>
        <v>7.8006249999997834E-2</v>
      </c>
      <c r="AE191">
        <f>MAX(AE192:AE212)</f>
        <v>0.40004687500000191</v>
      </c>
      <c r="AF191">
        <f>MAX(AD191,AA191)</f>
        <v>0.11957806917622937</v>
      </c>
      <c r="AG191">
        <f>H193-O193</f>
        <v>2.7589999999996451E-2</v>
      </c>
      <c r="AH191">
        <f>H191-AG191</f>
        <v>9.9708475000000032</v>
      </c>
      <c r="AI191">
        <f>100*(AH191-O191)/80</f>
        <v>-3.7940624999994732E-2</v>
      </c>
      <c r="AJ191">
        <v>49.991160000000001</v>
      </c>
      <c r="AK191">
        <v>0</v>
      </c>
      <c r="AL191">
        <v>90.289597500000013</v>
      </c>
      <c r="AM191">
        <v>0.37924687500002108</v>
      </c>
      <c r="AN191">
        <f>IF(ABS(MAX(AI191:AI197)) &gt; ABS(MIN(AI191:AI197)),MAX(AI191:AI197), MIN(AI191:AI197))</f>
        <v>0.37924687500002108</v>
      </c>
      <c r="AO191">
        <f>IF(ABS(AN192)&gt;ABS(AN191),AN192,AN191)</f>
        <v>0.37924687500002108</v>
      </c>
    </row>
    <row r="192" spans="1:41" x14ac:dyDescent="0.35">
      <c r="A192" t="s">
        <v>237</v>
      </c>
      <c r="B192" t="s">
        <v>231</v>
      </c>
      <c r="C192" t="s">
        <v>311</v>
      </c>
      <c r="D192">
        <v>25</v>
      </c>
      <c r="E192">
        <v>25</v>
      </c>
      <c r="F192">
        <v>-0.5</v>
      </c>
      <c r="G192">
        <v>-0.50043899999999997</v>
      </c>
      <c r="H192">
        <v>29.892187499999999</v>
      </c>
      <c r="J192">
        <v>-6139</v>
      </c>
      <c r="N192" t="s">
        <v>174</v>
      </c>
      <c r="O192">
        <f t="shared" si="6"/>
        <v>29.98244</v>
      </c>
      <c r="P192">
        <f t="shared" si="7"/>
        <v>-0.11281562500000231</v>
      </c>
      <c r="Q192">
        <f t="shared" si="8"/>
        <v>0.11281562500000231</v>
      </c>
      <c r="Y192">
        <f>TREND(H191:H195,G191:G195,G192)</f>
        <v>29.986402406865491</v>
      </c>
      <c r="Z192">
        <f>ABS((Y192-H192)/80*100)</f>
        <v>0.11776863358186507</v>
      </c>
      <c r="AB192">
        <f>IF(ABS(T191) &gt; ABS(V191),T191,V191)</f>
        <v>0.41373437500000776</v>
      </c>
      <c r="AD192">
        <f>ABS(P193-P196)</f>
        <v>7.8006249999997834E-2</v>
      </c>
      <c r="AE192">
        <f>ABS(P219-P191)</f>
        <v>6.4853125000001732E-2</v>
      </c>
      <c r="AH192">
        <f>H192-AG191</f>
        <v>29.864597500000002</v>
      </c>
      <c r="AI192">
        <f>100*(AH192-O192)/80</f>
        <v>-0.14730312499999787</v>
      </c>
      <c r="AN192">
        <f>IF(ABS(AK191) &gt; ABS(AM191),AK191,AM191)</f>
        <v>0.37924687500002108</v>
      </c>
    </row>
    <row r="193" spans="1:41" x14ac:dyDescent="0.35">
      <c r="A193" t="s">
        <v>237</v>
      </c>
      <c r="B193" t="s">
        <v>231</v>
      </c>
      <c r="C193" t="s">
        <v>347</v>
      </c>
      <c r="D193">
        <v>25</v>
      </c>
      <c r="E193">
        <v>25</v>
      </c>
      <c r="F193">
        <v>0</v>
      </c>
      <c r="G193">
        <v>-2.2100000000000001E-4</v>
      </c>
      <c r="H193">
        <v>50.018749999999997</v>
      </c>
      <c r="J193">
        <v>-6141</v>
      </c>
      <c r="N193" t="s">
        <v>174</v>
      </c>
      <c r="O193">
        <f t="shared" si="6"/>
        <v>49.991160000000001</v>
      </c>
      <c r="P193">
        <f t="shared" si="7"/>
        <v>3.4487499999995563E-2</v>
      </c>
      <c r="Q193">
        <f t="shared" si="8"/>
        <v>3.4487499999995563E-2</v>
      </c>
      <c r="Y193">
        <f>TREND(H191:H195,G191:G195,G193)</f>
        <v>50.097650581389587</v>
      </c>
      <c r="Z193">
        <f>ABS((Y193-H193)/80*100)</f>
        <v>9.8625726736987232E-2</v>
      </c>
      <c r="AD193">
        <f>ABS(P191-P197)</f>
        <v>6.701250000000547E-2</v>
      </c>
      <c r="AE193">
        <f>ABS(P220-P192)</f>
        <v>0.11279062500000325</v>
      </c>
      <c r="AH193">
        <f>H193-AG191</f>
        <v>49.991160000000001</v>
      </c>
      <c r="AI193">
        <f>100*(AH193-O193)/80</f>
        <v>0</v>
      </c>
    </row>
    <row r="194" spans="1:41" x14ac:dyDescent="0.35">
      <c r="A194" t="s">
        <v>237</v>
      </c>
      <c r="B194" t="s">
        <v>231</v>
      </c>
      <c r="C194" t="s">
        <v>384</v>
      </c>
      <c r="D194">
        <v>25</v>
      </c>
      <c r="E194">
        <v>25</v>
      </c>
      <c r="F194">
        <v>0.5</v>
      </c>
      <c r="G194">
        <v>0.49992900000000001</v>
      </c>
      <c r="H194">
        <v>70.264062499999994</v>
      </c>
      <c r="J194">
        <v>-6132</v>
      </c>
      <c r="N194" t="s">
        <v>174</v>
      </c>
      <c r="O194">
        <f t="shared" si="6"/>
        <v>69.997160000000008</v>
      </c>
      <c r="P194">
        <f t="shared" si="7"/>
        <v>0.33362812499998284</v>
      </c>
      <c r="Q194">
        <f t="shared" si="8"/>
        <v>0.33362812499998284</v>
      </c>
      <c r="Y194">
        <f>TREND(H191:H195,G191:G195,G194)</f>
        <v>70.206164818158811</v>
      </c>
      <c r="Z194">
        <f>ABS((Y194-H194)/80*100)</f>
        <v>7.2372102301478947E-2</v>
      </c>
      <c r="AE194">
        <f>ABS(P221-P193)</f>
        <v>3.3737500000006193E-2</v>
      </c>
      <c r="AH194">
        <f>H194-AG191</f>
        <v>70.236472499999991</v>
      </c>
      <c r="AI194">
        <f>100*(AH194-O194)/80</f>
        <v>0.2991406249999784</v>
      </c>
    </row>
    <row r="195" spans="1:41" x14ac:dyDescent="0.35">
      <c r="A195" t="s">
        <v>237</v>
      </c>
      <c r="B195" t="s">
        <v>231</v>
      </c>
      <c r="C195" t="s">
        <v>421</v>
      </c>
      <c r="D195">
        <v>25</v>
      </c>
      <c r="E195">
        <v>25</v>
      </c>
      <c r="F195">
        <v>1</v>
      </c>
      <c r="G195">
        <v>0.99965499999999996</v>
      </c>
      <c r="H195">
        <v>90.317187500000003</v>
      </c>
      <c r="J195">
        <v>-6130</v>
      </c>
      <c r="N195" t="s">
        <v>174</v>
      </c>
      <c r="O195">
        <f t="shared" si="6"/>
        <v>89.986199999999997</v>
      </c>
      <c r="P195">
        <f t="shared" si="7"/>
        <v>0.41373437500000776</v>
      </c>
      <c r="Q195">
        <f t="shared" si="8"/>
        <v>0.41373437500000776</v>
      </c>
      <c r="Y195">
        <f>TREND(H191:H195,G191:G195,G195)</f>
        <v>90.297632148927065</v>
      </c>
      <c r="Z195">
        <f>ABS((Y195-H195)/80*100)</f>
        <v>2.4444188841172831E-2</v>
      </c>
      <c r="AE195">
        <f>ABS(P222-P194)</f>
        <v>2.5068750000016848E-2</v>
      </c>
      <c r="AH195">
        <f>H195-AG191</f>
        <v>90.289597500000013</v>
      </c>
      <c r="AI195">
        <f>100*(AH195-O195)/80</f>
        <v>0.37924687500002108</v>
      </c>
    </row>
    <row r="196" spans="1:41" x14ac:dyDescent="0.35">
      <c r="A196" t="s">
        <v>237</v>
      </c>
      <c r="B196" t="s">
        <v>231</v>
      </c>
      <c r="C196" t="s">
        <v>458</v>
      </c>
      <c r="D196">
        <v>25</v>
      </c>
      <c r="E196">
        <v>25</v>
      </c>
      <c r="F196">
        <v>0</v>
      </c>
      <c r="G196">
        <v>1.7200000000000001E-4</v>
      </c>
      <c r="H196">
        <v>50.096874999999997</v>
      </c>
      <c r="J196">
        <v>-6139</v>
      </c>
      <c r="N196" t="s">
        <v>174</v>
      </c>
      <c r="O196">
        <f t="shared" si="6"/>
        <v>50.006880000000002</v>
      </c>
      <c r="P196">
        <f t="shared" si="7"/>
        <v>0.1124937499999934</v>
      </c>
      <c r="Q196">
        <f t="shared" si="8"/>
        <v>0.1124937499999934</v>
      </c>
      <c r="Y196">
        <f>TREND(H191:H195,G191:G195,G196)</f>
        <v>50.113451133414081</v>
      </c>
      <c r="Z196">
        <f>ABS((Y196-H196)/80*100)</f>
        <v>2.0720166767604908E-2</v>
      </c>
      <c r="AE196">
        <f>ABS(P223-P195)</f>
        <v>1.1899999999993582E-2</v>
      </c>
      <c r="AH196">
        <f>H196-AG191</f>
        <v>50.069285000000001</v>
      </c>
      <c r="AI196">
        <f>100*(AH196-O196)/80</f>
        <v>7.8006249999997834E-2</v>
      </c>
    </row>
    <row r="197" spans="1:41" x14ac:dyDescent="0.35">
      <c r="A197" t="s">
        <v>237</v>
      </c>
      <c r="B197" t="s">
        <v>231</v>
      </c>
      <c r="C197" t="s">
        <v>495</v>
      </c>
      <c r="D197">
        <v>25</v>
      </c>
      <c r="E197">
        <v>25</v>
      </c>
      <c r="F197">
        <v>-1</v>
      </c>
      <c r="G197">
        <v>-1.0000359999999999</v>
      </c>
      <c r="H197">
        <v>9.9421874999999993</v>
      </c>
      <c r="J197">
        <v>-6135</v>
      </c>
      <c r="N197" t="s">
        <v>174</v>
      </c>
      <c r="O197">
        <f t="shared" si="6"/>
        <v>9.998560000000003</v>
      </c>
      <c r="P197">
        <f t="shared" si="7"/>
        <v>-7.0465625000004639E-2</v>
      </c>
      <c r="Q197">
        <f t="shared" si="8"/>
        <v>7.0465625000004639E-2</v>
      </c>
      <c r="Y197">
        <f>TREND(H191:H195,G191:G195,G197)</f>
        <v>9.9001215168381123</v>
      </c>
      <c r="Z197">
        <f>ABS((Y197-H197)/80*100)</f>
        <v>5.2582478952358791E-2</v>
      </c>
      <c r="AE197">
        <f>ABS(P224-P196)</f>
        <v>7.7765625000010274E-2</v>
      </c>
      <c r="AH197">
        <f>H197-AG191</f>
        <v>9.9145975000000028</v>
      </c>
      <c r="AI197">
        <f>100*(AH197-O197)/80</f>
        <v>-0.1049531250000002</v>
      </c>
    </row>
    <row r="198" spans="1:41" x14ac:dyDescent="0.35">
      <c r="A198" t="s">
        <v>237</v>
      </c>
      <c r="B198" t="s">
        <v>231</v>
      </c>
      <c r="C198" t="s">
        <v>532</v>
      </c>
      <c r="D198">
        <v>-20</v>
      </c>
      <c r="E198">
        <v>-19.899999999999999</v>
      </c>
      <c r="F198">
        <v>-1</v>
      </c>
      <c r="G198">
        <v>-0.999888</v>
      </c>
      <c r="H198">
        <v>10.203125</v>
      </c>
      <c r="J198">
        <v>-23807</v>
      </c>
      <c r="N198" t="s">
        <v>174</v>
      </c>
      <c r="O198">
        <f t="shared" si="6"/>
        <v>10.004480000000001</v>
      </c>
      <c r="P198">
        <f t="shared" si="7"/>
        <v>0.24830624999999884</v>
      </c>
      <c r="Q198">
        <f t="shared" si="8"/>
        <v>0.24830624999999884</v>
      </c>
      <c r="S198">
        <v>50.364062500000003</v>
      </c>
      <c r="T198">
        <v>0.42987812499999833</v>
      </c>
      <c r="U198">
        <v>90.732812499999994</v>
      </c>
      <c r="V198">
        <v>0.91021562499998154</v>
      </c>
      <c r="W198">
        <v>80.529685974121094</v>
      </c>
      <c r="X198">
        <f>(W198-80)/80*100</f>
        <v>0.66210746765136719</v>
      </c>
      <c r="Y198">
        <f>TREND(H198:H202,G198:G202,G198)</f>
        <v>10.131892301101907</v>
      </c>
      <c r="Z198">
        <f>ABS((Y198-H198)/80*100)</f>
        <v>8.9040873622616701E-2</v>
      </c>
      <c r="AA198">
        <f>MAX(Z198:Z202)</f>
        <v>9.5006452066872527E-2</v>
      </c>
      <c r="AB198">
        <f>IF(ABS(MAX(P198:P204)) &gt; ABS(MIN(P198:P204)),MAX(P198:P204), MIN(P198:P204))</f>
        <v>0.91021562499998154</v>
      </c>
      <c r="AC198">
        <f>IF(ABS(AB199)&gt;ABS(AB198),AB199,AB198)</f>
        <v>0.91021562499998154</v>
      </c>
      <c r="AE198">
        <f>ABS(P225-P197)</f>
        <v>6.6165625000003114E-2</v>
      </c>
      <c r="AH198">
        <f>H198-AG191</f>
        <v>10.175535000000004</v>
      </c>
      <c r="AI198">
        <f>100*(AH198-O198)/80</f>
        <v>0.21381875000000328</v>
      </c>
      <c r="AJ198">
        <v>50.336472500000006</v>
      </c>
      <c r="AK198">
        <v>0.39539062500000277</v>
      </c>
      <c r="AL198">
        <v>90.705222499999991</v>
      </c>
      <c r="AM198">
        <v>0.8757281249999771</v>
      </c>
      <c r="AN198">
        <f>IF(ABS(MAX(AI198:AI204)) &gt; ABS(MIN(AI198:AI204)),MAX(AI198:AI204), MIN(AI198:AI204))</f>
        <v>0.8757281249999771</v>
      </c>
      <c r="AO198">
        <f>IF(ABS(AN199)&gt;ABS(AN198),AN199,AN198)</f>
        <v>0.8757281249999771</v>
      </c>
    </row>
    <row r="199" spans="1:41" x14ac:dyDescent="0.35">
      <c r="A199" t="s">
        <v>237</v>
      </c>
      <c r="B199" t="s">
        <v>231</v>
      </c>
      <c r="C199" t="s">
        <v>569</v>
      </c>
      <c r="D199">
        <v>-20</v>
      </c>
      <c r="E199">
        <v>-20.100000000000001</v>
      </c>
      <c r="F199">
        <v>-0.5</v>
      </c>
      <c r="G199">
        <v>-0.49973299999999998</v>
      </c>
      <c r="H199">
        <v>30.223437499999999</v>
      </c>
      <c r="J199">
        <v>-23845</v>
      </c>
      <c r="N199" t="s">
        <v>174</v>
      </c>
      <c r="O199">
        <f t="shared" si="6"/>
        <v>30.010680000000001</v>
      </c>
      <c r="P199">
        <f t="shared" si="7"/>
        <v>0.26594687499999825</v>
      </c>
      <c r="Q199">
        <f t="shared" si="8"/>
        <v>0.26594687499999825</v>
      </c>
      <c r="Y199">
        <f>TREND(H198:H202,G198:G202,G199)</f>
        <v>30.284327993767064</v>
      </c>
      <c r="Z199">
        <f>ABS((Y199-H199)/80*100)</f>
        <v>7.6113117208831405E-2</v>
      </c>
      <c r="AB199">
        <f>IF(ABS(T198) &gt; ABS(V198),T198,V198)</f>
        <v>0.91021562499998154</v>
      </c>
      <c r="AE199">
        <f>ABS(P247-P191)</f>
        <v>0.26768125000000031</v>
      </c>
      <c r="AH199">
        <f>H199-AG191</f>
        <v>30.195847500000003</v>
      </c>
      <c r="AI199">
        <f>100*(AH199-O199)/80</f>
        <v>0.23145937500000269</v>
      </c>
      <c r="AN199">
        <f>IF(ABS(AK198) &gt; ABS(AM198),AK198,AM198)</f>
        <v>0.8757281249999771</v>
      </c>
    </row>
    <row r="200" spans="1:41" x14ac:dyDescent="0.35">
      <c r="A200" t="s">
        <v>237</v>
      </c>
      <c r="B200" t="s">
        <v>231</v>
      </c>
      <c r="C200" t="s">
        <v>605</v>
      </c>
      <c r="D200">
        <v>-20</v>
      </c>
      <c r="E200">
        <v>-19.899999999999999</v>
      </c>
      <c r="F200">
        <v>0</v>
      </c>
      <c r="G200">
        <v>5.04E-4</v>
      </c>
      <c r="H200">
        <v>50.364062500000003</v>
      </c>
      <c r="J200">
        <v>-23862</v>
      </c>
      <c r="N200" t="s">
        <v>174</v>
      </c>
      <c r="O200">
        <f t="shared" si="6"/>
        <v>50.020160000000004</v>
      </c>
      <c r="P200">
        <f t="shared" si="7"/>
        <v>0.42987812499999833</v>
      </c>
      <c r="Q200">
        <f t="shared" si="8"/>
        <v>0.42987812499999833</v>
      </c>
      <c r="Y200">
        <f>TREND(H198:H202,G198:G202,G200)</f>
        <v>50.440067661653501</v>
      </c>
      <c r="Z200">
        <f>ABS((Y200-H200)/80*100)</f>
        <v>9.5006452066872527E-2</v>
      </c>
      <c r="AE200">
        <f>ABS(P248-P192)</f>
        <v>0.28725624999999866</v>
      </c>
      <c r="AH200">
        <f>H200-AG191</f>
        <v>50.336472500000006</v>
      </c>
      <c r="AI200">
        <f>100*(AH200-O200)/80</f>
        <v>0.39539062500000277</v>
      </c>
    </row>
    <row r="201" spans="1:41" x14ac:dyDescent="0.35">
      <c r="A201" t="s">
        <v>237</v>
      </c>
      <c r="B201" t="s">
        <v>231</v>
      </c>
      <c r="C201" t="s">
        <v>641</v>
      </c>
      <c r="D201">
        <v>-20</v>
      </c>
      <c r="E201">
        <v>-20.100000000000001</v>
      </c>
      <c r="F201">
        <v>0.5</v>
      </c>
      <c r="G201">
        <v>0.50003900000000001</v>
      </c>
      <c r="H201">
        <v>70.6171875</v>
      </c>
      <c r="J201">
        <v>-23897</v>
      </c>
      <c r="N201" t="s">
        <v>174</v>
      </c>
      <c r="O201">
        <f t="shared" ref="O201:O264" si="9">(((G201--1)*(40))+10)</f>
        <v>70.001560000000012</v>
      </c>
      <c r="P201">
        <f t="shared" ref="P201:P264" si="10">100*(H201-O201)/80</f>
        <v>0.769534374999985</v>
      </c>
      <c r="Q201">
        <f t="shared" ref="Q201:Q264" si="11">ABS(P201)</f>
        <v>0.769534374999985</v>
      </c>
      <c r="Y201">
        <f>TREND(H198:H202,G198:G202,G201)</f>
        <v>70.567522078255337</v>
      </c>
      <c r="Z201">
        <f>ABS((Y201-H201)/80*100)</f>
        <v>6.2081777180829072E-2</v>
      </c>
      <c r="AE201">
        <f>ABS(P249-P193)</f>
        <v>6.823437499999585E-2</v>
      </c>
      <c r="AH201">
        <f>H201-AG191</f>
        <v>70.589597499999996</v>
      </c>
      <c r="AI201">
        <f>100*(AH201-O201)/80</f>
        <v>0.73504687499998056</v>
      </c>
    </row>
    <row r="202" spans="1:41" x14ac:dyDescent="0.35">
      <c r="A202" t="s">
        <v>237</v>
      </c>
      <c r="B202" t="s">
        <v>231</v>
      </c>
      <c r="C202" t="s">
        <v>678</v>
      </c>
      <c r="D202">
        <v>-20</v>
      </c>
      <c r="E202">
        <v>-19.899999999999999</v>
      </c>
      <c r="F202">
        <v>1</v>
      </c>
      <c r="G202">
        <v>1.000116</v>
      </c>
      <c r="H202">
        <v>90.732812499999994</v>
      </c>
      <c r="J202">
        <v>-23908</v>
      </c>
      <c r="N202" t="s">
        <v>174</v>
      </c>
      <c r="O202">
        <f t="shared" si="9"/>
        <v>90.004640000000009</v>
      </c>
      <c r="P202">
        <f t="shared" si="10"/>
        <v>0.91021562499998154</v>
      </c>
      <c r="Q202">
        <f t="shared" si="11"/>
        <v>0.91021562499998154</v>
      </c>
      <c r="Y202">
        <f>TREND(H198:H202,G198:G202,G202)</f>
        <v>90.716814965222198</v>
      </c>
      <c r="Z202">
        <f>ABS((Y202-H202)/80*100)</f>
        <v>1.9996918472244829E-2</v>
      </c>
      <c r="AE202">
        <f>ABS(P250-P194)</f>
        <v>0.13433749999997247</v>
      </c>
      <c r="AH202">
        <f>H202-AG191</f>
        <v>90.705222499999991</v>
      </c>
      <c r="AI202">
        <f>100*(AH202-O202)/80</f>
        <v>0.8757281249999771</v>
      </c>
    </row>
    <row r="203" spans="1:41" x14ac:dyDescent="0.35">
      <c r="A203" t="s">
        <v>237</v>
      </c>
      <c r="B203" t="s">
        <v>231</v>
      </c>
      <c r="C203" t="s">
        <v>714</v>
      </c>
      <c r="D203">
        <v>-20</v>
      </c>
      <c r="E203">
        <v>-20</v>
      </c>
      <c r="F203">
        <v>0</v>
      </c>
      <c r="G203">
        <v>3.6000000000000002E-4</v>
      </c>
      <c r="H203">
        <v>50.303125000000001</v>
      </c>
      <c r="J203">
        <v>-23946</v>
      </c>
      <c r="N203" t="s">
        <v>174</v>
      </c>
      <c r="O203">
        <f t="shared" si="9"/>
        <v>50.014399999999995</v>
      </c>
      <c r="P203">
        <f t="shared" si="10"/>
        <v>0.3609062500000082</v>
      </c>
      <c r="Q203">
        <f t="shared" si="11"/>
        <v>0.3609062500000082</v>
      </c>
      <c r="Y203">
        <f>TREND(H198:H202,G198:G202,G203)</f>
        <v>50.434265558825885</v>
      </c>
      <c r="Z203">
        <f>ABS((Y203-H203)/80*100)</f>
        <v>0.1639256985323545</v>
      </c>
      <c r="AE203">
        <f>ABS(P251-P195)</f>
        <v>9.0671875000012392E-2</v>
      </c>
      <c r="AH203">
        <f>H203-AG191</f>
        <v>50.275535000000005</v>
      </c>
      <c r="AI203">
        <f>100*(AH203-O203)/80</f>
        <v>0.32641875000001264</v>
      </c>
    </row>
    <row r="204" spans="1:41" x14ac:dyDescent="0.35">
      <c r="A204" t="s">
        <v>237</v>
      </c>
      <c r="B204" t="s">
        <v>231</v>
      </c>
      <c r="C204" t="s">
        <v>750</v>
      </c>
      <c r="D204">
        <v>-20</v>
      </c>
      <c r="E204">
        <v>-20</v>
      </c>
      <c r="F204">
        <v>-1</v>
      </c>
      <c r="G204">
        <v>-0.99980500000000005</v>
      </c>
      <c r="H204">
        <v>10.165625</v>
      </c>
      <c r="J204">
        <v>-23965</v>
      </c>
      <c r="N204" t="s">
        <v>174</v>
      </c>
      <c r="O204">
        <f t="shared" si="9"/>
        <v>10.007799999999998</v>
      </c>
      <c r="P204">
        <f t="shared" si="10"/>
        <v>0.19728125000000318</v>
      </c>
      <c r="Q204">
        <f t="shared" si="11"/>
        <v>0.19728125000000318</v>
      </c>
      <c r="Y204">
        <f>TREND(H198:H202,G198:G202,G204)</f>
        <v>10.135236568703931</v>
      </c>
      <c r="Z204">
        <f>ABS((Y204-H204)/80*100)</f>
        <v>3.7985539120086731E-2</v>
      </c>
      <c r="AE204">
        <f>ABS(P252-P196)</f>
        <v>4.4984374999987864E-2</v>
      </c>
      <c r="AH204">
        <f>H204-AG191</f>
        <v>10.138035000000004</v>
      </c>
      <c r="AI204">
        <f>100*(AH204-O204)/80</f>
        <v>0.16279375000000762</v>
      </c>
    </row>
    <row r="205" spans="1:41" x14ac:dyDescent="0.35">
      <c r="A205" t="s">
        <v>237</v>
      </c>
      <c r="B205" t="s">
        <v>231</v>
      </c>
      <c r="C205" t="s">
        <v>787</v>
      </c>
      <c r="D205">
        <v>0</v>
      </c>
      <c r="E205">
        <v>0</v>
      </c>
      <c r="F205">
        <v>-1</v>
      </c>
      <c r="G205">
        <v>-1.0001899999999999</v>
      </c>
      <c r="H205">
        <v>10.15</v>
      </c>
      <c r="J205">
        <v>-16628</v>
      </c>
      <c r="N205" t="s">
        <v>174</v>
      </c>
      <c r="O205">
        <f t="shared" si="9"/>
        <v>9.9924000000000035</v>
      </c>
      <c r="P205">
        <f t="shared" si="10"/>
        <v>0.19699999999999607</v>
      </c>
      <c r="Q205">
        <f t="shared" si="11"/>
        <v>0.19699999999999607</v>
      </c>
      <c r="S205">
        <v>50.254687500000003</v>
      </c>
      <c r="T205">
        <v>0.33175937500000252</v>
      </c>
      <c r="U205">
        <v>90.635937499999997</v>
      </c>
      <c r="V205">
        <v>0.80007187499999688</v>
      </c>
      <c r="W205">
        <v>80.485940551757807</v>
      </c>
      <c r="X205">
        <f>(W205-80)/80*100</f>
        <v>0.60742568969725852</v>
      </c>
      <c r="Y205">
        <f>TREND(H205:H209,G205:G209,G205)</f>
        <v>10.072934073818224</v>
      </c>
      <c r="Z205">
        <f>ABS((Y205-H205)/80*100)</f>
        <v>9.6332407727219849E-2</v>
      </c>
      <c r="AA205">
        <f>MAX(Z205:Z209)</f>
        <v>0.11273753635367534</v>
      </c>
      <c r="AB205">
        <f>IF(ABS(MAX(P205:P211)) &gt; ABS(MIN(P205:P211)),MAX(P205:P211), MIN(P205:P211))</f>
        <v>0.80007187499999688</v>
      </c>
      <c r="AC205">
        <f>IF(ABS(AB206)&gt;ABS(AB205),AB206,AB205)</f>
        <v>0.80007187499999688</v>
      </c>
      <c r="AE205">
        <f>ABS(P253-P197)</f>
        <v>7.8574999999996287E-2</v>
      </c>
      <c r="AH205">
        <f>H205-AG191</f>
        <v>10.122410000000004</v>
      </c>
      <c r="AI205">
        <f>100*(AH205-O205)/80</f>
        <v>0.1625125000000005</v>
      </c>
      <c r="AJ205">
        <v>50.227097500000006</v>
      </c>
      <c r="AK205">
        <v>0.29727187500000696</v>
      </c>
      <c r="AL205">
        <v>90.608347500000008</v>
      </c>
      <c r="AM205">
        <v>0.7655843750000102</v>
      </c>
      <c r="AN205">
        <f>IF(ABS(MAX(AI205:AI211)) &gt; ABS(MIN(AI205:AI211)),MAX(AI205:AI211), MIN(AI205:AI211))</f>
        <v>0.7655843750000102</v>
      </c>
      <c r="AO205">
        <f>IF(ABS(AN206)&gt;ABS(AN205),AN206,AN205)</f>
        <v>0.7655843750000102</v>
      </c>
    </row>
    <row r="206" spans="1:41" x14ac:dyDescent="0.35">
      <c r="A206" t="s">
        <v>237</v>
      </c>
      <c r="B206" t="s">
        <v>231</v>
      </c>
      <c r="C206" t="s">
        <v>824</v>
      </c>
      <c r="D206">
        <v>0</v>
      </c>
      <c r="E206">
        <v>0.1</v>
      </c>
      <c r="F206">
        <v>-0.5</v>
      </c>
      <c r="G206">
        <v>-0.50005599999999994</v>
      </c>
      <c r="H206">
        <v>30.15</v>
      </c>
      <c r="J206">
        <v>-16626</v>
      </c>
      <c r="N206" t="s">
        <v>174</v>
      </c>
      <c r="O206">
        <f t="shared" si="9"/>
        <v>29.997760000000003</v>
      </c>
      <c r="P206">
        <f t="shared" si="10"/>
        <v>0.19029999999999436</v>
      </c>
      <c r="Q206">
        <f t="shared" si="11"/>
        <v>0.19029999999999436</v>
      </c>
      <c r="Y206">
        <f>TREND(H205:H209,G205:G209,G206)</f>
        <v>30.215873391140342</v>
      </c>
      <c r="Z206">
        <f>ABS((Y206-H206)/80*100)</f>
        <v>8.2341738925428842E-2</v>
      </c>
      <c r="AB206">
        <f>IF(ABS(T205) &gt; ABS(V205),T205,V205)</f>
        <v>0.80007187499999688</v>
      </c>
      <c r="AE206">
        <f>ABS(P247-P219)</f>
        <v>0.33253437500000205</v>
      </c>
      <c r="AH206">
        <f>H206-AG191</f>
        <v>30.122410000000002</v>
      </c>
      <c r="AI206">
        <f>100*(AH206-O206)/80</f>
        <v>0.1558124999999988</v>
      </c>
      <c r="AN206">
        <f>IF(ABS(AK205) &gt; ABS(AM205),AK205,AM205)</f>
        <v>0.7655843750000102</v>
      </c>
    </row>
    <row r="207" spans="1:41" x14ac:dyDescent="0.35">
      <c r="A207" t="s">
        <v>237</v>
      </c>
      <c r="B207" t="s">
        <v>231</v>
      </c>
      <c r="C207" t="s">
        <v>859</v>
      </c>
      <c r="D207">
        <v>0</v>
      </c>
      <c r="E207">
        <v>0</v>
      </c>
      <c r="F207">
        <v>0</v>
      </c>
      <c r="G207">
        <v>-2.6800000000000001E-4</v>
      </c>
      <c r="H207">
        <v>50.254687500000003</v>
      </c>
      <c r="J207">
        <v>-16615</v>
      </c>
      <c r="N207" t="s">
        <v>174</v>
      </c>
      <c r="O207">
        <f t="shared" si="9"/>
        <v>49.989280000000001</v>
      </c>
      <c r="P207">
        <f t="shared" si="10"/>
        <v>0.33175937500000252</v>
      </c>
      <c r="Q207">
        <f t="shared" si="11"/>
        <v>0.33175937500000252</v>
      </c>
      <c r="Y207">
        <f>TREND(H205:H209,G205:G209,G207)</f>
        <v>50.344877529082943</v>
      </c>
      <c r="Z207">
        <f>ABS((Y207-H207)/80*100)</f>
        <v>0.11273753635367534</v>
      </c>
      <c r="AE207">
        <f>ABS(P248-P220)</f>
        <v>0.40004687500000191</v>
      </c>
      <c r="AH207">
        <f>H207-AG191</f>
        <v>50.227097500000006</v>
      </c>
      <c r="AI207">
        <f>100*(AH207-O207)/80</f>
        <v>0.29727187500000696</v>
      </c>
    </row>
    <row r="208" spans="1:41" x14ac:dyDescent="0.35">
      <c r="A208" t="s">
        <v>237</v>
      </c>
      <c r="B208" t="s">
        <v>231</v>
      </c>
      <c r="C208" t="s">
        <v>896</v>
      </c>
      <c r="D208">
        <v>0</v>
      </c>
      <c r="E208">
        <v>0.1</v>
      </c>
      <c r="F208">
        <v>0.5</v>
      </c>
      <c r="G208">
        <v>0.49933100000000002</v>
      </c>
      <c r="H208">
        <v>70.535937500000003</v>
      </c>
      <c r="J208">
        <v>-16603</v>
      </c>
      <c r="N208" t="s">
        <v>174</v>
      </c>
      <c r="O208">
        <f t="shared" si="9"/>
        <v>69.973240000000004</v>
      </c>
      <c r="P208">
        <f t="shared" si="10"/>
        <v>0.70337187499999843</v>
      </c>
      <c r="Q208">
        <f t="shared" si="11"/>
        <v>0.70337187499999843</v>
      </c>
      <c r="Y208">
        <f>TREND(H205:H209,G205:G209,G208)</f>
        <v>70.466269675977202</v>
      </c>
      <c r="Z208">
        <f>ABS((Y208-H208)/80*100)</f>
        <v>8.7084780028501285E-2</v>
      </c>
      <c r="AE208">
        <f>ABS(P249-P221)</f>
        <v>0.10197187500000204</v>
      </c>
      <c r="AH208">
        <f>H208-AG191</f>
        <v>70.508347500000013</v>
      </c>
      <c r="AI208">
        <f>100*(AH208-O208)/80</f>
        <v>0.66888437500001174</v>
      </c>
    </row>
    <row r="209" spans="1:41" x14ac:dyDescent="0.35">
      <c r="A209" t="s">
        <v>237</v>
      </c>
      <c r="B209" t="s">
        <v>231</v>
      </c>
      <c r="C209" t="s">
        <v>933</v>
      </c>
      <c r="D209">
        <v>0</v>
      </c>
      <c r="E209">
        <v>0.1</v>
      </c>
      <c r="F209">
        <v>1</v>
      </c>
      <c r="G209">
        <v>0.99989700000000004</v>
      </c>
      <c r="H209">
        <v>90.635937499999997</v>
      </c>
      <c r="J209">
        <v>-16592</v>
      </c>
      <c r="N209" t="s">
        <v>174</v>
      </c>
      <c r="O209">
        <f t="shared" si="9"/>
        <v>89.99588</v>
      </c>
      <c r="P209">
        <f t="shared" si="10"/>
        <v>0.80007187499999688</v>
      </c>
      <c r="Q209">
        <f t="shared" si="11"/>
        <v>0.80007187499999688</v>
      </c>
      <c r="Y209">
        <f>TREND(H205:H209,G205:G209,G209)</f>
        <v>90.626607829981253</v>
      </c>
      <c r="Z209">
        <f>ABS((Y209-H209)/80*100)</f>
        <v>1.1662087523429676E-2</v>
      </c>
      <c r="AE209">
        <f>ABS(P250-P222)</f>
        <v>0.15940624999998931</v>
      </c>
      <c r="AH209">
        <f>H209-AG191</f>
        <v>90.608347500000008</v>
      </c>
      <c r="AI209">
        <f>100*(AH209-O209)/80</f>
        <v>0.7655843750000102</v>
      </c>
    </row>
    <row r="210" spans="1:41" x14ac:dyDescent="0.35">
      <c r="A210" t="s">
        <v>237</v>
      </c>
      <c r="B210" t="s">
        <v>231</v>
      </c>
      <c r="C210" t="s">
        <v>970</v>
      </c>
      <c r="D210">
        <v>0</v>
      </c>
      <c r="E210">
        <v>-0.1</v>
      </c>
      <c r="F210">
        <v>0</v>
      </c>
      <c r="G210">
        <v>2.1999999999999999E-5</v>
      </c>
      <c r="H210">
        <v>50.214062499999997</v>
      </c>
      <c r="J210">
        <v>-16585</v>
      </c>
      <c r="N210" t="s">
        <v>174</v>
      </c>
      <c r="O210">
        <f t="shared" si="9"/>
        <v>50.000879999999995</v>
      </c>
      <c r="P210">
        <f t="shared" si="10"/>
        <v>0.26647812500000256</v>
      </c>
      <c r="Q210">
        <f t="shared" si="11"/>
        <v>0.26647812500000256</v>
      </c>
      <c r="Y210">
        <f>TREND(H205:H209,G205:G209,G210)</f>
        <v>50.356557303707397</v>
      </c>
      <c r="Z210">
        <f>ABS((Y210-H210)/80*100)</f>
        <v>0.17811850463425039</v>
      </c>
      <c r="AE210">
        <f>ABS(P251-P223)</f>
        <v>0.10257187500000597</v>
      </c>
      <c r="AH210">
        <f>H210-AG191</f>
        <v>50.186472500000001</v>
      </c>
      <c r="AI210">
        <f>100*(AH210-O210)/80</f>
        <v>0.231990625000007</v>
      </c>
    </row>
    <row r="211" spans="1:41" x14ac:dyDescent="0.35">
      <c r="A211" t="s">
        <v>237</v>
      </c>
      <c r="B211" t="s">
        <v>231</v>
      </c>
      <c r="C211" t="s">
        <v>1005</v>
      </c>
      <c r="D211">
        <v>0</v>
      </c>
      <c r="E211">
        <v>0</v>
      </c>
      <c r="F211">
        <v>-1</v>
      </c>
      <c r="G211">
        <v>-1.000227</v>
      </c>
      <c r="H211">
        <v>10.082812499999999</v>
      </c>
      <c r="J211">
        <v>-16566</v>
      </c>
      <c r="N211" t="s">
        <v>174</v>
      </c>
      <c r="O211">
        <f t="shared" si="9"/>
        <v>9.9909200000000009</v>
      </c>
      <c r="P211">
        <f t="shared" si="10"/>
        <v>0.11486562499999797</v>
      </c>
      <c r="Q211">
        <f t="shared" si="11"/>
        <v>0.11486562499999797</v>
      </c>
      <c r="Y211">
        <f>TREND(H205:H209,G205:G209,G211)</f>
        <v>10.071443895676481</v>
      </c>
      <c r="Z211">
        <f>ABS((Y211-H211)/80*100)</f>
        <v>1.4210755404397979E-2</v>
      </c>
      <c r="AE211">
        <f>ABS(P252-P224)</f>
        <v>0.12274999999999814</v>
      </c>
      <c r="AH211">
        <f>H211-AG191</f>
        <v>10.055222500000003</v>
      </c>
      <c r="AI211">
        <f>100*(AH211-O211)/80</f>
        <v>8.0378125000002409E-2</v>
      </c>
    </row>
    <row r="212" spans="1:41" x14ac:dyDescent="0.35">
      <c r="A212" t="s">
        <v>237</v>
      </c>
      <c r="B212" t="s">
        <v>231</v>
      </c>
      <c r="C212" t="s">
        <v>1042</v>
      </c>
      <c r="D212">
        <v>10</v>
      </c>
      <c r="E212">
        <v>10</v>
      </c>
      <c r="F212">
        <v>-1</v>
      </c>
      <c r="G212">
        <v>-1.0000869999999999</v>
      </c>
      <c r="H212">
        <v>10.046875</v>
      </c>
      <c r="J212">
        <v>-12299</v>
      </c>
      <c r="N212" t="s">
        <v>174</v>
      </c>
      <c r="O212">
        <f t="shared" si="9"/>
        <v>9.9965200000000021</v>
      </c>
      <c r="P212">
        <f t="shared" si="10"/>
        <v>6.2943749999997411E-2</v>
      </c>
      <c r="Q212">
        <f t="shared" si="11"/>
        <v>6.2943749999997411E-2</v>
      </c>
      <c r="S212">
        <v>50.181249999999999</v>
      </c>
      <c r="T212">
        <v>0.23361249999999778</v>
      </c>
      <c r="U212">
        <v>90.401562499999997</v>
      </c>
      <c r="V212">
        <v>0.52500312499999424</v>
      </c>
      <c r="W212">
        <v>80.354690551757813</v>
      </c>
      <c r="X212">
        <f>(W212-80)/80*100</f>
        <v>0.44336318969726563</v>
      </c>
      <c r="Y212">
        <f>TREND(H212:H216,G212:G216,G212)</f>
        <v>10.020073596169411</v>
      </c>
      <c r="Z212">
        <f>ABS((Y212-H212)/80*100)</f>
        <v>3.3501754788236582E-2</v>
      </c>
      <c r="AA212">
        <f>MAX(Z212:Z216)</f>
        <v>0.10299216250583497</v>
      </c>
      <c r="AB212">
        <f>IF(ABS(MAX(P212:P218)) &gt; ABS(MIN(P212:P218)),MAX(P212:P218), MIN(P212:P218))</f>
        <v>0.53172499999998735</v>
      </c>
      <c r="AC212">
        <f>IF(ABS(AB213)&gt;ABS(AB212),AB213,AB212)</f>
        <v>0.53172499999998735</v>
      </c>
      <c r="AE212">
        <f>ABS(P253-P225)</f>
        <v>0.1447406249999994</v>
      </c>
      <c r="AH212">
        <f>H212-AG191</f>
        <v>10.019285000000004</v>
      </c>
      <c r="AI212">
        <f>100*(AH212-O212)/80</f>
        <v>2.8456250000001848E-2</v>
      </c>
      <c r="AJ212">
        <v>50.153660000000002</v>
      </c>
      <c r="AK212">
        <v>0.19912500000000222</v>
      </c>
      <c r="AL212">
        <v>90.373972500000008</v>
      </c>
      <c r="AM212">
        <v>0.49051562500000756</v>
      </c>
      <c r="AN212">
        <f>IF(ABS(MAX(AI212:AI218)) &gt; ABS(MIN(AI212:AI218)),MAX(AI212:AI218), MIN(AI212:AI218))</f>
        <v>0.4972374999999829</v>
      </c>
      <c r="AO212">
        <f>IF(ABS(AN213)&gt;ABS(AN212),AN213,AN212)</f>
        <v>0.4972374999999829</v>
      </c>
    </row>
    <row r="213" spans="1:41" x14ac:dyDescent="0.35">
      <c r="A213" t="s">
        <v>237</v>
      </c>
      <c r="B213" t="s">
        <v>231</v>
      </c>
      <c r="C213" t="s">
        <v>1077</v>
      </c>
      <c r="D213">
        <v>10</v>
      </c>
      <c r="E213">
        <v>10</v>
      </c>
      <c r="F213">
        <v>-0.5</v>
      </c>
      <c r="G213">
        <v>-0.50027100000000002</v>
      </c>
      <c r="H213">
        <v>30.089062500000001</v>
      </c>
      <c r="J213">
        <v>-12282</v>
      </c>
      <c r="N213" t="s">
        <v>174</v>
      </c>
      <c r="O213">
        <f t="shared" si="9"/>
        <v>29.989159999999998</v>
      </c>
      <c r="P213">
        <f t="shared" si="10"/>
        <v>0.12487812500000306</v>
      </c>
      <c r="Q213">
        <f t="shared" si="11"/>
        <v>0.12487812500000306</v>
      </c>
      <c r="Y213">
        <f>TREND(H212:H216,G212:G216,G213)</f>
        <v>30.11916864832823</v>
      </c>
      <c r="Z213">
        <f>ABS((Y213-H213)/80*100)</f>
        <v>3.7632685410287081E-2</v>
      </c>
      <c r="AB213">
        <f>IF(ABS(T212) &gt; ABS(V212),T212,V212)</f>
        <v>0.52500312499999424</v>
      </c>
      <c r="AH213">
        <f>H213-AG191</f>
        <v>30.061472500000004</v>
      </c>
      <c r="AI213">
        <f>100*(AH213-O213)/80</f>
        <v>9.0390625000007496E-2</v>
      </c>
      <c r="AN213">
        <f>IF(ABS(AK212) &gt; ABS(AM212),AK212,AM212)</f>
        <v>0.49051562500000756</v>
      </c>
    </row>
    <row r="214" spans="1:41" x14ac:dyDescent="0.35">
      <c r="A214" t="s">
        <v>237</v>
      </c>
      <c r="B214" t="s">
        <v>1111</v>
      </c>
      <c r="C214" t="s">
        <v>1115</v>
      </c>
      <c r="D214">
        <v>10</v>
      </c>
      <c r="E214">
        <v>10</v>
      </c>
      <c r="F214">
        <v>0</v>
      </c>
      <c r="G214">
        <v>-1.4100000000000001E-4</v>
      </c>
      <c r="H214">
        <v>50.181249999999999</v>
      </c>
      <c r="J214">
        <v>-12273</v>
      </c>
      <c r="N214" t="s">
        <v>174</v>
      </c>
      <c r="O214">
        <f t="shared" si="9"/>
        <v>49.99436</v>
      </c>
      <c r="P214">
        <f t="shared" si="10"/>
        <v>0.23361249999999778</v>
      </c>
      <c r="Q214">
        <f t="shared" si="11"/>
        <v>0.23361249999999778</v>
      </c>
      <c r="Y214">
        <f>TREND(H212:H216,G212:G216,G214)</f>
        <v>50.230890578871055</v>
      </c>
      <c r="Z214">
        <f>ABS((Y214-H214)/80*100)</f>
        <v>6.2050723588820127E-2</v>
      </c>
      <c r="AH214">
        <f>H214-AG191</f>
        <v>50.153660000000002</v>
      </c>
      <c r="AI214">
        <f>100*(AH214-O214)/80</f>
        <v>0.19912500000000222</v>
      </c>
    </row>
    <row r="215" spans="1:41" x14ac:dyDescent="0.35">
      <c r="A215" t="s">
        <v>237</v>
      </c>
      <c r="B215" t="s">
        <v>1111</v>
      </c>
      <c r="C215" t="s">
        <v>1152</v>
      </c>
      <c r="D215">
        <v>10</v>
      </c>
      <c r="E215">
        <v>10</v>
      </c>
      <c r="F215">
        <v>0.5</v>
      </c>
      <c r="G215">
        <v>0.49967800000000001</v>
      </c>
      <c r="H215">
        <v>70.412499999999994</v>
      </c>
      <c r="J215">
        <v>-12262</v>
      </c>
      <c r="N215" t="s">
        <v>174</v>
      </c>
      <c r="O215">
        <f t="shared" si="9"/>
        <v>69.987120000000004</v>
      </c>
      <c r="P215">
        <f t="shared" si="10"/>
        <v>0.53172499999998735</v>
      </c>
      <c r="Q215">
        <f t="shared" si="11"/>
        <v>0.53172499999998735</v>
      </c>
      <c r="Y215">
        <f>TREND(H212:H216,G212:G216,G215)</f>
        <v>70.330106269995326</v>
      </c>
      <c r="Z215">
        <f>ABS((Y215-H215)/80*100)</f>
        <v>0.10299216250583497</v>
      </c>
      <c r="AH215">
        <f>H215-AG191</f>
        <v>70.384909999999991</v>
      </c>
      <c r="AI215">
        <f>100*(AH215-O215)/80</f>
        <v>0.4972374999999829</v>
      </c>
    </row>
    <row r="216" spans="1:41" x14ac:dyDescent="0.35">
      <c r="A216" t="s">
        <v>237</v>
      </c>
      <c r="B216" t="s">
        <v>1111</v>
      </c>
      <c r="C216" t="s">
        <v>1189</v>
      </c>
      <c r="D216">
        <v>10</v>
      </c>
      <c r="E216">
        <v>10</v>
      </c>
      <c r="F216">
        <v>1</v>
      </c>
      <c r="G216">
        <v>0.99953899999999996</v>
      </c>
      <c r="H216">
        <v>90.401562499999997</v>
      </c>
      <c r="J216">
        <v>-12247</v>
      </c>
      <c r="N216" t="s">
        <v>174</v>
      </c>
      <c r="O216">
        <f t="shared" si="9"/>
        <v>89.981560000000002</v>
      </c>
      <c r="P216">
        <f t="shared" si="10"/>
        <v>0.52500312499999424</v>
      </c>
      <c r="Q216">
        <f t="shared" si="11"/>
        <v>0.52500312499999424</v>
      </c>
      <c r="Y216">
        <f>TREND(H212:H216,G212:G216,G216)</f>
        <v>90.431010906635933</v>
      </c>
      <c r="Z216">
        <f>ABS((Y216-H216)/80*100)</f>
        <v>3.6810508294919941E-2</v>
      </c>
      <c r="AH216">
        <f>H216-AG191</f>
        <v>90.373972500000008</v>
      </c>
      <c r="AI216">
        <f>100*(AH216-O216)/80</f>
        <v>0.49051562500000756</v>
      </c>
    </row>
    <row r="217" spans="1:41" x14ac:dyDescent="0.35">
      <c r="A217" t="s">
        <v>237</v>
      </c>
      <c r="B217" t="s">
        <v>1111</v>
      </c>
      <c r="C217" t="s">
        <v>1225</v>
      </c>
      <c r="D217">
        <v>10</v>
      </c>
      <c r="E217">
        <v>10</v>
      </c>
      <c r="F217">
        <v>0</v>
      </c>
      <c r="G217">
        <v>3.6900000000000002E-4</v>
      </c>
      <c r="H217">
        <v>50.217187500000001</v>
      </c>
      <c r="J217">
        <v>-12245</v>
      </c>
      <c r="N217" t="s">
        <v>174</v>
      </c>
      <c r="O217">
        <f t="shared" si="9"/>
        <v>50.014760000000003</v>
      </c>
      <c r="P217">
        <f t="shared" si="10"/>
        <v>0.25303437499999859</v>
      </c>
      <c r="Q217">
        <f t="shared" si="11"/>
        <v>0.25303437499999859</v>
      </c>
      <c r="Y217">
        <f>TREND(H212:H216,G212:G216,G217)</f>
        <v>50.251399202997938</v>
      </c>
      <c r="Z217">
        <f>ABS((Y217-H217)/80*100)</f>
        <v>4.2764628747420375E-2</v>
      </c>
      <c r="AH217">
        <f>H217-AG191</f>
        <v>50.189597500000005</v>
      </c>
      <c r="AI217">
        <f>100*(AH217-O217)/80</f>
        <v>0.21854687500000303</v>
      </c>
    </row>
    <row r="218" spans="1:41" x14ac:dyDescent="0.35">
      <c r="A218" t="s">
        <v>237</v>
      </c>
      <c r="B218" t="s">
        <v>1111</v>
      </c>
      <c r="C218" t="s">
        <v>1261</v>
      </c>
      <c r="D218">
        <v>10</v>
      </c>
      <c r="E218">
        <v>10</v>
      </c>
      <c r="F218">
        <v>-1</v>
      </c>
      <c r="G218">
        <v>-0.99985500000000005</v>
      </c>
      <c r="H218">
        <v>10.073437500000001</v>
      </c>
      <c r="J218">
        <v>-12235</v>
      </c>
      <c r="N218" t="s">
        <v>174</v>
      </c>
      <c r="O218">
        <f t="shared" si="9"/>
        <v>10.005799999999997</v>
      </c>
      <c r="P218">
        <f t="shared" si="10"/>
        <v>8.4546875000004462E-2</v>
      </c>
      <c r="Q218">
        <f t="shared" si="11"/>
        <v>8.4546875000004462E-2</v>
      </c>
      <c r="Y218">
        <f>TREND(H212:H216,G212:G216,G218)</f>
        <v>10.029403009497713</v>
      </c>
      <c r="Z218">
        <f>ABS((Y218-H218)/80*100)</f>
        <v>5.5043113127859478E-2</v>
      </c>
      <c r="AH218">
        <f>H218-AG191</f>
        <v>10.045847500000004</v>
      </c>
      <c r="AI218">
        <f>100*(AH218-O218)/80</f>
        <v>5.0059375000008899E-2</v>
      </c>
    </row>
    <row r="219" spans="1:41" x14ac:dyDescent="0.35">
      <c r="A219" t="s">
        <v>237</v>
      </c>
      <c r="B219" t="s">
        <v>1111</v>
      </c>
      <c r="C219" t="s">
        <v>1298</v>
      </c>
      <c r="D219">
        <v>25</v>
      </c>
      <c r="E219">
        <v>25</v>
      </c>
      <c r="F219">
        <v>-1</v>
      </c>
      <c r="G219">
        <v>-0.99997800000000003</v>
      </c>
      <c r="H219">
        <v>10.050000000000001</v>
      </c>
      <c r="J219">
        <v>-6387</v>
      </c>
      <c r="N219" t="s">
        <v>174</v>
      </c>
      <c r="O219">
        <f t="shared" si="9"/>
        <v>10.000879999999999</v>
      </c>
      <c r="P219">
        <f t="shared" si="10"/>
        <v>6.1400000000002564E-2</v>
      </c>
      <c r="Q219">
        <f t="shared" si="11"/>
        <v>6.1400000000002564E-2</v>
      </c>
      <c r="S219">
        <v>50.0625</v>
      </c>
      <c r="T219">
        <v>6.8225000000001756E-2</v>
      </c>
      <c r="U219">
        <v>90.317187500000003</v>
      </c>
      <c r="V219">
        <v>0.42563437500000134</v>
      </c>
      <c r="W219">
        <v>80.26718444824219</v>
      </c>
      <c r="X219">
        <f>(W219-80)/80*100</f>
        <v>0.33398056030273793</v>
      </c>
      <c r="Y219">
        <f>TREND(H219:H223,G219:G223,G219)</f>
        <v>9.9731657799586984</v>
      </c>
      <c r="Z219">
        <f>ABS((Y219-H219)/80*100)</f>
        <v>9.6042775051627949E-2</v>
      </c>
      <c r="AA219">
        <f>MAX(Z219:Z223)</f>
        <v>0.11464837163496001</v>
      </c>
      <c r="AB219">
        <f>IF(ABS(MAX(P219:P225)) &gt; ABS(MIN(P219:P225)),MAX(P219:P225), MIN(P219:P225))</f>
        <v>0.42563437500000134</v>
      </c>
      <c r="AC219">
        <f>IF(ABS(AB220)&gt;ABS(AB219),AB220,AB219)</f>
        <v>0.42563437500000134</v>
      </c>
      <c r="AH219">
        <f>H219-AG191</f>
        <v>10.022410000000004</v>
      </c>
      <c r="AI219">
        <f>100*(AH219-O219)/80</f>
        <v>2.6912500000007E-2</v>
      </c>
      <c r="AJ219">
        <v>50.034910000000004</v>
      </c>
      <c r="AK219">
        <v>3.3737500000006193E-2</v>
      </c>
      <c r="AL219">
        <v>90.289597500000013</v>
      </c>
      <c r="AM219">
        <v>0.39114687500001466</v>
      </c>
      <c r="AN219">
        <f>IF(ABS(MAX(AI219:AI225)) &gt; ABS(MIN(AI219:AI225)),MAX(AI219:AI225), MIN(AI219:AI225))</f>
        <v>0.39114687500001466</v>
      </c>
      <c r="AO219">
        <f>IF(ABS(AN220)&gt;ABS(AN219),AN220,AN219)</f>
        <v>0.39114687500001466</v>
      </c>
    </row>
    <row r="220" spans="1:41" x14ac:dyDescent="0.35">
      <c r="A220" t="s">
        <v>237</v>
      </c>
      <c r="B220" t="s">
        <v>1111</v>
      </c>
      <c r="C220" t="s">
        <v>1335</v>
      </c>
      <c r="D220">
        <v>25</v>
      </c>
      <c r="E220">
        <v>25</v>
      </c>
      <c r="F220">
        <v>-0.5</v>
      </c>
      <c r="G220">
        <v>-0.50031199999999998</v>
      </c>
      <c r="H220">
        <v>29.987500000000001</v>
      </c>
      <c r="J220">
        <v>-6366</v>
      </c>
      <c r="N220" t="s">
        <v>174</v>
      </c>
      <c r="O220">
        <f t="shared" si="9"/>
        <v>29.98752</v>
      </c>
      <c r="P220">
        <f t="shared" si="10"/>
        <v>-2.4999999999053557E-5</v>
      </c>
      <c r="Q220">
        <f t="shared" si="11"/>
        <v>2.4999999999053557E-5</v>
      </c>
      <c r="Y220">
        <f>TREND(H219:H223,G219:G223,G220)</f>
        <v>30.046738818104224</v>
      </c>
      <c r="Z220">
        <f>ABS((Y220-H220)/80*100)</f>
        <v>7.4048522630278946E-2</v>
      </c>
      <c r="AB220">
        <f>IF(ABS(T219) &gt; ABS(V219),T219,V219)</f>
        <v>0.42563437500000134</v>
      </c>
      <c r="AH220">
        <f>H220-AG191</f>
        <v>29.959910000000004</v>
      </c>
      <c r="AI220">
        <f>100*(AH220-O220)/80</f>
        <v>-3.4512499999994617E-2</v>
      </c>
      <c r="AN220">
        <f>IF(ABS(AK219) &gt; ABS(AM219),AK219,AM219)</f>
        <v>0.39114687500001466</v>
      </c>
    </row>
    <row r="221" spans="1:41" x14ac:dyDescent="0.35">
      <c r="A221" t="s">
        <v>237</v>
      </c>
      <c r="B221" t="s">
        <v>1111</v>
      </c>
      <c r="C221" t="s">
        <v>1371</v>
      </c>
      <c r="D221">
        <v>25</v>
      </c>
      <c r="E221">
        <v>25</v>
      </c>
      <c r="F221">
        <v>0</v>
      </c>
      <c r="G221">
        <v>1.9799999999999999E-4</v>
      </c>
      <c r="H221">
        <v>50.0625</v>
      </c>
      <c r="J221">
        <v>-6351</v>
      </c>
      <c r="N221" t="s">
        <v>174</v>
      </c>
      <c r="O221">
        <f t="shared" si="9"/>
        <v>50.007919999999999</v>
      </c>
      <c r="P221">
        <f t="shared" si="10"/>
        <v>6.8225000000001756E-2</v>
      </c>
      <c r="Q221">
        <f t="shared" si="11"/>
        <v>6.8225000000001756E-2</v>
      </c>
      <c r="Y221">
        <f>TREND(H219:H223,G219:G223,G221)</f>
        <v>50.154218697307968</v>
      </c>
      <c r="Z221">
        <f>ABS((Y221-H221)/80*100)</f>
        <v>0.11464837163496001</v>
      </c>
      <c r="AH221">
        <f>H221-AG191</f>
        <v>50.034910000000004</v>
      </c>
      <c r="AI221">
        <f>100*(AH221-O221)/80</f>
        <v>3.3737500000006193E-2</v>
      </c>
    </row>
    <row r="222" spans="1:41" x14ac:dyDescent="0.35">
      <c r="A222" t="s">
        <v>237</v>
      </c>
      <c r="B222" t="s">
        <v>1111</v>
      </c>
      <c r="C222" t="s">
        <v>1408</v>
      </c>
      <c r="D222">
        <v>25</v>
      </c>
      <c r="E222">
        <v>25</v>
      </c>
      <c r="F222">
        <v>0.5</v>
      </c>
      <c r="G222">
        <v>0.499662</v>
      </c>
      <c r="H222">
        <v>70.2734375</v>
      </c>
      <c r="J222">
        <v>-6336</v>
      </c>
      <c r="N222" t="s">
        <v>174</v>
      </c>
      <c r="O222">
        <f t="shared" si="9"/>
        <v>69.98648</v>
      </c>
      <c r="P222">
        <f t="shared" si="10"/>
        <v>0.35869687499999969</v>
      </c>
      <c r="Q222">
        <f t="shared" si="11"/>
        <v>0.35869687499999969</v>
      </c>
      <c r="Y222">
        <f>TREND(H219:H223,G219:G223,G222)</f>
        <v>70.219676591029611</v>
      </c>
      <c r="Z222">
        <f>ABS((Y222-H222)/80*100)</f>
        <v>6.7201136212986512E-2</v>
      </c>
      <c r="AH222">
        <f>H222-AG191</f>
        <v>70.245847499999996</v>
      </c>
      <c r="AI222">
        <f>100*(AH222-O222)/80</f>
        <v>0.32420937499999525</v>
      </c>
    </row>
    <row r="223" spans="1:41" x14ac:dyDescent="0.35">
      <c r="A223" t="s">
        <v>237</v>
      </c>
      <c r="B223" t="s">
        <v>1111</v>
      </c>
      <c r="C223" t="s">
        <v>1444</v>
      </c>
      <c r="D223">
        <v>25</v>
      </c>
      <c r="E223">
        <v>25</v>
      </c>
      <c r="F223">
        <v>1</v>
      </c>
      <c r="G223">
        <v>0.999417</v>
      </c>
      <c r="H223">
        <v>90.317187500000003</v>
      </c>
      <c r="J223">
        <v>-6325</v>
      </c>
      <c r="N223" t="s">
        <v>174</v>
      </c>
      <c r="O223">
        <f t="shared" si="9"/>
        <v>89.976680000000002</v>
      </c>
      <c r="P223">
        <f t="shared" si="10"/>
        <v>0.42563437500000134</v>
      </c>
      <c r="Q223">
        <f t="shared" si="11"/>
        <v>0.42563437500000134</v>
      </c>
      <c r="Y223">
        <f>TREND(H219:H223,G219:G223,G223)</f>
        <v>90.29682511359951</v>
      </c>
      <c r="Z223">
        <f>ABS((Y223-H223)/80*100)</f>
        <v>2.54529830006156E-2</v>
      </c>
      <c r="AH223">
        <f>H223-AG191</f>
        <v>90.289597500000013</v>
      </c>
      <c r="AI223">
        <f>100*(AH223-O223)/80</f>
        <v>0.39114687500001466</v>
      </c>
    </row>
    <row r="224" spans="1:41" x14ac:dyDescent="0.35">
      <c r="A224" t="s">
        <v>237</v>
      </c>
      <c r="B224" t="s">
        <v>1111</v>
      </c>
      <c r="C224" t="s">
        <v>1481</v>
      </c>
      <c r="D224">
        <v>25</v>
      </c>
      <c r="E224">
        <v>25</v>
      </c>
      <c r="F224">
        <v>0</v>
      </c>
      <c r="G224">
        <v>6.2000000000000003E-5</v>
      </c>
      <c r="H224">
        <v>50.154687500000001</v>
      </c>
      <c r="J224">
        <v>-6312</v>
      </c>
      <c r="N224" t="s">
        <v>174</v>
      </c>
      <c r="O224">
        <f t="shared" si="9"/>
        <v>50.002479999999998</v>
      </c>
      <c r="P224">
        <f t="shared" si="10"/>
        <v>0.19025937500000367</v>
      </c>
      <c r="Q224">
        <f t="shared" si="11"/>
        <v>0.19025937500000367</v>
      </c>
      <c r="Y224">
        <f>TREND(H219:H223,G219:G223,G224)</f>
        <v>50.148755035715645</v>
      </c>
      <c r="Z224">
        <f>ABS((Y224-H224)/80*100)</f>
        <v>7.415580355445428E-3</v>
      </c>
      <c r="AH224">
        <f>H224-AG191</f>
        <v>50.127097500000005</v>
      </c>
      <c r="AI224">
        <f>100*(AH224-O224)/80</f>
        <v>0.15577187500000811</v>
      </c>
    </row>
    <row r="225" spans="1:41" x14ac:dyDescent="0.35">
      <c r="A225" t="s">
        <v>237</v>
      </c>
      <c r="B225" t="s">
        <v>1111</v>
      </c>
      <c r="C225" t="s">
        <v>1518</v>
      </c>
      <c r="D225">
        <v>25</v>
      </c>
      <c r="E225">
        <v>25</v>
      </c>
      <c r="F225">
        <v>-1</v>
      </c>
      <c r="G225">
        <v>-0.99991399999999997</v>
      </c>
      <c r="H225">
        <v>10</v>
      </c>
      <c r="J225">
        <v>-6302</v>
      </c>
      <c r="N225" t="s">
        <v>174</v>
      </c>
      <c r="O225">
        <f t="shared" si="9"/>
        <v>10.003440000000001</v>
      </c>
      <c r="P225">
        <f t="shared" si="10"/>
        <v>-4.3000000000015248E-3</v>
      </c>
      <c r="Q225">
        <f t="shared" si="11"/>
        <v>4.3000000000015248E-3</v>
      </c>
      <c r="Y225">
        <f>TREND(H219:H223,G219:G223,G225)</f>
        <v>9.9757369148256743</v>
      </c>
      <c r="Z225">
        <f>ABS((Y225-H225)/80*100)</f>
        <v>3.0328856467907169E-2</v>
      </c>
      <c r="AH225">
        <f>H225-AG191</f>
        <v>9.9724100000000035</v>
      </c>
      <c r="AI225">
        <f>100*(AH225-O225)/80</f>
        <v>-3.8787499999997088E-2</v>
      </c>
    </row>
    <row r="226" spans="1:41" x14ac:dyDescent="0.35">
      <c r="A226" t="s">
        <v>237</v>
      </c>
      <c r="B226" t="s">
        <v>1111</v>
      </c>
      <c r="C226" t="s">
        <v>1555</v>
      </c>
      <c r="D226">
        <v>50</v>
      </c>
      <c r="E226">
        <v>50</v>
      </c>
      <c r="F226">
        <v>-1</v>
      </c>
      <c r="G226">
        <v>-0.99979099999999999</v>
      </c>
      <c r="H226">
        <v>10.06875</v>
      </c>
      <c r="J226">
        <v>3379</v>
      </c>
      <c r="N226" t="s">
        <v>174</v>
      </c>
      <c r="O226">
        <f t="shared" si="9"/>
        <v>10.00836</v>
      </c>
      <c r="P226">
        <f t="shared" si="10"/>
        <v>7.548749999999993E-2</v>
      </c>
      <c r="Q226">
        <f t="shared" si="11"/>
        <v>7.548749999999993E-2</v>
      </c>
      <c r="S226">
        <v>50.048437499999999</v>
      </c>
      <c r="T226">
        <v>6.8246874999999818E-2</v>
      </c>
      <c r="U226">
        <v>90.229687499999997</v>
      </c>
      <c r="V226">
        <v>0.29355937500000095</v>
      </c>
      <c r="W226">
        <v>80.160940551757818</v>
      </c>
      <c r="X226">
        <f>(W226-80)/80*100</f>
        <v>0.20117568969727273</v>
      </c>
      <c r="Y226">
        <f>TREND(H226:H230,G226:G230,G226)</f>
        <v>9.9631893774254721</v>
      </c>
      <c r="Z226">
        <f>ABS((Y226-H226)/80*100)</f>
        <v>0.13195077821815948</v>
      </c>
      <c r="AA226">
        <f>MAX(Z226:Z230)</f>
        <v>0.16413925771557203</v>
      </c>
      <c r="AB226">
        <f>IF(ABS(MAX(P226:P232)) &gt; ABS(MIN(P226:P232)),MAX(P226:P232), MIN(P226:P232))</f>
        <v>0.29355937500000095</v>
      </c>
      <c r="AC226">
        <f>IF(ABS(AB227)&gt;ABS(AB226),AB227,AB226)</f>
        <v>0.29355937500000095</v>
      </c>
      <c r="AH226">
        <f>H226-AG191</f>
        <v>10.041160000000003</v>
      </c>
      <c r="AI226">
        <f>100*(AH226-O226)/80</f>
        <v>4.1000000000004366E-2</v>
      </c>
      <c r="AJ226">
        <v>50.020847500000002</v>
      </c>
      <c r="AK226">
        <v>3.3759375000004255E-2</v>
      </c>
      <c r="AL226">
        <v>90.202097500000008</v>
      </c>
      <c r="AM226">
        <v>0.25907187500001427</v>
      </c>
      <c r="AN226">
        <f>IF(ABS(MAX(AI226:AI232)) &gt; ABS(MIN(AI226:AI232)),MAX(AI226:AI232), MIN(AI226:AI232))</f>
        <v>0.25907187500001427</v>
      </c>
      <c r="AO226">
        <f>IF(ABS(AN227)&gt;ABS(AN226),AN227,AN226)</f>
        <v>0.25907187500001427</v>
      </c>
    </row>
    <row r="227" spans="1:41" x14ac:dyDescent="0.35">
      <c r="A227" t="s">
        <v>237</v>
      </c>
      <c r="B227" t="s">
        <v>1111</v>
      </c>
      <c r="C227" t="s">
        <v>1591</v>
      </c>
      <c r="D227">
        <v>50</v>
      </c>
      <c r="E227">
        <v>50</v>
      </c>
      <c r="F227">
        <v>-0.5</v>
      </c>
      <c r="G227">
        <v>-0.50005599999999994</v>
      </c>
      <c r="H227">
        <v>29.884374999999999</v>
      </c>
      <c r="J227">
        <v>3424</v>
      </c>
      <c r="N227" t="s">
        <v>174</v>
      </c>
      <c r="O227">
        <f t="shared" si="9"/>
        <v>29.997760000000003</v>
      </c>
      <c r="P227">
        <f t="shared" si="10"/>
        <v>-0.14173125000000564</v>
      </c>
      <c r="Q227">
        <f t="shared" si="11"/>
        <v>0.14173125000000564</v>
      </c>
      <c r="Y227">
        <f>TREND(H226:H230,G226:G230,G227)</f>
        <v>30.015686406172456</v>
      </c>
      <c r="Z227">
        <f>ABS((Y227-H227)/80*100)</f>
        <v>0.16413925771557203</v>
      </c>
      <c r="AB227">
        <f>IF(ABS(T226) &gt; ABS(V226),T226,V226)</f>
        <v>0.29355937500000095</v>
      </c>
      <c r="AH227">
        <f>H227-AG191</f>
        <v>29.856785000000002</v>
      </c>
      <c r="AI227">
        <f>100*(AH227-O227)/80</f>
        <v>-0.1762187500000012</v>
      </c>
      <c r="AN227">
        <f>IF(ABS(AK226) &gt; ABS(AM226),AK226,AM226)</f>
        <v>0.25907187500001427</v>
      </c>
    </row>
    <row r="228" spans="1:41" x14ac:dyDescent="0.35">
      <c r="A228" t="s">
        <v>237</v>
      </c>
      <c r="B228" t="s">
        <v>1111</v>
      </c>
      <c r="C228" t="s">
        <v>1628</v>
      </c>
      <c r="D228">
        <v>50</v>
      </c>
      <c r="E228">
        <v>50</v>
      </c>
      <c r="F228">
        <v>0</v>
      </c>
      <c r="G228">
        <v>-1.54E-4</v>
      </c>
      <c r="H228">
        <v>50.048437499999999</v>
      </c>
      <c r="J228">
        <v>3454</v>
      </c>
      <c r="N228" t="s">
        <v>174</v>
      </c>
      <c r="O228">
        <f t="shared" si="9"/>
        <v>49.993839999999999</v>
      </c>
      <c r="P228">
        <f t="shared" si="10"/>
        <v>6.8246874999999818E-2</v>
      </c>
      <c r="Q228">
        <f t="shared" si="11"/>
        <v>6.8246874999999818E-2</v>
      </c>
      <c r="Y228">
        <f>TREND(H226:H230,G226:G230,G228)</f>
        <v>50.074884520502401</v>
      </c>
      <c r="Z228">
        <f>ABS((Y228-H228)/80*100)</f>
        <v>3.305877562800319E-2</v>
      </c>
      <c r="AH228">
        <f>H228-AG191</f>
        <v>50.020847500000002</v>
      </c>
      <c r="AI228">
        <f>100*(AH228-O228)/80</f>
        <v>3.3759375000004255E-2</v>
      </c>
    </row>
    <row r="229" spans="1:41" x14ac:dyDescent="0.35">
      <c r="A229" t="s">
        <v>237</v>
      </c>
      <c r="B229" t="s">
        <v>1111</v>
      </c>
      <c r="C229" t="s">
        <v>1665</v>
      </c>
      <c r="D229">
        <v>50</v>
      </c>
      <c r="E229">
        <v>50</v>
      </c>
      <c r="F229">
        <v>0.5</v>
      </c>
      <c r="G229">
        <v>0.50026999999999999</v>
      </c>
      <c r="H229">
        <v>70.1796875</v>
      </c>
      <c r="J229">
        <v>3477</v>
      </c>
      <c r="N229" t="s">
        <v>174</v>
      </c>
      <c r="O229">
        <f t="shared" si="9"/>
        <v>70.010800000000003</v>
      </c>
      <c r="P229">
        <f t="shared" si="10"/>
        <v>0.21110937499999594</v>
      </c>
      <c r="Q229">
        <f t="shared" si="11"/>
        <v>0.21110937499999594</v>
      </c>
      <c r="Y229">
        <f>TREND(H226:H230,G226:G230,G229)</f>
        <v>70.155028543061718</v>
      </c>
      <c r="Z229">
        <f>ABS((Y229-H229)/80*100)</f>
        <v>3.0823696172852518E-2</v>
      </c>
      <c r="AH229">
        <f>H229-AG191</f>
        <v>70.152097499999996</v>
      </c>
      <c r="AI229">
        <f>100*(AH229-O229)/80</f>
        <v>0.17662187499999149</v>
      </c>
    </row>
    <row r="230" spans="1:41" x14ac:dyDescent="0.35">
      <c r="A230" t="s">
        <v>237</v>
      </c>
      <c r="B230" t="s">
        <v>1111</v>
      </c>
      <c r="C230" t="s">
        <v>1702</v>
      </c>
      <c r="D230">
        <v>50</v>
      </c>
      <c r="E230">
        <v>50</v>
      </c>
      <c r="F230">
        <v>1</v>
      </c>
      <c r="G230">
        <v>0.99987099999999995</v>
      </c>
      <c r="H230">
        <v>90.229687499999997</v>
      </c>
      <c r="J230">
        <v>3503</v>
      </c>
      <c r="N230" t="s">
        <v>174</v>
      </c>
      <c r="O230">
        <f t="shared" si="9"/>
        <v>89.994839999999996</v>
      </c>
      <c r="P230">
        <f t="shared" si="10"/>
        <v>0.29355937500000095</v>
      </c>
      <c r="Q230">
        <f t="shared" si="11"/>
        <v>0.29355937500000095</v>
      </c>
      <c r="Y230">
        <f>TREND(H226:H230,G226:G230,G230)</f>
        <v>90.202148652837934</v>
      </c>
      <c r="Z230">
        <f>ABS((Y230-H230)/80*100)</f>
        <v>3.4423558952578759E-2</v>
      </c>
      <c r="AH230">
        <f>H230-AG191</f>
        <v>90.202097500000008</v>
      </c>
      <c r="AI230">
        <f>100*(AH230-O230)/80</f>
        <v>0.25907187500001427</v>
      </c>
    </row>
    <row r="231" spans="1:41" x14ac:dyDescent="0.35">
      <c r="A231" t="s">
        <v>237</v>
      </c>
      <c r="B231" t="s">
        <v>1111</v>
      </c>
      <c r="C231" t="s">
        <v>1738</v>
      </c>
      <c r="D231">
        <v>50</v>
      </c>
      <c r="E231">
        <v>50</v>
      </c>
      <c r="F231">
        <v>0</v>
      </c>
      <c r="G231">
        <v>-1.7899999999999999E-4</v>
      </c>
      <c r="H231">
        <v>50.059375000000003</v>
      </c>
      <c r="J231">
        <v>3526</v>
      </c>
      <c r="N231" t="s">
        <v>174</v>
      </c>
      <c r="O231">
        <f t="shared" si="9"/>
        <v>49.992840000000001</v>
      </c>
      <c r="P231">
        <f t="shared" si="10"/>
        <v>8.3168750000002234E-2</v>
      </c>
      <c r="Q231">
        <f t="shared" si="11"/>
        <v>8.3168750000002234E-2</v>
      </c>
      <c r="Y231">
        <f>TREND(H226:H230,G226:G230,G231)</f>
        <v>50.073881363978003</v>
      </c>
      <c r="Z231">
        <f>ABS((Y231-H231)/80*100)</f>
        <v>1.813295497250067E-2</v>
      </c>
      <c r="AH231">
        <f>H231-AG191</f>
        <v>50.031785000000006</v>
      </c>
      <c r="AI231">
        <f>100*(AH231-O231)/80</f>
        <v>4.8681250000006671E-2</v>
      </c>
    </row>
    <row r="232" spans="1:41" x14ac:dyDescent="0.35">
      <c r="A232" t="s">
        <v>237</v>
      </c>
      <c r="B232" t="s">
        <v>1111</v>
      </c>
      <c r="C232" t="s">
        <v>1775</v>
      </c>
      <c r="D232">
        <v>50</v>
      </c>
      <c r="E232">
        <v>50</v>
      </c>
      <c r="F232">
        <v>-1</v>
      </c>
      <c r="G232">
        <v>-0.99995599999999996</v>
      </c>
      <c r="H232">
        <v>10.004687499999999</v>
      </c>
      <c r="J232">
        <v>3539</v>
      </c>
      <c r="N232" t="s">
        <v>174</v>
      </c>
      <c r="O232">
        <f t="shared" si="9"/>
        <v>10.001760000000001</v>
      </c>
      <c r="P232">
        <f t="shared" si="10"/>
        <v>3.6593749999980218E-3</v>
      </c>
      <c r="Q232">
        <f t="shared" si="11"/>
        <v>3.6593749999980218E-3</v>
      </c>
      <c r="Y232">
        <f>TREND(H226:H230,G226:G230,G232)</f>
        <v>9.9565685443644654</v>
      </c>
      <c r="Z232">
        <f>ABS((Y232-H232)/80*100)</f>
        <v>6.0148694544417403E-2</v>
      </c>
      <c r="AH232">
        <f>H232-AG191</f>
        <v>9.9770975000000028</v>
      </c>
      <c r="AI232">
        <f>100*(AH232-O232)/80</f>
        <v>-3.0828124999997542E-2</v>
      </c>
    </row>
    <row r="233" spans="1:41" x14ac:dyDescent="0.35">
      <c r="A233" t="s">
        <v>237</v>
      </c>
      <c r="B233" t="s">
        <v>1111</v>
      </c>
      <c r="C233" t="s">
        <v>1812</v>
      </c>
      <c r="D233">
        <v>70</v>
      </c>
      <c r="E233">
        <v>70</v>
      </c>
      <c r="F233">
        <v>-1</v>
      </c>
      <c r="G233">
        <v>-0.99984600000000001</v>
      </c>
      <c r="H233">
        <v>10.0703125</v>
      </c>
      <c r="J233">
        <v>11407</v>
      </c>
      <c r="N233" t="s">
        <v>174</v>
      </c>
      <c r="O233">
        <f t="shared" si="9"/>
        <v>10.006159999999999</v>
      </c>
      <c r="P233">
        <f t="shared" si="10"/>
        <v>8.0190625000000626E-2</v>
      </c>
      <c r="Q233">
        <f t="shared" si="11"/>
        <v>8.0190625000000626E-2</v>
      </c>
      <c r="S233">
        <v>49.975000000000001</v>
      </c>
      <c r="T233">
        <v>-3.8700000000000401E-2</v>
      </c>
      <c r="U233">
        <v>90.040625000000006</v>
      </c>
      <c r="V233">
        <v>1.9431250000021549E-2</v>
      </c>
      <c r="W233">
        <v>79.970314025878906</v>
      </c>
      <c r="X233">
        <f>(W233-80)/80*100</f>
        <v>-3.7107467651367188E-2</v>
      </c>
      <c r="Y233">
        <f>TREND(H233:H237,G233:G237,G233)</f>
        <v>9.9936940751481913</v>
      </c>
      <c r="Z233">
        <f>ABS((Y233-H233)/80*100)</f>
        <v>9.5773031064760872E-2</v>
      </c>
      <c r="AA233">
        <f>MAX(Z233:Z237)</f>
        <v>0.13016949636184272</v>
      </c>
      <c r="AB233">
        <f>IF(ABS(MAX(P233:P239)) &gt; ABS(MIN(P233:P239)),MAX(P233:P239), MIN(P233:P239))</f>
        <v>0.14753437500001354</v>
      </c>
      <c r="AC233">
        <f>IF(ABS(AB234)&gt;ABS(AB233),AB234,AB233)</f>
        <v>0.14753437500001354</v>
      </c>
      <c r="AH233">
        <f>H233-AG191</f>
        <v>10.042722500000004</v>
      </c>
      <c r="AI233">
        <f>100*(AH233-O233)/80</f>
        <v>4.5703125000005063E-2</v>
      </c>
      <c r="AJ233">
        <v>49.947410000000005</v>
      </c>
      <c r="AK233">
        <v>-7.3187499999995964E-2</v>
      </c>
      <c r="AL233">
        <v>90.013035000000002</v>
      </c>
      <c r="AM233">
        <v>-1.5056249999982896E-2</v>
      </c>
      <c r="AN233">
        <f>IF(ABS(MAX(AI233:AI239)) &gt; ABS(MIN(AI233:AI239)),MAX(AI233:AI239), MIN(AI233:AI239))</f>
        <v>-0.16463749999999333</v>
      </c>
      <c r="AO233">
        <f>IF(ABS(AN234)&gt;ABS(AN233),AN234,AN233)</f>
        <v>-0.16463749999999333</v>
      </c>
    </row>
    <row r="234" spans="1:41" x14ac:dyDescent="0.35">
      <c r="A234" t="s">
        <v>237</v>
      </c>
      <c r="B234" t="s">
        <v>1111</v>
      </c>
      <c r="C234" t="s">
        <v>1849</v>
      </c>
      <c r="D234">
        <v>70</v>
      </c>
      <c r="E234">
        <v>70</v>
      </c>
      <c r="F234">
        <v>-0.5</v>
      </c>
      <c r="G234">
        <v>-0.50052200000000002</v>
      </c>
      <c r="H234">
        <v>29.875</v>
      </c>
      <c r="J234">
        <v>11444</v>
      </c>
      <c r="N234" t="s">
        <v>174</v>
      </c>
      <c r="O234">
        <f t="shared" si="9"/>
        <v>29.979119999999998</v>
      </c>
      <c r="P234">
        <f t="shared" si="10"/>
        <v>-0.13014999999999777</v>
      </c>
      <c r="Q234">
        <f t="shared" si="11"/>
        <v>0.13014999999999777</v>
      </c>
      <c r="Y234">
        <f>TREND(H233:H237,G233:G237,G234)</f>
        <v>29.979135597089474</v>
      </c>
      <c r="Z234">
        <f>ABS((Y234-H234)/80*100)</f>
        <v>0.13016949636184272</v>
      </c>
      <c r="AB234">
        <f>IF(ABS(T233) &gt; ABS(V233),T233,V233)</f>
        <v>-3.8700000000000401E-2</v>
      </c>
      <c r="AH234">
        <f>H234-AG191</f>
        <v>29.847410000000004</v>
      </c>
      <c r="AI234">
        <f>100*(AH234-O234)/80</f>
        <v>-0.16463749999999333</v>
      </c>
      <c r="AN234">
        <f>IF(ABS(AK233) &gt; ABS(AM233),AK233,AM233)</f>
        <v>-7.3187499999995964E-2</v>
      </c>
    </row>
    <row r="235" spans="1:41" x14ac:dyDescent="0.35">
      <c r="A235" t="s">
        <v>237</v>
      </c>
      <c r="B235" t="s">
        <v>1111</v>
      </c>
      <c r="C235" t="s">
        <v>1885</v>
      </c>
      <c r="D235">
        <v>70</v>
      </c>
      <c r="E235">
        <v>70</v>
      </c>
      <c r="F235">
        <v>0</v>
      </c>
      <c r="G235">
        <v>1.4899999999999999E-4</v>
      </c>
      <c r="H235">
        <v>49.975000000000001</v>
      </c>
      <c r="J235">
        <v>11469</v>
      </c>
      <c r="N235" t="s">
        <v>174</v>
      </c>
      <c r="O235">
        <f t="shared" si="9"/>
        <v>50.005960000000002</v>
      </c>
      <c r="P235">
        <f t="shared" si="10"/>
        <v>-3.8700000000000401E-2</v>
      </c>
      <c r="Q235">
        <f t="shared" si="11"/>
        <v>3.8700000000000401E-2</v>
      </c>
      <c r="Y235">
        <f>TREND(H233:H237,G233:G237,G235)</f>
        <v>50.018490789773715</v>
      </c>
      <c r="Z235">
        <f>ABS((Y235-H235)/80*100)</f>
        <v>5.4363487217141675E-2</v>
      </c>
      <c r="AH235">
        <f>H235-AG191</f>
        <v>49.947410000000005</v>
      </c>
      <c r="AI235">
        <f>100*(AH235-O235)/80</f>
        <v>-7.3187499999995964E-2</v>
      </c>
    </row>
    <row r="236" spans="1:41" x14ac:dyDescent="0.35">
      <c r="A236" t="s">
        <v>237</v>
      </c>
      <c r="B236" t="s">
        <v>1111</v>
      </c>
      <c r="C236" t="s">
        <v>1922</v>
      </c>
      <c r="D236">
        <v>70</v>
      </c>
      <c r="E236">
        <v>70</v>
      </c>
      <c r="F236">
        <v>0.5</v>
      </c>
      <c r="G236">
        <v>0.49997900000000001</v>
      </c>
      <c r="H236">
        <v>70.1171875</v>
      </c>
      <c r="J236">
        <v>11497</v>
      </c>
      <c r="N236" t="s">
        <v>174</v>
      </c>
      <c r="O236">
        <f t="shared" si="9"/>
        <v>69.999159999999989</v>
      </c>
      <c r="P236">
        <f t="shared" si="10"/>
        <v>0.14753437500001354</v>
      </c>
      <c r="Q236">
        <f t="shared" si="11"/>
        <v>0.14753437500001354</v>
      </c>
      <c r="Y236">
        <f>TREND(H233:H237,G233:G237,G236)</f>
        <v>70.024184960115832</v>
      </c>
      <c r="Z236">
        <f>ABS((Y236-H236)/80*100)</f>
        <v>0.11625317485520979</v>
      </c>
      <c r="AH236">
        <f>H236-AG191</f>
        <v>70.089597499999996</v>
      </c>
      <c r="AI236">
        <f>100*(AH236-O236)/80</f>
        <v>0.11304687500000909</v>
      </c>
    </row>
    <row r="237" spans="1:41" x14ac:dyDescent="0.35">
      <c r="A237" t="s">
        <v>237</v>
      </c>
      <c r="B237" t="s">
        <v>1111</v>
      </c>
      <c r="C237" t="s">
        <v>1958</v>
      </c>
      <c r="D237">
        <v>70</v>
      </c>
      <c r="E237">
        <v>70</v>
      </c>
      <c r="F237">
        <v>1</v>
      </c>
      <c r="G237">
        <v>1.0006269999999999</v>
      </c>
      <c r="H237">
        <v>90.040625000000006</v>
      </c>
      <c r="J237">
        <v>11514</v>
      </c>
      <c r="N237" t="s">
        <v>174</v>
      </c>
      <c r="O237">
        <f t="shared" si="9"/>
        <v>90.025079999999988</v>
      </c>
      <c r="P237">
        <f t="shared" si="10"/>
        <v>1.9431250000021549E-2</v>
      </c>
      <c r="Q237">
        <f t="shared" si="11"/>
        <v>1.9431250000021549E-2</v>
      </c>
      <c r="Y237">
        <f>TREND(H233:H237,G233:G237,G237)</f>
        <v>90.062619577872766</v>
      </c>
      <c r="Z237">
        <f>ABS((Y237-H237)/80*100)</f>
        <v>2.7493222340950751E-2</v>
      </c>
      <c r="AH237">
        <f>H237-AG191</f>
        <v>90.013035000000002</v>
      </c>
      <c r="AI237">
        <f>100*(AH237-O237)/80</f>
        <v>-1.5056249999982896E-2</v>
      </c>
    </row>
    <row r="238" spans="1:41" x14ac:dyDescent="0.35">
      <c r="A238" t="s">
        <v>237</v>
      </c>
      <c r="B238" t="s">
        <v>1111</v>
      </c>
      <c r="C238" t="s">
        <v>1995</v>
      </c>
      <c r="D238">
        <v>70</v>
      </c>
      <c r="E238">
        <v>70</v>
      </c>
      <c r="F238">
        <v>0</v>
      </c>
      <c r="G238">
        <v>-9.8999999999999994E-5</v>
      </c>
      <c r="H238">
        <v>49.9921875</v>
      </c>
      <c r="J238">
        <v>11533</v>
      </c>
      <c r="N238" t="s">
        <v>174</v>
      </c>
      <c r="O238">
        <f t="shared" si="9"/>
        <v>49.996040000000001</v>
      </c>
      <c r="P238">
        <f t="shared" si="10"/>
        <v>-4.8156250000008782E-3</v>
      </c>
      <c r="Q238">
        <f t="shared" si="11"/>
        <v>4.8156250000008782E-3</v>
      </c>
      <c r="Y238">
        <f>TREND(H233:H237,G233:G237,G238)</f>
        <v>50.008564590557491</v>
      </c>
      <c r="Z238">
        <f>ABS((Y238-H238)/80*100)</f>
        <v>2.0471363196863379E-2</v>
      </c>
      <c r="AH238">
        <f>H238-AG191</f>
        <v>49.964597500000004</v>
      </c>
      <c r="AI238">
        <f>100*(AH238-O238)/80</f>
        <v>-3.9303124999996442E-2</v>
      </c>
    </row>
    <row r="239" spans="1:41" x14ac:dyDescent="0.35">
      <c r="A239" t="s">
        <v>237</v>
      </c>
      <c r="B239" t="s">
        <v>1111</v>
      </c>
      <c r="C239" t="s">
        <v>2032</v>
      </c>
      <c r="D239">
        <v>70</v>
      </c>
      <c r="E239">
        <v>70</v>
      </c>
      <c r="F239">
        <v>-1</v>
      </c>
      <c r="G239">
        <v>-1.0000279999999999</v>
      </c>
      <c r="H239">
        <v>10.035937499999999</v>
      </c>
      <c r="J239">
        <v>11552</v>
      </c>
      <c r="N239" t="s">
        <v>174</v>
      </c>
      <c r="O239">
        <f t="shared" si="9"/>
        <v>9.9988800000000033</v>
      </c>
      <c r="P239">
        <f t="shared" si="10"/>
        <v>4.6321874999994961E-2</v>
      </c>
      <c r="Q239">
        <f t="shared" si="11"/>
        <v>4.6321874999994961E-2</v>
      </c>
      <c r="Y239">
        <f>TREND(H233:H237,G233:G237,G239)</f>
        <v>9.9864095257233885</v>
      </c>
      <c r="Z239">
        <f>ABS((Y239-H239)/80*100)</f>
        <v>6.1909967845763525E-2</v>
      </c>
      <c r="AH239">
        <f>H239-AG191</f>
        <v>10.008347500000003</v>
      </c>
      <c r="AI239">
        <f>100*(AH239-O239)/80</f>
        <v>1.1834374999999397E-2</v>
      </c>
    </row>
    <row r="240" spans="1:41" x14ac:dyDescent="0.35">
      <c r="A240" t="s">
        <v>237</v>
      </c>
      <c r="B240" t="s">
        <v>1111</v>
      </c>
      <c r="C240" t="s">
        <v>2067</v>
      </c>
      <c r="D240">
        <v>85</v>
      </c>
      <c r="E240">
        <v>85</v>
      </c>
      <c r="F240">
        <v>-1</v>
      </c>
      <c r="G240">
        <v>-1.000229</v>
      </c>
      <c r="H240">
        <v>10.096875000000001</v>
      </c>
      <c r="J240">
        <v>17466</v>
      </c>
      <c r="N240" t="s">
        <v>174</v>
      </c>
      <c r="O240">
        <f t="shared" si="9"/>
        <v>9.9908399999999986</v>
      </c>
      <c r="P240">
        <f t="shared" si="10"/>
        <v>0.13254375000000262</v>
      </c>
      <c r="Q240">
        <f t="shared" si="11"/>
        <v>0.13254375000000262</v>
      </c>
      <c r="S240">
        <v>49.987499999999997</v>
      </c>
      <c r="T240">
        <v>-1.1275000000008362E-2</v>
      </c>
      <c r="U240">
        <v>90.089062499999997</v>
      </c>
      <c r="V240">
        <v>0.11637812500000067</v>
      </c>
      <c r="W240">
        <v>79.992190551757815</v>
      </c>
      <c r="X240">
        <f>(W240-80)/80*100</f>
        <v>-9.7618103027308223E-3</v>
      </c>
      <c r="Y240">
        <f>TREND(H240:H244,G240:G244,G240)</f>
        <v>10.024458786785139</v>
      </c>
      <c r="Z240">
        <f>ABS((Y240-H240)/80*100)</f>
        <v>9.0520266518576697E-2</v>
      </c>
      <c r="AA240">
        <f>MAX(Z240:Z244)</f>
        <v>9.0520266518576697E-2</v>
      </c>
      <c r="AB240">
        <f>IF(ABS(MAX(P240:P246)) &gt; ABS(MIN(P240:P246)),MAX(P240:P246), MIN(P240:P246))</f>
        <v>0.13539999999999885</v>
      </c>
      <c r="AC240">
        <f>IF(ABS(AB241)&gt;ABS(AB240),AB241,AB240)</f>
        <v>0.13539999999999885</v>
      </c>
      <c r="AH240">
        <f>H240-AG191</f>
        <v>10.069285000000004</v>
      </c>
      <c r="AI240">
        <f>100*(AH240-O240)/80</f>
        <v>9.8056250000007061E-2</v>
      </c>
      <c r="AJ240">
        <v>49.959910000000001</v>
      </c>
      <c r="AK240">
        <v>-4.5762500000003925E-2</v>
      </c>
      <c r="AL240">
        <v>90.061472500000008</v>
      </c>
      <c r="AM240">
        <v>8.1890625000013983E-2</v>
      </c>
      <c r="AN240">
        <f>IF(ABS(MAX(AI240:AI246)) &gt; ABS(MIN(AI240:AI246)),MAX(AI240:AI246), MIN(AI240:AI246))</f>
        <v>0.10091250000000329</v>
      </c>
      <c r="AO240">
        <f>IF(ABS(AN241)&gt;ABS(AN240),AN241,AN240)</f>
        <v>0.10091250000000329</v>
      </c>
    </row>
    <row r="241" spans="1:41" x14ac:dyDescent="0.35">
      <c r="A241" t="s">
        <v>237</v>
      </c>
      <c r="B241" t="s">
        <v>1111</v>
      </c>
      <c r="C241" t="s">
        <v>2103</v>
      </c>
      <c r="D241">
        <v>85</v>
      </c>
      <c r="E241">
        <v>85</v>
      </c>
      <c r="F241">
        <v>-0.5</v>
      </c>
      <c r="G241">
        <v>-0.50002599999999997</v>
      </c>
      <c r="H241">
        <v>29.975000000000001</v>
      </c>
      <c r="J241">
        <v>17492</v>
      </c>
      <c r="N241" t="s">
        <v>174</v>
      </c>
      <c r="O241">
        <f t="shared" si="9"/>
        <v>29.99896</v>
      </c>
      <c r="P241">
        <f t="shared" si="10"/>
        <v>-2.9949999999998589E-2</v>
      </c>
      <c r="Q241">
        <f t="shared" si="11"/>
        <v>2.9949999999998589E-2</v>
      </c>
      <c r="Y241">
        <f>TREND(H240:H244,G240:G244,G241)</f>
        <v>30.041629230459861</v>
      </c>
      <c r="Z241">
        <f>ABS((Y241-H241)/80*100)</f>
        <v>8.328653807482489E-2</v>
      </c>
      <c r="AB241">
        <f>IF(ABS(T240) &gt; ABS(V240),T240,V240)</f>
        <v>0.11637812500000067</v>
      </c>
      <c r="AH241">
        <f>H241-AG191</f>
        <v>29.947410000000005</v>
      </c>
      <c r="AI241">
        <f>100*(AH241-O241)/80</f>
        <v>-6.4437499999994152E-2</v>
      </c>
      <c r="AN241">
        <f>IF(ABS(AK240) &gt; ABS(AM240),AK240,AM240)</f>
        <v>8.1890625000013983E-2</v>
      </c>
    </row>
    <row r="242" spans="1:41" x14ac:dyDescent="0.35">
      <c r="A242" t="s">
        <v>237</v>
      </c>
      <c r="B242" t="s">
        <v>1111</v>
      </c>
      <c r="C242" t="s">
        <v>2140</v>
      </c>
      <c r="D242">
        <v>85</v>
      </c>
      <c r="E242">
        <v>85</v>
      </c>
      <c r="F242">
        <v>0</v>
      </c>
      <c r="G242">
        <v>-8.7000000000000001E-5</v>
      </c>
      <c r="H242">
        <v>49.987499999999997</v>
      </c>
      <c r="J242">
        <v>17507</v>
      </c>
      <c r="N242" t="s">
        <v>174</v>
      </c>
      <c r="O242">
        <f t="shared" si="9"/>
        <v>49.996520000000004</v>
      </c>
      <c r="P242">
        <f t="shared" si="10"/>
        <v>-1.1275000000008362E-2</v>
      </c>
      <c r="Q242">
        <f t="shared" si="11"/>
        <v>1.1275000000008362E-2</v>
      </c>
      <c r="Y242">
        <f>TREND(H240:H244,G240:G244,G242)</f>
        <v>50.048234897439656</v>
      </c>
      <c r="Z242">
        <f>ABS((Y242-H242)/80*100)</f>
        <v>7.5918621799573316E-2</v>
      </c>
      <c r="AH242">
        <f>H242-AG191</f>
        <v>49.959910000000001</v>
      </c>
      <c r="AI242">
        <f>100*(AH242-O242)/80</f>
        <v>-4.5762500000003925E-2</v>
      </c>
    </row>
    <row r="243" spans="1:41" x14ac:dyDescent="0.35">
      <c r="A243" t="s">
        <v>237</v>
      </c>
      <c r="B243" t="s">
        <v>1111</v>
      </c>
      <c r="C243" t="s">
        <v>2177</v>
      </c>
      <c r="D243">
        <v>85</v>
      </c>
      <c r="E243">
        <v>85</v>
      </c>
      <c r="F243">
        <v>0.5</v>
      </c>
      <c r="G243">
        <v>0.49975999999999998</v>
      </c>
      <c r="H243">
        <v>70.082812500000003</v>
      </c>
      <c r="J243">
        <v>17535</v>
      </c>
      <c r="N243" t="s">
        <v>174</v>
      </c>
      <c r="O243">
        <f t="shared" si="9"/>
        <v>69.990399999999994</v>
      </c>
      <c r="P243">
        <f t="shared" si="10"/>
        <v>0.11551562500001111</v>
      </c>
      <c r="Q243">
        <f t="shared" si="11"/>
        <v>0.11551562500001111</v>
      </c>
      <c r="Y243">
        <f>TREND(H240:H244,G240:G244,G243)</f>
        <v>70.051158899813643</v>
      </c>
      <c r="Z243">
        <f>ABS((Y243-H243)/80*100)</f>
        <v>3.9567000232949567E-2</v>
      </c>
      <c r="AH243">
        <f>H243-AG191</f>
        <v>70.055222500000013</v>
      </c>
      <c r="AI243">
        <f>100*(AH243-O243)/80</f>
        <v>8.1028125000024431E-2</v>
      </c>
    </row>
    <row r="244" spans="1:41" x14ac:dyDescent="0.35">
      <c r="A244" t="s">
        <v>237</v>
      </c>
      <c r="B244" t="s">
        <v>1111</v>
      </c>
      <c r="C244" t="s">
        <v>2214</v>
      </c>
      <c r="D244">
        <v>85</v>
      </c>
      <c r="E244">
        <v>85</v>
      </c>
      <c r="F244">
        <v>1</v>
      </c>
      <c r="G244">
        <v>0.99989899999999998</v>
      </c>
      <c r="H244">
        <v>90.089062499999997</v>
      </c>
      <c r="J244">
        <v>17552</v>
      </c>
      <c r="N244" t="s">
        <v>174</v>
      </c>
      <c r="O244">
        <f t="shared" si="9"/>
        <v>89.995959999999997</v>
      </c>
      <c r="P244">
        <f t="shared" si="10"/>
        <v>0.11637812500000067</v>
      </c>
      <c r="Q244">
        <f t="shared" si="11"/>
        <v>0.11637812500000067</v>
      </c>
      <c r="Y244">
        <f>TREND(H240:H244,G240:G244,G244)</f>
        <v>90.065768185501724</v>
      </c>
      <c r="Z244">
        <f>ABS((Y244-H244)/80*100)</f>
        <v>2.9117893122840851E-2</v>
      </c>
      <c r="AH244">
        <f>H244-AG191</f>
        <v>90.061472500000008</v>
      </c>
      <c r="AI244">
        <f>100*(AH244-O244)/80</f>
        <v>8.1890625000013983E-2</v>
      </c>
    </row>
    <row r="245" spans="1:41" x14ac:dyDescent="0.35">
      <c r="A245" t="s">
        <v>237</v>
      </c>
      <c r="B245" t="s">
        <v>1111</v>
      </c>
      <c r="C245" t="s">
        <v>2250</v>
      </c>
      <c r="D245">
        <v>85</v>
      </c>
      <c r="E245">
        <v>85</v>
      </c>
      <c r="F245">
        <v>0</v>
      </c>
      <c r="G245">
        <v>2.05E-4</v>
      </c>
      <c r="H245">
        <v>49.9765625</v>
      </c>
      <c r="J245">
        <v>17571</v>
      </c>
      <c r="N245" t="s">
        <v>174</v>
      </c>
      <c r="O245">
        <f t="shared" si="9"/>
        <v>50.008200000000002</v>
      </c>
      <c r="P245">
        <f t="shared" si="10"/>
        <v>-3.9546875000002757E-2</v>
      </c>
      <c r="Q245">
        <f t="shared" si="11"/>
        <v>3.9546875000002757E-2</v>
      </c>
      <c r="Y245">
        <f>TREND(H240:H244,G240:G244,G245)</f>
        <v>50.059920180753736</v>
      </c>
      <c r="Z245">
        <f>ABS((Y245-H245)/80*100)</f>
        <v>0.1041971009421694</v>
      </c>
      <c r="AH245">
        <f>H245-AG191</f>
        <v>49.948972500000004</v>
      </c>
      <c r="AI245">
        <f>100*(AH245-O245)/80</f>
        <v>-7.403437499999832E-2</v>
      </c>
    </row>
    <row r="246" spans="1:41" x14ac:dyDescent="0.35">
      <c r="A246" t="s">
        <v>237</v>
      </c>
      <c r="B246" t="s">
        <v>1111</v>
      </c>
      <c r="C246" t="s">
        <v>2287</v>
      </c>
      <c r="D246">
        <v>85</v>
      </c>
      <c r="E246">
        <v>85</v>
      </c>
      <c r="F246">
        <v>-1</v>
      </c>
      <c r="G246">
        <v>-1.000208</v>
      </c>
      <c r="H246">
        <v>10.1</v>
      </c>
      <c r="J246">
        <v>17584</v>
      </c>
      <c r="N246" t="s">
        <v>174</v>
      </c>
      <c r="O246">
        <f t="shared" si="9"/>
        <v>9.9916800000000006</v>
      </c>
      <c r="P246">
        <f t="shared" si="10"/>
        <v>0.13539999999999885</v>
      </c>
      <c r="Q246">
        <f t="shared" si="11"/>
        <v>0.13539999999999885</v>
      </c>
      <c r="Y246">
        <f>TREND(H240:H244,G240:G244,G246)</f>
        <v>10.025299166749512</v>
      </c>
      <c r="Z246">
        <f>ABS((Y246-H246)/80*100)</f>
        <v>9.337604156310908E-2</v>
      </c>
      <c r="AH246">
        <f>H246-AG191</f>
        <v>10.072410000000003</v>
      </c>
      <c r="AI246">
        <f>100*(AH246-O246)/80</f>
        <v>0.10091250000000329</v>
      </c>
    </row>
    <row r="247" spans="1:41" x14ac:dyDescent="0.35">
      <c r="A247" t="s">
        <v>237</v>
      </c>
      <c r="B247" t="s">
        <v>1111</v>
      </c>
      <c r="C247" t="s">
        <v>2324</v>
      </c>
      <c r="D247">
        <v>25</v>
      </c>
      <c r="E247">
        <v>25</v>
      </c>
      <c r="F247">
        <v>-1</v>
      </c>
      <c r="G247">
        <v>-0.99938199999999999</v>
      </c>
      <c r="H247">
        <v>9.8078125000000007</v>
      </c>
      <c r="J247">
        <v>-5364</v>
      </c>
      <c r="N247" t="s">
        <v>174</v>
      </c>
      <c r="O247">
        <f t="shared" si="9"/>
        <v>10.02472</v>
      </c>
      <c r="P247">
        <f t="shared" si="10"/>
        <v>-0.27113437499999948</v>
      </c>
      <c r="Q247">
        <f t="shared" si="11"/>
        <v>0.27113437499999948</v>
      </c>
      <c r="S247">
        <v>49.9765625</v>
      </c>
      <c r="T247">
        <v>-3.3746875000000287E-2</v>
      </c>
      <c r="U247">
        <v>90.256249999999994</v>
      </c>
      <c r="V247">
        <v>0.32306249999999537</v>
      </c>
      <c r="W247">
        <v>80.448435974121097</v>
      </c>
      <c r="X247">
        <f>(W247-80)/80*100</f>
        <v>0.56054496765137074</v>
      </c>
      <c r="Y247">
        <f>TREND(H247:H251,G247:G251,G247)</f>
        <v>9.7094949823473087</v>
      </c>
      <c r="Z247">
        <f>ABS((Y247-H247)/80*100)</f>
        <v>0.12289689706586504</v>
      </c>
      <c r="AA247">
        <f>MAX(Z247:Z251)</f>
        <v>0.18474841519553031</v>
      </c>
      <c r="AB247">
        <f>IF(ABS(MAX(P247:P253)) &gt; ABS(MIN(P247:P253)),MAX(P247:P253), MIN(P247:P253))</f>
        <v>-0.40007187500000096</v>
      </c>
      <c r="AC247">
        <f>IF(ABS(AB248)&gt;ABS(AB247),AB248,AB247)</f>
        <v>-0.40007187500000096</v>
      </c>
      <c r="AH247">
        <f>H247-AG191</f>
        <v>9.7802225000000043</v>
      </c>
      <c r="AI247">
        <f>100*(AH247-O247)/80</f>
        <v>-0.30562187499999505</v>
      </c>
      <c r="AJ247">
        <v>49.948972500000004</v>
      </c>
      <c r="AK247">
        <v>-6.823437499999585E-2</v>
      </c>
      <c r="AL247">
        <v>90.228659999999991</v>
      </c>
      <c r="AM247">
        <v>0.28857499999999092</v>
      </c>
      <c r="AN247">
        <f>IF(ABS(MAX(AI247:AI253)) &gt; ABS(MIN(AI247:AI253)),MAX(AI247:AI253), MIN(AI247:AI253))</f>
        <v>-0.43455937499999653</v>
      </c>
      <c r="AO247">
        <f>IF(ABS(AN248)&gt;ABS(AN247),AN248,AN247)</f>
        <v>-0.43455937499999653</v>
      </c>
    </row>
    <row r="248" spans="1:41" x14ac:dyDescent="0.35">
      <c r="A248" t="s">
        <v>237</v>
      </c>
      <c r="B248" t="s">
        <v>1111</v>
      </c>
      <c r="C248" t="s">
        <v>2361</v>
      </c>
      <c r="D248">
        <v>25</v>
      </c>
      <c r="E248">
        <v>25</v>
      </c>
      <c r="F248">
        <v>-0.5</v>
      </c>
      <c r="G248">
        <v>-0.49977199999999999</v>
      </c>
      <c r="H248">
        <v>29.689062499999999</v>
      </c>
      <c r="J248">
        <v>-5420</v>
      </c>
      <c r="N248" t="s">
        <v>174</v>
      </c>
      <c r="O248">
        <f t="shared" si="9"/>
        <v>30.009119999999999</v>
      </c>
      <c r="P248">
        <f t="shared" si="10"/>
        <v>-0.40007187500000096</v>
      </c>
      <c r="Q248">
        <f t="shared" si="11"/>
        <v>0.40007187500000096</v>
      </c>
      <c r="Y248">
        <f>TREND(H247:H251,G247:G251,G248)</f>
        <v>29.836861232156423</v>
      </c>
      <c r="Z248">
        <f>ABS((Y248-H248)/80*100)</f>
        <v>0.18474841519553031</v>
      </c>
      <c r="AB248">
        <f>IF(ABS(T247) &gt; ABS(V247),T247,V247)</f>
        <v>0.32306249999999537</v>
      </c>
      <c r="AH248">
        <f>H248-AG191</f>
        <v>29.661472500000002</v>
      </c>
      <c r="AI248">
        <f>100*(AH248-O248)/80</f>
        <v>-0.43455937499999653</v>
      </c>
      <c r="AN248">
        <f>IF(ABS(AK247) &gt; ABS(AM247),AK247,AM247)</f>
        <v>0.28857499999999092</v>
      </c>
    </row>
    <row r="249" spans="1:41" x14ac:dyDescent="0.35">
      <c r="A249" t="s">
        <v>237</v>
      </c>
      <c r="B249" t="s">
        <v>1111</v>
      </c>
      <c r="C249" t="s">
        <v>2397</v>
      </c>
      <c r="D249">
        <v>25</v>
      </c>
      <c r="E249">
        <v>25</v>
      </c>
      <c r="F249">
        <v>0</v>
      </c>
      <c r="G249">
        <v>8.8999999999999995E-5</v>
      </c>
      <c r="H249">
        <v>49.9765625</v>
      </c>
      <c r="J249">
        <v>-5476</v>
      </c>
      <c r="N249" t="s">
        <v>174</v>
      </c>
      <c r="O249">
        <f t="shared" si="9"/>
        <v>50.00356</v>
      </c>
      <c r="P249">
        <f t="shared" si="10"/>
        <v>-3.3746875000000287E-2</v>
      </c>
      <c r="Q249">
        <f t="shared" si="11"/>
        <v>3.3746875000000287E-2</v>
      </c>
      <c r="Y249">
        <f>TREND(H247:H251,G247:G251,G249)</f>
        <v>49.974339307046506</v>
      </c>
      <c r="Z249">
        <f>ABS((Y249-H249)/80*100)</f>
        <v>2.7789911918674193E-3</v>
      </c>
      <c r="AH249">
        <f>H249-AG191</f>
        <v>49.948972500000004</v>
      </c>
      <c r="AI249">
        <f>100*(AH249-O249)/80</f>
        <v>-6.823437499999585E-2</v>
      </c>
    </row>
    <row r="250" spans="1:41" x14ac:dyDescent="0.35">
      <c r="A250" t="s">
        <v>237</v>
      </c>
      <c r="B250" t="s">
        <v>1111</v>
      </c>
      <c r="C250" t="s">
        <v>2434</v>
      </c>
      <c r="D250">
        <v>25</v>
      </c>
      <c r="E250">
        <v>25</v>
      </c>
      <c r="F250">
        <v>0.5</v>
      </c>
      <c r="G250">
        <v>0.49964700000000001</v>
      </c>
      <c r="H250">
        <v>70.145312500000003</v>
      </c>
      <c r="J250">
        <v>-5525</v>
      </c>
      <c r="N250" t="s">
        <v>174</v>
      </c>
      <c r="O250">
        <f t="shared" si="9"/>
        <v>69.985879999999995</v>
      </c>
      <c r="P250">
        <f t="shared" si="10"/>
        <v>0.19929062500001038</v>
      </c>
      <c r="Q250">
        <f t="shared" si="11"/>
        <v>0.19929062500001038</v>
      </c>
      <c r="Y250">
        <f>TREND(H247:H251,G247:G251,G250)</f>
        <v>70.099610676759156</v>
      </c>
      <c r="Z250">
        <f>ABS((Y250-H250)/80*100)</f>
        <v>5.7127279051059077E-2</v>
      </c>
      <c r="AH250">
        <f>H250-AG191</f>
        <v>70.117722500000013</v>
      </c>
      <c r="AI250">
        <f>100*(AH250-O250)/80</f>
        <v>0.1648031250000237</v>
      </c>
    </row>
    <row r="251" spans="1:41" x14ac:dyDescent="0.35">
      <c r="A251" t="s">
        <v>237</v>
      </c>
      <c r="B251" t="s">
        <v>1111</v>
      </c>
      <c r="C251" t="s">
        <v>2471</v>
      </c>
      <c r="D251">
        <v>25</v>
      </c>
      <c r="E251">
        <v>25</v>
      </c>
      <c r="F251">
        <v>1</v>
      </c>
      <c r="G251">
        <v>0.99994499999999997</v>
      </c>
      <c r="H251">
        <v>90.256249999999994</v>
      </c>
      <c r="J251">
        <v>-5567</v>
      </c>
      <c r="N251" t="s">
        <v>174</v>
      </c>
      <c r="O251">
        <f t="shared" si="9"/>
        <v>89.997799999999998</v>
      </c>
      <c r="P251">
        <f t="shared" si="10"/>
        <v>0.32306249999999537</v>
      </c>
      <c r="Q251">
        <f t="shared" si="11"/>
        <v>0.32306249999999537</v>
      </c>
      <c r="Y251">
        <f>TREND(H247:H251,G247:G251,G251)</f>
        <v>90.254693801690607</v>
      </c>
      <c r="Z251">
        <f>ABS((Y251-H251)/80*100)</f>
        <v>1.9452478867343357E-3</v>
      </c>
      <c r="AH251">
        <f>H251-AG191</f>
        <v>90.228659999999991</v>
      </c>
      <c r="AI251">
        <f>100*(AH251-O251)/80</f>
        <v>0.28857499999999092</v>
      </c>
    </row>
    <row r="252" spans="1:41" x14ac:dyDescent="0.35">
      <c r="A252" t="s">
        <v>237</v>
      </c>
      <c r="B252" t="s">
        <v>1111</v>
      </c>
      <c r="C252" t="s">
        <v>2508</v>
      </c>
      <c r="D252">
        <v>25</v>
      </c>
      <c r="E252">
        <v>25</v>
      </c>
      <c r="F252">
        <v>0</v>
      </c>
      <c r="G252">
        <v>1.7E-5</v>
      </c>
      <c r="H252">
        <v>50.0546875</v>
      </c>
      <c r="J252">
        <v>-5608</v>
      </c>
      <c r="N252" t="s">
        <v>174</v>
      </c>
      <c r="O252">
        <f t="shared" si="9"/>
        <v>50.000679999999996</v>
      </c>
      <c r="P252">
        <f t="shared" si="10"/>
        <v>6.7509375000005534E-2</v>
      </c>
      <c r="Q252">
        <f t="shared" si="11"/>
        <v>6.7509375000005534E-2</v>
      </c>
      <c r="Y252">
        <f>TREND(H247:H251,G247:G251,G252)</f>
        <v>49.971438703836029</v>
      </c>
      <c r="Z252">
        <f>ABS((Y252-H252)/80*100)</f>
        <v>0.10406099520496426</v>
      </c>
      <c r="AH252">
        <f>H252-AG191</f>
        <v>50.027097500000004</v>
      </c>
      <c r="AI252">
        <f>100*(AH252-O252)/80</f>
        <v>3.302187500000997E-2</v>
      </c>
    </row>
    <row r="253" spans="1:41" x14ac:dyDescent="0.35">
      <c r="A253" t="s">
        <v>237</v>
      </c>
      <c r="B253" t="s">
        <v>1111</v>
      </c>
      <c r="C253" t="s">
        <v>2542</v>
      </c>
      <c r="D253">
        <v>25</v>
      </c>
      <c r="E253">
        <v>25</v>
      </c>
      <c r="F253">
        <v>-1</v>
      </c>
      <c r="G253">
        <v>-1.000027</v>
      </c>
      <c r="H253">
        <v>9.8796874999999993</v>
      </c>
      <c r="J253">
        <v>-5642</v>
      </c>
      <c r="N253" t="s">
        <v>174</v>
      </c>
      <c r="O253">
        <f t="shared" si="9"/>
        <v>9.99892</v>
      </c>
      <c r="P253">
        <f t="shared" si="10"/>
        <v>-0.14904062500000093</v>
      </c>
      <c r="Q253">
        <f t="shared" si="11"/>
        <v>0.14904062500000093</v>
      </c>
      <c r="Y253">
        <f>TREND(H247:H251,G247:G251,G253)</f>
        <v>9.6835104119201247</v>
      </c>
      <c r="Z253">
        <f>ABS((Y253-H253)/80*100)</f>
        <v>0.24522136009984319</v>
      </c>
      <c r="AH253">
        <f>H253-AG191</f>
        <v>9.8520975000000028</v>
      </c>
      <c r="AI253">
        <f>100*(AH253-O253)/80</f>
        <v>-0.18352812499999649</v>
      </c>
    </row>
    <row r="254" spans="1:41" x14ac:dyDescent="0.35">
      <c r="A254" t="s">
        <v>239</v>
      </c>
      <c r="B254" t="s">
        <v>231</v>
      </c>
      <c r="C254" t="s">
        <v>240</v>
      </c>
      <c r="D254">
        <v>25</v>
      </c>
      <c r="E254">
        <v>25</v>
      </c>
      <c r="F254">
        <v>-1</v>
      </c>
      <c r="G254">
        <v>-0.99999000000000005</v>
      </c>
      <c r="H254">
        <v>10.292187500000001</v>
      </c>
      <c r="J254">
        <v>-6269</v>
      </c>
      <c r="N254" t="s">
        <v>175</v>
      </c>
      <c r="O254">
        <f t="shared" si="9"/>
        <v>10.000399999999999</v>
      </c>
      <c r="P254">
        <f t="shared" si="10"/>
        <v>0.36473437500000205</v>
      </c>
      <c r="Q254">
        <f t="shared" si="11"/>
        <v>0.36473437500000205</v>
      </c>
      <c r="S254">
        <v>50.264062500000001</v>
      </c>
      <c r="T254">
        <v>0.3413281250000022</v>
      </c>
      <c r="U254">
        <v>90.501562500000006</v>
      </c>
      <c r="V254">
        <v>0.64235312500001029</v>
      </c>
      <c r="W254">
        <v>80.209376525878909</v>
      </c>
      <c r="X254">
        <f>(W254-80)/80*100</f>
        <v>0.26172065734863637</v>
      </c>
      <c r="Y254">
        <f>TREND(H254:H258,G254:G258,G254)</f>
        <v>10.23247203297327</v>
      </c>
      <c r="Z254">
        <f>ABS((Y254-H254)/80*100)</f>
        <v>7.4644333783413508E-2</v>
      </c>
      <c r="AA254">
        <f>MAX(Z254:Z258)</f>
        <v>0.10383837236465077</v>
      </c>
      <c r="AB254">
        <f>IF(ABS(MAX(P254:P260)) &gt; ABS(MIN(P254:P260)),MAX(P254:P260), MIN(P254:P260))</f>
        <v>0.64235312500001029</v>
      </c>
      <c r="AC254">
        <f>IF(ABS(AB255)&gt;ABS(AB254),AB255,AB254)</f>
        <v>0.64235312500001029</v>
      </c>
      <c r="AD254">
        <f>MAX(AD255:AD256)</f>
        <v>0.11421249999999716</v>
      </c>
      <c r="AE254">
        <f>MAX(AE255:AE275)</f>
        <v>0.4255750000000047</v>
      </c>
      <c r="AF254">
        <f>MAX(AD254,AA254)</f>
        <v>0.11421249999999716</v>
      </c>
      <c r="AG254">
        <f>H256-O256</f>
        <v>0.27306250000000176</v>
      </c>
      <c r="AH254">
        <f>H254-AG254</f>
        <v>10.019124999999999</v>
      </c>
      <c r="AI254">
        <f>100*(AH254-O254)/80</f>
        <v>2.3406249999999851E-2</v>
      </c>
      <c r="AJ254">
        <v>49.991</v>
      </c>
      <c r="AK254">
        <v>0</v>
      </c>
      <c r="AL254">
        <v>90.228499999999997</v>
      </c>
      <c r="AM254">
        <v>0.30102499999999921</v>
      </c>
      <c r="AN254">
        <f>IF(ABS(MAX(AI254:AI260)) &gt; ABS(MIN(AI254:AI260)),MAX(AI254:AI260), MIN(AI254:AI260))</f>
        <v>0.30102499999999921</v>
      </c>
      <c r="AO254">
        <f>IF(ABS(AN255)&gt;ABS(AN254),AN255,AN254)</f>
        <v>0.30102499999999921</v>
      </c>
    </row>
    <row r="255" spans="1:41" x14ac:dyDescent="0.35">
      <c r="A255" t="s">
        <v>239</v>
      </c>
      <c r="B255" t="s">
        <v>231</v>
      </c>
      <c r="C255" t="s">
        <v>312</v>
      </c>
      <c r="D255">
        <v>25</v>
      </c>
      <c r="E255">
        <v>25</v>
      </c>
      <c r="F255">
        <v>-0.5</v>
      </c>
      <c r="G255">
        <v>-0.50067300000000003</v>
      </c>
      <c r="H255">
        <v>30.235937499999999</v>
      </c>
      <c r="J255">
        <v>-6267</v>
      </c>
      <c r="N255" t="s">
        <v>175</v>
      </c>
      <c r="O255">
        <f t="shared" si="9"/>
        <v>29.97308</v>
      </c>
      <c r="P255">
        <f t="shared" si="10"/>
        <v>0.32857187499999885</v>
      </c>
      <c r="Q255">
        <f t="shared" si="11"/>
        <v>0.32857187499999885</v>
      </c>
      <c r="Y255">
        <f>TREND(H254:H258,G254:G258,G255)</f>
        <v>30.26711244235306</v>
      </c>
      <c r="Z255">
        <f>ABS((Y255-H255)/80*100)</f>
        <v>3.8968677941326746E-2</v>
      </c>
      <c r="AB255">
        <f>IF(ABS(T254) &gt; ABS(V254),T254,V254)</f>
        <v>0.64235312500001029</v>
      </c>
      <c r="AD255">
        <f>ABS(P256-P259)</f>
        <v>0.11421249999999716</v>
      </c>
      <c r="AE255">
        <f>ABS(P282-P254)</f>
        <v>2.338749999999834E-2</v>
      </c>
      <c r="AH255">
        <f>H255-AG254</f>
        <v>29.962874999999997</v>
      </c>
      <c r="AI255">
        <f>100*(AH255-O255)/80</f>
        <v>-1.2756250000003355E-2</v>
      </c>
      <c r="AN255">
        <f>IF(ABS(AK254) &gt; ABS(AM254),AK254,AM254)</f>
        <v>0.30102499999999921</v>
      </c>
    </row>
    <row r="256" spans="1:41" x14ac:dyDescent="0.35">
      <c r="A256" t="s">
        <v>239</v>
      </c>
      <c r="B256" t="s">
        <v>231</v>
      </c>
      <c r="C256" t="s">
        <v>348</v>
      </c>
      <c r="D256">
        <v>25</v>
      </c>
      <c r="E256">
        <v>25</v>
      </c>
      <c r="F256">
        <v>0</v>
      </c>
      <c r="G256">
        <v>-2.2499999999999999E-4</v>
      </c>
      <c r="H256">
        <v>50.264062500000001</v>
      </c>
      <c r="J256">
        <v>0</v>
      </c>
      <c r="N256" t="s">
        <v>175</v>
      </c>
      <c r="O256">
        <f t="shared" si="9"/>
        <v>49.991</v>
      </c>
      <c r="P256">
        <f t="shared" si="10"/>
        <v>0.3413281250000022</v>
      </c>
      <c r="Q256">
        <f t="shared" si="11"/>
        <v>0.3413281250000022</v>
      </c>
      <c r="Y256">
        <f>TREND(H254:H258,G254:G258,G256)</f>
        <v>50.347133197891722</v>
      </c>
      <c r="Z256">
        <f>ABS((Y256-H256)/80*100)</f>
        <v>0.10383837236465077</v>
      </c>
      <c r="AD256">
        <f>ABS(P254-P260)</f>
        <v>0.1005531249999958</v>
      </c>
      <c r="AE256">
        <f>ABS(P283-P255)</f>
        <v>9.9531250000000071E-2</v>
      </c>
      <c r="AH256">
        <f>H256-AG254</f>
        <v>49.991</v>
      </c>
      <c r="AI256">
        <f>100*(AH256-O256)/80</f>
        <v>0</v>
      </c>
    </row>
    <row r="257" spans="1:41" x14ac:dyDescent="0.35">
      <c r="A257" t="s">
        <v>239</v>
      </c>
      <c r="B257" t="s">
        <v>231</v>
      </c>
      <c r="C257" t="s">
        <v>385</v>
      </c>
      <c r="D257">
        <v>25</v>
      </c>
      <c r="E257">
        <v>25</v>
      </c>
      <c r="F257">
        <v>0.5</v>
      </c>
      <c r="G257">
        <v>0.49992199999999998</v>
      </c>
      <c r="H257">
        <v>70.435937499999994</v>
      </c>
      <c r="J257">
        <v>-6267</v>
      </c>
      <c r="N257" t="s">
        <v>175</v>
      </c>
      <c r="O257">
        <f t="shared" si="9"/>
        <v>69.996880000000004</v>
      </c>
      <c r="P257">
        <f t="shared" si="10"/>
        <v>0.54882187499998736</v>
      </c>
      <c r="Q257">
        <f t="shared" si="11"/>
        <v>0.54882187499998736</v>
      </c>
      <c r="Y257">
        <f>TREND(H254:H258,G254:G258,G257)</f>
        <v>70.415076602242209</v>
      </c>
      <c r="Z257">
        <f>ABS((Y257-H257)/80*100)</f>
        <v>2.6076122197231655E-2</v>
      </c>
      <c r="AE257">
        <f>ABS(P284-P256)</f>
        <v>0.1232781250000059</v>
      </c>
      <c r="AH257">
        <f>H257-AG254</f>
        <v>70.162874999999985</v>
      </c>
      <c r="AI257">
        <f>100*(AH257-O257)/80</f>
        <v>0.20749374999997627</v>
      </c>
    </row>
    <row r="258" spans="1:41" x14ac:dyDescent="0.35">
      <c r="A258" t="s">
        <v>239</v>
      </c>
      <c r="B258" t="s">
        <v>231</v>
      </c>
      <c r="C258" t="s">
        <v>422</v>
      </c>
      <c r="D258">
        <v>25</v>
      </c>
      <c r="E258">
        <v>25</v>
      </c>
      <c r="F258">
        <v>1</v>
      </c>
      <c r="G258">
        <v>0.99969200000000003</v>
      </c>
      <c r="H258">
        <v>90.501562500000006</v>
      </c>
      <c r="J258">
        <v>-6263</v>
      </c>
      <c r="N258" t="s">
        <v>175</v>
      </c>
      <c r="O258">
        <f t="shared" si="9"/>
        <v>89.987679999999997</v>
      </c>
      <c r="P258">
        <f t="shared" si="10"/>
        <v>0.64235312500001029</v>
      </c>
      <c r="Q258">
        <f t="shared" si="11"/>
        <v>0.64235312500001029</v>
      </c>
      <c r="Y258">
        <f>TREND(H254:H258,G254:G258,G258)</f>
        <v>90.46789322453975</v>
      </c>
      <c r="Z258">
        <f>ABS((Y258-H258)/80*100)</f>
        <v>4.2086594325319027E-2</v>
      </c>
      <c r="AE258">
        <f>ABS(P285-P257)</f>
        <v>0.1132031250000054</v>
      </c>
      <c r="AH258">
        <f>H258-AG254</f>
        <v>90.228499999999997</v>
      </c>
      <c r="AI258">
        <f>100*(AH258-O258)/80</f>
        <v>0.30102499999999921</v>
      </c>
    </row>
    <row r="259" spans="1:41" x14ac:dyDescent="0.35">
      <c r="A259" t="s">
        <v>239</v>
      </c>
      <c r="B259" t="s">
        <v>231</v>
      </c>
      <c r="C259" t="s">
        <v>459</v>
      </c>
      <c r="D259">
        <v>25</v>
      </c>
      <c r="E259">
        <v>25</v>
      </c>
      <c r="F259">
        <v>0</v>
      </c>
      <c r="G259">
        <v>1.47E-4</v>
      </c>
      <c r="H259">
        <v>50.370312499999997</v>
      </c>
      <c r="J259">
        <v>-6261</v>
      </c>
      <c r="N259" t="s">
        <v>175</v>
      </c>
      <c r="O259">
        <f t="shared" si="9"/>
        <v>50.005879999999998</v>
      </c>
      <c r="P259">
        <f t="shared" si="10"/>
        <v>0.45554062499999937</v>
      </c>
      <c r="Q259">
        <f t="shared" si="11"/>
        <v>0.45554062499999937</v>
      </c>
      <c r="Y259">
        <f>TREND(H254:H258,G254:G258,G259)</f>
        <v>50.362059359493045</v>
      </c>
      <c r="Z259">
        <f>ABS((Y259-H259)/80*100)</f>
        <v>1.0316425633689619E-2</v>
      </c>
      <c r="AE259">
        <f>ABS(P286-P258)</f>
        <v>3.6678124999998118E-2</v>
      </c>
      <c r="AH259">
        <f>H259-AG254</f>
        <v>50.097249999999995</v>
      </c>
      <c r="AI259">
        <f>100*(AH259-O259)/80</f>
        <v>0.11421249999999716</v>
      </c>
    </row>
    <row r="260" spans="1:41" x14ac:dyDescent="0.35">
      <c r="A260" t="s">
        <v>239</v>
      </c>
      <c r="B260" t="s">
        <v>231</v>
      </c>
      <c r="C260" t="s">
        <v>496</v>
      </c>
      <c r="D260">
        <v>25</v>
      </c>
      <c r="E260">
        <v>25</v>
      </c>
      <c r="F260">
        <v>-1</v>
      </c>
      <c r="G260">
        <v>-1.0000869999999999</v>
      </c>
      <c r="H260">
        <v>10.36875</v>
      </c>
      <c r="J260">
        <v>-6263</v>
      </c>
      <c r="N260" t="s">
        <v>175</v>
      </c>
      <c r="O260">
        <f t="shared" si="9"/>
        <v>9.9965200000000021</v>
      </c>
      <c r="P260">
        <f t="shared" si="10"/>
        <v>0.46528749999999786</v>
      </c>
      <c r="Q260">
        <f t="shared" si="11"/>
        <v>0.46528749999999786</v>
      </c>
      <c r="Y260">
        <f>TREND(H254:H258,G254:G258,G260)</f>
        <v>10.228579996211636</v>
      </c>
      <c r="Z260">
        <f>ABS((Y260-H260)/80*100)</f>
        <v>0.1752125047354558</v>
      </c>
      <c r="AE260">
        <f>ABS(P287-P259)</f>
        <v>8.7493749999998371E-2</v>
      </c>
      <c r="AH260">
        <f>H260-AG254</f>
        <v>10.095687499999999</v>
      </c>
      <c r="AI260">
        <f>100*(AH260-O260)/80</f>
        <v>0.12395937499999565</v>
      </c>
    </row>
    <row r="261" spans="1:41" x14ac:dyDescent="0.35">
      <c r="A261" t="s">
        <v>239</v>
      </c>
      <c r="B261" t="s">
        <v>231</v>
      </c>
      <c r="C261" t="s">
        <v>533</v>
      </c>
      <c r="D261">
        <v>-20</v>
      </c>
      <c r="E261">
        <v>-20</v>
      </c>
      <c r="F261">
        <v>-1</v>
      </c>
      <c r="G261">
        <v>-0.99994899999999998</v>
      </c>
      <c r="H261">
        <v>11.0921875</v>
      </c>
      <c r="J261">
        <v>-23953</v>
      </c>
      <c r="N261" t="s">
        <v>175</v>
      </c>
      <c r="O261">
        <f t="shared" si="9"/>
        <v>10.002040000000001</v>
      </c>
      <c r="P261">
        <f t="shared" si="10"/>
        <v>1.3626843749999984</v>
      </c>
      <c r="Q261">
        <f t="shared" si="11"/>
        <v>1.3626843749999984</v>
      </c>
      <c r="S261">
        <v>50.673437499999999</v>
      </c>
      <c r="T261">
        <v>0.82254687499999868</v>
      </c>
      <c r="U261">
        <v>90.854687499999997</v>
      </c>
      <c r="V261">
        <v>1.0684593749999927</v>
      </c>
      <c r="W261">
        <v>79.762503051757818</v>
      </c>
      <c r="X261">
        <f>(W261-80)/80*100</f>
        <v>-0.29687118530272727</v>
      </c>
      <c r="Y261">
        <f>TREND(H261:H265,G261:G265,G261)</f>
        <v>10.950454790343315</v>
      </c>
      <c r="Z261">
        <f>ABS((Y261-H261)/80*100)</f>
        <v>0.1771658870708559</v>
      </c>
      <c r="AA261">
        <f>MAX(Z261:Z265)</f>
        <v>0.23411847507899705</v>
      </c>
      <c r="AB261">
        <f>IF(ABS(MAX(P261:P267)) &gt; ABS(MIN(P261:P267)),MAX(P261:P267), MIN(P261:P267))</f>
        <v>1.3626843749999984</v>
      </c>
      <c r="AC261">
        <f>IF(ABS(AB262)&gt;ABS(AB261),AB262,AB261)</f>
        <v>1.3626843749999984</v>
      </c>
      <c r="AE261">
        <f>ABS(P288-P260)</f>
        <v>8.6487499999998718E-2</v>
      </c>
      <c r="AH261">
        <f>H261-AG254</f>
        <v>10.819124999999998</v>
      </c>
      <c r="AI261">
        <f>100*(AH261-O261)/80</f>
        <v>1.0213562499999962</v>
      </c>
      <c r="AJ261">
        <v>50.400374999999997</v>
      </c>
      <c r="AK261">
        <v>0.48121874999999648</v>
      </c>
      <c r="AL261">
        <v>90.581625000000003</v>
      </c>
      <c r="AM261">
        <v>0.72713124999999934</v>
      </c>
      <c r="AN261">
        <f>IF(ABS(MAX(AI261:AI267)) &gt; ABS(MIN(AI261:AI267)),MAX(AI261:AI267), MIN(AI261:AI267))</f>
        <v>1.0213562499999962</v>
      </c>
      <c r="AO261">
        <f>IF(ABS(AN262)&gt;ABS(AN261),AN262,AN261)</f>
        <v>1.0213562499999962</v>
      </c>
    </row>
    <row r="262" spans="1:41" x14ac:dyDescent="0.35">
      <c r="A262" t="s">
        <v>239</v>
      </c>
      <c r="B262" t="s">
        <v>231</v>
      </c>
      <c r="C262" t="s">
        <v>570</v>
      </c>
      <c r="D262">
        <v>-20</v>
      </c>
      <c r="E262">
        <v>-20.100000000000001</v>
      </c>
      <c r="F262">
        <v>-0.5</v>
      </c>
      <c r="G262">
        <v>-0.49979699999999999</v>
      </c>
      <c r="H262">
        <v>30.842187500000001</v>
      </c>
      <c r="J262">
        <v>-23992</v>
      </c>
      <c r="N262" t="s">
        <v>175</v>
      </c>
      <c r="O262">
        <f t="shared" si="9"/>
        <v>30.008119999999998</v>
      </c>
      <c r="P262">
        <f t="shared" si="10"/>
        <v>1.0425843750000041</v>
      </c>
      <c r="Q262">
        <f t="shared" si="11"/>
        <v>1.0425843750000041</v>
      </c>
      <c r="Y262">
        <f>TREND(H261:H265,G261:G265,G262)</f>
        <v>30.904995080924639</v>
      </c>
      <c r="Z262">
        <f>ABS((Y262-H262)/80*100)</f>
        <v>7.8509476155796953E-2</v>
      </c>
      <c r="AB262">
        <f>IF(ABS(T261) &gt; ABS(V261),T261,V261)</f>
        <v>1.0684593749999927</v>
      </c>
      <c r="AE262">
        <f>ABS(P310-P254)</f>
        <v>0.25250625000000415</v>
      </c>
      <c r="AH262">
        <f>H262-AG254</f>
        <v>30.569125</v>
      </c>
      <c r="AI262">
        <f>100*(AH262-O262)/80</f>
        <v>0.70125625000000191</v>
      </c>
      <c r="AN262">
        <f>IF(ABS(AK261) &gt; ABS(AM261),AK261,AM261)</f>
        <v>0.72713124999999934</v>
      </c>
    </row>
    <row r="263" spans="1:41" x14ac:dyDescent="0.35">
      <c r="A263" t="s">
        <v>239</v>
      </c>
      <c r="B263" t="s">
        <v>231</v>
      </c>
      <c r="C263" t="s">
        <v>606</v>
      </c>
      <c r="D263">
        <v>-20</v>
      </c>
      <c r="E263">
        <v>-19.899999999999999</v>
      </c>
      <c r="F263">
        <v>0</v>
      </c>
      <c r="G263">
        <v>3.8499999999999998E-4</v>
      </c>
      <c r="H263">
        <v>50.673437499999999</v>
      </c>
      <c r="J263">
        <v>-24021</v>
      </c>
      <c r="N263" t="s">
        <v>175</v>
      </c>
      <c r="O263">
        <f t="shared" si="9"/>
        <v>50.0154</v>
      </c>
      <c r="P263">
        <f t="shared" si="10"/>
        <v>0.82254687499999868</v>
      </c>
      <c r="Q263">
        <f t="shared" si="11"/>
        <v>0.82254687499999868</v>
      </c>
      <c r="Y263">
        <f>TREND(H261:H265,G261:G265,G263)</f>
        <v>50.860732280063196</v>
      </c>
      <c r="Z263">
        <f>ABS((Y263-H263)/80*100)</f>
        <v>0.23411847507899705</v>
      </c>
      <c r="AE263">
        <f>ABS(P311-P255)</f>
        <v>0.4255750000000047</v>
      </c>
      <c r="AH263">
        <f>H263-AG254</f>
        <v>50.400374999999997</v>
      </c>
      <c r="AI263">
        <f>100*(AH263-O263)/80</f>
        <v>0.48121874999999648</v>
      </c>
    </row>
    <row r="264" spans="1:41" x14ac:dyDescent="0.35">
      <c r="A264" t="s">
        <v>239</v>
      </c>
      <c r="B264" t="s">
        <v>231</v>
      </c>
      <c r="C264" t="s">
        <v>642</v>
      </c>
      <c r="D264">
        <v>-20</v>
      </c>
      <c r="E264">
        <v>-20.100000000000001</v>
      </c>
      <c r="F264">
        <v>0.5</v>
      </c>
      <c r="G264">
        <v>0.49994300000000003</v>
      </c>
      <c r="H264">
        <v>70.787499999999994</v>
      </c>
      <c r="J264">
        <v>-24063</v>
      </c>
      <c r="N264" t="s">
        <v>175</v>
      </c>
      <c r="O264">
        <f t="shared" si="9"/>
        <v>69.997720000000001</v>
      </c>
      <c r="P264">
        <f t="shared" si="10"/>
        <v>0.98722499999999158</v>
      </c>
      <c r="Q264">
        <f t="shared" si="11"/>
        <v>0.98722499999999158</v>
      </c>
      <c r="Y264">
        <f>TREND(H261:H265,G261:G265,G264)</f>
        <v>70.791573781211298</v>
      </c>
      <c r="Z264">
        <f>ABS((Y264-H264)/80*100)</f>
        <v>5.0922265141295497E-3</v>
      </c>
      <c r="AE264">
        <f>ABS(P312-P256)</f>
        <v>0.23750625000000802</v>
      </c>
      <c r="AH264">
        <f>H264-AG254</f>
        <v>70.514437499999985</v>
      </c>
      <c r="AI264">
        <f>100*(AH264-O264)/80</f>
        <v>0.6458968749999805</v>
      </c>
    </row>
    <row r="265" spans="1:41" x14ac:dyDescent="0.35">
      <c r="A265" t="s">
        <v>239</v>
      </c>
      <c r="B265" t="s">
        <v>231</v>
      </c>
      <c r="C265" t="s">
        <v>679</v>
      </c>
      <c r="D265">
        <v>-20</v>
      </c>
      <c r="E265">
        <v>-19.899999999999999</v>
      </c>
      <c r="F265">
        <v>1</v>
      </c>
      <c r="G265">
        <v>0.99999800000000005</v>
      </c>
      <c r="H265">
        <v>90.854687499999997</v>
      </c>
      <c r="J265">
        <v>-24089</v>
      </c>
      <c r="N265" t="s">
        <v>175</v>
      </c>
      <c r="O265">
        <f t="shared" ref="O265:O328" si="12">(((G265--1)*(40))+10)</f>
        <v>89.999920000000003</v>
      </c>
      <c r="P265">
        <f t="shared" ref="P265:P328" si="13">100*(H265-O265)/80</f>
        <v>1.0684593749999927</v>
      </c>
      <c r="Q265">
        <f t="shared" ref="Q265:Q328" si="14">ABS(P265)</f>
        <v>1.0684593749999927</v>
      </c>
      <c r="Y265">
        <f>TREND(H261:H265,G261:G265,G265)</f>
        <v>90.742244067457563</v>
      </c>
      <c r="Z265">
        <f>ABS((Y265-H265)/80*100)</f>
        <v>0.14055429067804326</v>
      </c>
      <c r="AE265">
        <f>ABS(P313-P257)</f>
        <v>0.2659437500000017</v>
      </c>
      <c r="AH265">
        <f>H265-AG254</f>
        <v>90.581625000000003</v>
      </c>
      <c r="AI265">
        <f>100*(AH265-O265)/80</f>
        <v>0.72713124999999934</v>
      </c>
    </row>
    <row r="266" spans="1:41" x14ac:dyDescent="0.35">
      <c r="A266" t="s">
        <v>239</v>
      </c>
      <c r="B266" t="s">
        <v>231</v>
      </c>
      <c r="C266" t="s">
        <v>715</v>
      </c>
      <c r="D266">
        <v>-20</v>
      </c>
      <c r="E266">
        <v>-20</v>
      </c>
      <c r="F266">
        <v>0</v>
      </c>
      <c r="G266">
        <v>-1.5100000000000001E-4</v>
      </c>
      <c r="H266">
        <v>50.629687500000003</v>
      </c>
      <c r="J266">
        <v>-24113</v>
      </c>
      <c r="N266" t="s">
        <v>175</v>
      </c>
      <c r="O266">
        <f t="shared" si="12"/>
        <v>49.993960000000001</v>
      </c>
      <c r="P266">
        <f t="shared" si="13"/>
        <v>0.79465937500000194</v>
      </c>
      <c r="Q266">
        <f t="shared" si="14"/>
        <v>0.79465937500000194</v>
      </c>
      <c r="Y266">
        <f>TREND(H261:H265,G261:G265,G266)</f>
        <v>50.839347513840622</v>
      </c>
      <c r="Z266">
        <f>ABS((Y266-H266)/80*100)</f>
        <v>0.26207501730077354</v>
      </c>
      <c r="AE266">
        <f>ABS(P314-P258)</f>
        <v>0.22793750000001722</v>
      </c>
      <c r="AH266">
        <f>H266-AG254</f>
        <v>50.356625000000001</v>
      </c>
      <c r="AI266">
        <f>100*(AH266-O266)/80</f>
        <v>0.45333124999999974</v>
      </c>
    </row>
    <row r="267" spans="1:41" x14ac:dyDescent="0.35">
      <c r="A267" t="s">
        <v>239</v>
      </c>
      <c r="B267" t="s">
        <v>231</v>
      </c>
      <c r="C267" t="s">
        <v>751</v>
      </c>
      <c r="D267">
        <v>-20</v>
      </c>
      <c r="E267">
        <v>-20</v>
      </c>
      <c r="F267">
        <v>-1</v>
      </c>
      <c r="G267">
        <v>-0.99983</v>
      </c>
      <c r="H267">
        <v>11.082812499999999</v>
      </c>
      <c r="J267">
        <v>-24146</v>
      </c>
      <c r="N267" t="s">
        <v>175</v>
      </c>
      <c r="O267">
        <f t="shared" si="12"/>
        <v>10.0068</v>
      </c>
      <c r="P267">
        <f t="shared" si="13"/>
        <v>1.3450156249999989</v>
      </c>
      <c r="Q267">
        <f t="shared" si="14"/>
        <v>1.3450156249999989</v>
      </c>
      <c r="Y267">
        <f>TREND(H261:H265,G261:G265,G267)</f>
        <v>10.955202527620344</v>
      </c>
      <c r="Z267">
        <f>ABS((Y267-H267)/80*100)</f>
        <v>0.15951246547456943</v>
      </c>
      <c r="AE267">
        <f>ABS(P315-P259)</f>
        <v>0.27434062500000245</v>
      </c>
      <c r="AH267">
        <f>H267-AG254</f>
        <v>10.809749999999998</v>
      </c>
      <c r="AI267">
        <f>100*(AH267-O267)/80</f>
        <v>1.0036874999999967</v>
      </c>
    </row>
    <row r="268" spans="1:41" x14ac:dyDescent="0.35">
      <c r="A268" t="s">
        <v>239</v>
      </c>
      <c r="B268" t="s">
        <v>231</v>
      </c>
      <c r="C268" t="s">
        <v>788</v>
      </c>
      <c r="D268">
        <v>0</v>
      </c>
      <c r="E268">
        <v>0</v>
      </c>
      <c r="F268">
        <v>-1</v>
      </c>
      <c r="G268">
        <v>-1.0002249999999999</v>
      </c>
      <c r="H268">
        <v>10.440625000000001</v>
      </c>
      <c r="J268">
        <v>-16921</v>
      </c>
      <c r="N268" t="s">
        <v>175</v>
      </c>
      <c r="O268">
        <f t="shared" si="12"/>
        <v>9.9910000000000032</v>
      </c>
      <c r="P268">
        <f t="shared" si="13"/>
        <v>0.56203124999999687</v>
      </c>
      <c r="Q268">
        <f t="shared" si="14"/>
        <v>0.56203124999999687</v>
      </c>
      <c r="S268">
        <v>50.298437499999999</v>
      </c>
      <c r="T268">
        <v>0.39204687499999835</v>
      </c>
      <c r="U268">
        <v>90.589062499999997</v>
      </c>
      <c r="V268">
        <v>0.72622812500000578</v>
      </c>
      <c r="W268">
        <v>80.148440551757815</v>
      </c>
      <c r="X268">
        <f>(W268-80)/80*100</f>
        <v>0.18555068969726918</v>
      </c>
      <c r="Y268">
        <f>TREND(H268:H272,G268:G272,G268)</f>
        <v>10.325085047342604</v>
      </c>
      <c r="Z268">
        <f>ABS((Y268-H268)/80*100)</f>
        <v>0.14442494082174573</v>
      </c>
      <c r="AA268">
        <f>MAX(Z268:Z272)</f>
        <v>0.14442494082174573</v>
      </c>
      <c r="AB268">
        <f>IF(ABS(MAX(P268:P274)) &gt; ABS(MIN(P268:P274)),MAX(P268:P274), MIN(P268:P274))</f>
        <v>0.72622812500000578</v>
      </c>
      <c r="AC268">
        <f>IF(ABS(AB269)&gt;ABS(AB268),AB269,AB268)</f>
        <v>0.72622812500000578</v>
      </c>
      <c r="AE268">
        <f>ABS(P316-P260)</f>
        <v>0.37234062499999165</v>
      </c>
      <c r="AH268">
        <f>H268-AG254</f>
        <v>10.167562499999999</v>
      </c>
      <c r="AI268">
        <f>100*(AH268-O268)/80</f>
        <v>0.22070312499999467</v>
      </c>
      <c r="AJ268">
        <v>50.025374999999997</v>
      </c>
      <c r="AK268">
        <v>5.0718749999996149E-2</v>
      </c>
      <c r="AL268">
        <v>90.316000000000003</v>
      </c>
      <c r="AM268">
        <v>0.38490000000001245</v>
      </c>
      <c r="AN268">
        <f>IF(ABS(MAX(AI268:AI274)) &gt; ABS(MIN(AI268:AI274)),MAX(AI268:AI274), MIN(AI268:AI274))</f>
        <v>0.38490000000001245</v>
      </c>
      <c r="AO268">
        <f>IF(ABS(AN269)&gt;ABS(AN268),AN269,AN268)</f>
        <v>0.38490000000001245</v>
      </c>
    </row>
    <row r="269" spans="1:41" x14ac:dyDescent="0.35">
      <c r="A269" t="s">
        <v>239</v>
      </c>
      <c r="B269" t="s">
        <v>231</v>
      </c>
      <c r="C269" t="s">
        <v>824</v>
      </c>
      <c r="D269">
        <v>0</v>
      </c>
      <c r="E269">
        <v>0.1</v>
      </c>
      <c r="F269">
        <v>-0.5</v>
      </c>
      <c r="G269">
        <v>-0.49994100000000002</v>
      </c>
      <c r="H269">
        <v>30.296875</v>
      </c>
      <c r="J269">
        <v>-16921</v>
      </c>
      <c r="N269" t="s">
        <v>175</v>
      </c>
      <c r="O269">
        <f t="shared" si="12"/>
        <v>30.002360000000003</v>
      </c>
      <c r="P269">
        <f t="shared" si="13"/>
        <v>0.36814374999999622</v>
      </c>
      <c r="Q269">
        <f t="shared" si="14"/>
        <v>0.36814374999999622</v>
      </c>
      <c r="Y269">
        <f>TREND(H268:H272,G268:G272,G269)</f>
        <v>30.369798817806902</v>
      </c>
      <c r="Z269">
        <f>ABS((Y269-H269)/80*100)</f>
        <v>9.1154772258628114E-2</v>
      </c>
      <c r="AB269">
        <f>IF(ABS(T268) &gt; ABS(V268),T268,V268)</f>
        <v>0.72622812500000578</v>
      </c>
      <c r="AE269">
        <f>ABS(P310-P282)</f>
        <v>0.27589375000000249</v>
      </c>
      <c r="AH269">
        <f>H269-AG254</f>
        <v>30.023812499999998</v>
      </c>
      <c r="AI269">
        <f>100*(AH269-O269)/80</f>
        <v>2.6815624999994014E-2</v>
      </c>
      <c r="AN269">
        <f>IF(ABS(AK268) &gt; ABS(AM268),AK268,AM268)</f>
        <v>0.38490000000001245</v>
      </c>
    </row>
    <row r="270" spans="1:41" x14ac:dyDescent="0.35">
      <c r="A270" t="s">
        <v>239</v>
      </c>
      <c r="B270" t="s">
        <v>231</v>
      </c>
      <c r="C270" t="s">
        <v>860</v>
      </c>
      <c r="D270">
        <v>0</v>
      </c>
      <c r="E270">
        <v>0</v>
      </c>
      <c r="F270">
        <v>0</v>
      </c>
      <c r="G270">
        <v>-3.8000000000000002E-4</v>
      </c>
      <c r="H270">
        <v>50.298437499999999</v>
      </c>
      <c r="J270">
        <v>-16910</v>
      </c>
      <c r="N270" t="s">
        <v>175</v>
      </c>
      <c r="O270">
        <f t="shared" si="12"/>
        <v>49.9848</v>
      </c>
      <c r="P270">
        <f t="shared" si="13"/>
        <v>0.39204687499999835</v>
      </c>
      <c r="Q270">
        <f t="shared" si="14"/>
        <v>0.39204687499999835</v>
      </c>
      <c r="Y270">
        <f>TREND(H268:H272,G268:G272,G270)</f>
        <v>50.385544386097948</v>
      </c>
      <c r="Z270">
        <f>ABS((Y270-H270)/80*100)</f>
        <v>0.10888360762243642</v>
      </c>
      <c r="AE270">
        <f>ABS(P311-P283)</f>
        <v>0.32604375000000463</v>
      </c>
      <c r="AH270">
        <f>H270-AG254</f>
        <v>50.025374999999997</v>
      </c>
      <c r="AI270">
        <f>100*(AH270-O270)/80</f>
        <v>5.0718749999996149E-2</v>
      </c>
    </row>
    <row r="271" spans="1:41" x14ac:dyDescent="0.35">
      <c r="A271" t="s">
        <v>239</v>
      </c>
      <c r="B271" t="s">
        <v>231</v>
      </c>
      <c r="C271" t="s">
        <v>897</v>
      </c>
      <c r="D271">
        <v>0</v>
      </c>
      <c r="E271">
        <v>0</v>
      </c>
      <c r="F271">
        <v>0.5</v>
      </c>
      <c r="G271">
        <v>0.49939</v>
      </c>
      <c r="H271">
        <v>70.340625000000003</v>
      </c>
      <c r="J271">
        <v>-16892</v>
      </c>
      <c r="N271" t="s">
        <v>175</v>
      </c>
      <c r="O271">
        <f t="shared" si="12"/>
        <v>69.9756</v>
      </c>
      <c r="P271">
        <f t="shared" si="13"/>
        <v>0.45628125000000352</v>
      </c>
      <c r="Q271">
        <f t="shared" si="14"/>
        <v>0.45628125000000352</v>
      </c>
      <c r="Y271">
        <f>TREND(H268:H272,G268:G272,G271)</f>
        <v>70.409663888350565</v>
      </c>
      <c r="Z271">
        <f>ABS((Y271-H271)/80*100)</f>
        <v>8.6298610438202417E-2</v>
      </c>
      <c r="AE271">
        <f>ABS(P312-P284)</f>
        <v>0.11422812500000212</v>
      </c>
      <c r="AH271">
        <f>H271-AG254</f>
        <v>70.067562500000008</v>
      </c>
      <c r="AI271">
        <f>100*(AH271-O271)/80</f>
        <v>0.1149531250000102</v>
      </c>
    </row>
    <row r="272" spans="1:41" x14ac:dyDescent="0.35">
      <c r="A272" t="s">
        <v>239</v>
      </c>
      <c r="B272" t="s">
        <v>231</v>
      </c>
      <c r="C272" t="s">
        <v>934</v>
      </c>
      <c r="D272">
        <v>0</v>
      </c>
      <c r="E272">
        <v>0.1</v>
      </c>
      <c r="F272">
        <v>1</v>
      </c>
      <c r="G272">
        <v>1.000202</v>
      </c>
      <c r="H272">
        <v>90.589062499999997</v>
      </c>
      <c r="J272">
        <v>-16879</v>
      </c>
      <c r="N272" t="s">
        <v>175</v>
      </c>
      <c r="O272">
        <f t="shared" si="12"/>
        <v>90.008079999999993</v>
      </c>
      <c r="P272">
        <f t="shared" si="13"/>
        <v>0.72622812500000578</v>
      </c>
      <c r="Q272">
        <f t="shared" si="14"/>
        <v>0.72622812500000578</v>
      </c>
      <c r="Y272">
        <f>TREND(H268:H272,G268:G272,G272)</f>
        <v>90.475532860401984</v>
      </c>
      <c r="Z272">
        <f>ABS((Y272-H272)/80*100)</f>
        <v>0.14191204949751679</v>
      </c>
      <c r="AE272">
        <f>ABS(P313-P285)</f>
        <v>0.3791468750000071</v>
      </c>
      <c r="AH272">
        <f>H272-AG254</f>
        <v>90.316000000000003</v>
      </c>
      <c r="AI272">
        <f>100*(AH272-O272)/80</f>
        <v>0.38490000000001245</v>
      </c>
    </row>
    <row r="273" spans="1:41" x14ac:dyDescent="0.35">
      <c r="A273" t="s">
        <v>239</v>
      </c>
      <c r="B273" t="s">
        <v>231</v>
      </c>
      <c r="C273" t="s">
        <v>970</v>
      </c>
      <c r="D273">
        <v>0</v>
      </c>
      <c r="E273">
        <v>-0.1</v>
      </c>
      <c r="F273">
        <v>0</v>
      </c>
      <c r="G273">
        <v>-6.7999999999999999E-5</v>
      </c>
      <c r="H273">
        <v>50.2890625</v>
      </c>
      <c r="J273">
        <v>-16855</v>
      </c>
      <c r="N273" t="s">
        <v>175</v>
      </c>
      <c r="O273">
        <f t="shared" si="12"/>
        <v>49.997280000000003</v>
      </c>
      <c r="P273">
        <f t="shared" si="13"/>
        <v>0.36472812499999563</v>
      </c>
      <c r="Q273">
        <f t="shared" si="14"/>
        <v>0.36472812499999563</v>
      </c>
      <c r="Y273">
        <f>TREND(H268:H272,G268:G272,G273)</f>
        <v>50.398045187035791</v>
      </c>
      <c r="Z273">
        <f>ABS((Y273-H273)/80*100)</f>
        <v>0.13622835879473882</v>
      </c>
      <c r="AE273">
        <f>ABS(P314-P286)</f>
        <v>0.19125937500001911</v>
      </c>
      <c r="AH273">
        <f>H273-AG254</f>
        <v>50.015999999999998</v>
      </c>
      <c r="AI273">
        <f>100*(AH273-O273)/80</f>
        <v>2.3399999999993426E-2</v>
      </c>
    </row>
    <row r="274" spans="1:41" x14ac:dyDescent="0.35">
      <c r="A274" t="s">
        <v>239</v>
      </c>
      <c r="B274" t="s">
        <v>231</v>
      </c>
      <c r="C274" t="s">
        <v>1006</v>
      </c>
      <c r="D274">
        <v>0</v>
      </c>
      <c r="E274">
        <v>0</v>
      </c>
      <c r="F274">
        <v>-1</v>
      </c>
      <c r="G274">
        <v>-1.000238</v>
      </c>
      <c r="H274">
        <v>10.384375</v>
      </c>
      <c r="J274">
        <v>-16816</v>
      </c>
      <c r="N274" t="s">
        <v>175</v>
      </c>
      <c r="O274">
        <f t="shared" si="12"/>
        <v>9.9904800000000016</v>
      </c>
      <c r="P274">
        <f t="shared" si="13"/>
        <v>0.49236874999999847</v>
      </c>
      <c r="Q274">
        <f t="shared" si="14"/>
        <v>0.49236874999999847</v>
      </c>
      <c r="Y274">
        <f>TREND(H268:H272,G268:G272,G274)</f>
        <v>10.324564180636855</v>
      </c>
      <c r="Z274">
        <f>ABS((Y274-H274)/80*100)</f>
        <v>7.4763524203931286E-2</v>
      </c>
      <c r="AE274">
        <f>ABS(P315-P287)</f>
        <v>0.18684687500000408</v>
      </c>
      <c r="AH274">
        <f>H274-AG254</f>
        <v>10.111312499999999</v>
      </c>
      <c r="AI274">
        <f>100*(AH274-O274)/80</f>
        <v>0.15104062499999626</v>
      </c>
    </row>
    <row r="275" spans="1:41" x14ac:dyDescent="0.35">
      <c r="A275" t="s">
        <v>239</v>
      </c>
      <c r="B275" t="s">
        <v>231</v>
      </c>
      <c r="C275" t="s">
        <v>1042</v>
      </c>
      <c r="D275">
        <v>10</v>
      </c>
      <c r="E275">
        <v>10</v>
      </c>
      <c r="F275">
        <v>-1</v>
      </c>
      <c r="G275">
        <v>-1.0001500000000001</v>
      </c>
      <c r="H275">
        <v>10.2421875</v>
      </c>
      <c r="J275">
        <v>-12486</v>
      </c>
      <c r="N275" t="s">
        <v>175</v>
      </c>
      <c r="O275">
        <f t="shared" si="12"/>
        <v>9.9939999999999962</v>
      </c>
      <c r="P275">
        <f t="shared" si="13"/>
        <v>0.31023437500000473</v>
      </c>
      <c r="Q275">
        <f t="shared" si="14"/>
        <v>0.31023437500000473</v>
      </c>
      <c r="S275">
        <v>50.173437499999999</v>
      </c>
      <c r="T275">
        <v>0.22154687499999604</v>
      </c>
      <c r="U275">
        <v>90.420312499999994</v>
      </c>
      <c r="V275">
        <v>0.54694062499997642</v>
      </c>
      <c r="W275">
        <v>80.178123474121094</v>
      </c>
      <c r="X275">
        <f>(W275-80)/80*100</f>
        <v>0.22265434265136716</v>
      </c>
      <c r="Y275">
        <f>TREND(H275:H279,G275:G279,G275)</f>
        <v>10.143457631215313</v>
      </c>
      <c r="Z275">
        <f>ABS((Y275-H275)/80*100)</f>
        <v>0.12341233598085921</v>
      </c>
      <c r="AA275">
        <f>MAX(Z275:Z279)</f>
        <v>0.12341233598085921</v>
      </c>
      <c r="AB275">
        <f>IF(ABS(MAX(P275:P281)) &gt; ABS(MIN(P275:P281)),MAX(P275:P281), MIN(P275:P281))</f>
        <v>0.54694062499997642</v>
      </c>
      <c r="AC275">
        <f>IF(ABS(AB276)&gt;ABS(AB275),AB276,AB275)</f>
        <v>0.54694062499997642</v>
      </c>
      <c r="AE275">
        <f>ABS(P316-P288)</f>
        <v>0.28585312499999294</v>
      </c>
      <c r="AH275">
        <f>H275-AG254</f>
        <v>9.9691249999999982</v>
      </c>
      <c r="AI275">
        <f>100*(AH275-O275)/80</f>
        <v>-3.1093749999997478E-2</v>
      </c>
      <c r="AJ275">
        <v>49.900374999999997</v>
      </c>
      <c r="AK275">
        <v>-0.11978125000000617</v>
      </c>
      <c r="AL275">
        <v>90.147249999999985</v>
      </c>
      <c r="AM275">
        <v>0.20561249999996534</v>
      </c>
      <c r="AN275">
        <f>IF(ABS(MAX(AI275:AI281)) &gt; ABS(MIN(AI275:AI281)),MAX(AI275:AI281), MIN(AI275:AI281))</f>
        <v>0.20561249999996534</v>
      </c>
      <c r="AO275">
        <f>IF(ABS(AN276)&gt;ABS(AN275),AN276,AN275)</f>
        <v>0.20561249999996534</v>
      </c>
    </row>
    <row r="276" spans="1:41" x14ac:dyDescent="0.35">
      <c r="A276" t="s">
        <v>239</v>
      </c>
      <c r="B276" t="s">
        <v>231</v>
      </c>
      <c r="C276" t="s">
        <v>1078</v>
      </c>
      <c r="D276">
        <v>10</v>
      </c>
      <c r="E276">
        <v>10</v>
      </c>
      <c r="F276">
        <v>-0.5</v>
      </c>
      <c r="G276">
        <v>-0.50027999999999995</v>
      </c>
      <c r="H276">
        <v>30.120312500000001</v>
      </c>
      <c r="J276">
        <v>-12466</v>
      </c>
      <c r="N276" t="s">
        <v>175</v>
      </c>
      <c r="O276">
        <f t="shared" si="12"/>
        <v>29.988800000000001</v>
      </c>
      <c r="P276">
        <f t="shared" si="13"/>
        <v>0.16439062499999935</v>
      </c>
      <c r="Q276">
        <f t="shared" si="14"/>
        <v>0.16439062499999935</v>
      </c>
      <c r="Y276">
        <f>TREND(H275:H279,G275:G279,G276)</f>
        <v>30.195322477370887</v>
      </c>
      <c r="Z276">
        <f>ABS((Y276-H276)/80*100)</f>
        <v>9.3762471713607631E-2</v>
      </c>
      <c r="AB276">
        <f>IF(ABS(T275) &gt; ABS(V275),T275,V275)</f>
        <v>0.54694062499997642</v>
      </c>
      <c r="AH276">
        <f>H276-AG254</f>
        <v>29.847249999999999</v>
      </c>
      <c r="AI276">
        <f>100*(AH276-O276)/80</f>
        <v>-0.17693750000000286</v>
      </c>
      <c r="AN276">
        <f>IF(ABS(AK275) &gt; ABS(AM275),AK275,AM275)</f>
        <v>0.20561249999996534</v>
      </c>
    </row>
    <row r="277" spans="1:41" x14ac:dyDescent="0.35">
      <c r="A277" t="s">
        <v>239</v>
      </c>
      <c r="B277" t="s">
        <v>1111</v>
      </c>
      <c r="C277" t="s">
        <v>1116</v>
      </c>
      <c r="D277">
        <v>10</v>
      </c>
      <c r="E277">
        <v>10</v>
      </c>
      <c r="F277">
        <v>0</v>
      </c>
      <c r="G277">
        <v>-9.5000000000000005E-5</v>
      </c>
      <c r="H277">
        <v>50.173437499999999</v>
      </c>
      <c r="J277">
        <v>-12450</v>
      </c>
      <c r="N277" t="s">
        <v>175</v>
      </c>
      <c r="O277">
        <f t="shared" si="12"/>
        <v>49.996200000000002</v>
      </c>
      <c r="P277">
        <f t="shared" si="13"/>
        <v>0.22154687499999604</v>
      </c>
      <c r="Q277">
        <f t="shared" si="14"/>
        <v>0.22154687499999604</v>
      </c>
      <c r="Y277">
        <f>TREND(H275:H279,G275:G279,G277)</f>
        <v>50.259823283729183</v>
      </c>
      <c r="Z277">
        <f>ABS((Y277-H277)/80*100)</f>
        <v>0.10798222966148074</v>
      </c>
      <c r="AH277">
        <f>H277-AG254</f>
        <v>49.900374999999997</v>
      </c>
      <c r="AI277">
        <f>100*(AH277-O277)/80</f>
        <v>-0.11978125000000617</v>
      </c>
    </row>
    <row r="278" spans="1:41" x14ac:dyDescent="0.35">
      <c r="A278" t="s">
        <v>239</v>
      </c>
      <c r="B278" t="s">
        <v>1111</v>
      </c>
      <c r="C278" t="s">
        <v>1153</v>
      </c>
      <c r="D278">
        <v>10</v>
      </c>
      <c r="E278">
        <v>10</v>
      </c>
      <c r="F278">
        <v>0.5</v>
      </c>
      <c r="G278">
        <v>0.499724</v>
      </c>
      <c r="H278">
        <v>70.3125</v>
      </c>
      <c r="J278">
        <v>-12439</v>
      </c>
      <c r="N278" t="s">
        <v>175</v>
      </c>
      <c r="O278">
        <f t="shared" si="12"/>
        <v>69.988960000000006</v>
      </c>
      <c r="P278">
        <f t="shared" si="13"/>
        <v>0.40442499999999271</v>
      </c>
      <c r="Q278">
        <f t="shared" si="14"/>
        <v>0.40442499999999271</v>
      </c>
      <c r="Y278">
        <f>TREND(H275:H279,G275:G279,G278)</f>
        <v>70.30964230775669</v>
      </c>
      <c r="Z278">
        <f>ABS((Y278-H278)/80*100)</f>
        <v>3.5721153041379239E-3</v>
      </c>
      <c r="AH278">
        <f>H278-AG254</f>
        <v>70.039437499999991</v>
      </c>
      <c r="AI278">
        <f>100*(AH278-O278)/80</f>
        <v>6.3096874999981623E-2</v>
      </c>
    </row>
    <row r="279" spans="1:41" x14ac:dyDescent="0.35">
      <c r="A279" t="s">
        <v>239</v>
      </c>
      <c r="B279" t="s">
        <v>1111</v>
      </c>
      <c r="C279" t="s">
        <v>1190</v>
      </c>
      <c r="D279">
        <v>10</v>
      </c>
      <c r="E279">
        <v>10</v>
      </c>
      <c r="F279">
        <v>1</v>
      </c>
      <c r="G279">
        <v>0.99956900000000004</v>
      </c>
      <c r="H279">
        <v>90.420312499999994</v>
      </c>
      <c r="J279">
        <v>-12428</v>
      </c>
      <c r="N279" t="s">
        <v>175</v>
      </c>
      <c r="O279">
        <f t="shared" si="12"/>
        <v>89.982760000000013</v>
      </c>
      <c r="P279">
        <f t="shared" si="13"/>
        <v>0.54694062499997642</v>
      </c>
      <c r="Q279">
        <f t="shared" si="14"/>
        <v>0.54694062499997642</v>
      </c>
      <c r="Y279">
        <f>TREND(H275:H279,G275:G279,G279)</f>
        <v>90.360504299927911</v>
      </c>
      <c r="Z279">
        <f>ABS((Y279-H279)/80*100)</f>
        <v>7.4760250090104563E-2</v>
      </c>
      <c r="AH279">
        <f>H279-AG254</f>
        <v>90.147249999999985</v>
      </c>
      <c r="AI279">
        <f>100*(AH279-O279)/80</f>
        <v>0.20561249999996534</v>
      </c>
    </row>
    <row r="280" spans="1:41" x14ac:dyDescent="0.35">
      <c r="A280" t="s">
        <v>239</v>
      </c>
      <c r="B280" t="s">
        <v>1111</v>
      </c>
      <c r="C280" t="s">
        <v>1226</v>
      </c>
      <c r="D280">
        <v>10</v>
      </c>
      <c r="E280">
        <v>10</v>
      </c>
      <c r="F280">
        <v>0</v>
      </c>
      <c r="G280">
        <v>4.0499999999999998E-4</v>
      </c>
      <c r="H280">
        <v>50.184375000000003</v>
      </c>
      <c r="J280">
        <v>-12415</v>
      </c>
      <c r="N280" t="s">
        <v>175</v>
      </c>
      <c r="O280">
        <f t="shared" si="12"/>
        <v>50.016199999999998</v>
      </c>
      <c r="P280">
        <f t="shared" si="13"/>
        <v>0.21021875000000634</v>
      </c>
      <c r="Q280">
        <f t="shared" si="14"/>
        <v>0.21021875000000634</v>
      </c>
      <c r="Y280">
        <f>TREND(H275:H279,G275:G279,G280)</f>
        <v>50.279880363416055</v>
      </c>
      <c r="Z280">
        <f>ABS((Y280-H280)/80*100)</f>
        <v>0.11938170427006511</v>
      </c>
      <c r="AH280">
        <f>H280-AG254</f>
        <v>49.911312500000001</v>
      </c>
      <c r="AI280">
        <f>100*(AH280-O280)/80</f>
        <v>-0.13110937499999586</v>
      </c>
    </row>
    <row r="281" spans="1:41" x14ac:dyDescent="0.35">
      <c r="A281" t="s">
        <v>239</v>
      </c>
      <c r="B281" t="s">
        <v>1111</v>
      </c>
      <c r="C281" t="s">
        <v>1262</v>
      </c>
      <c r="D281">
        <v>10</v>
      </c>
      <c r="E281">
        <v>10</v>
      </c>
      <c r="F281">
        <v>-1</v>
      </c>
      <c r="G281">
        <v>-0.99997599999999998</v>
      </c>
      <c r="H281">
        <v>10.34375</v>
      </c>
      <c r="J281">
        <v>-12404</v>
      </c>
      <c r="N281" t="s">
        <v>175</v>
      </c>
      <c r="O281">
        <f t="shared" si="12"/>
        <v>10.000960000000001</v>
      </c>
      <c r="P281">
        <f t="shared" si="13"/>
        <v>0.4284874999999988</v>
      </c>
      <c r="Q281">
        <f t="shared" si="14"/>
        <v>0.4284874999999988</v>
      </c>
      <c r="Y281">
        <f>TREND(H275:H279,G275:G279,G281)</f>
        <v>10.150437494946353</v>
      </c>
      <c r="Z281">
        <f>ABS((Y281-H281)/80*100)</f>
        <v>0.2416406313170594</v>
      </c>
      <c r="AH281">
        <f>H281-AG254</f>
        <v>10.070687499999998</v>
      </c>
      <c r="AI281">
        <f>100*(AH281-O281)/80</f>
        <v>8.7159374999996597E-2</v>
      </c>
    </row>
    <row r="282" spans="1:41" x14ac:dyDescent="0.35">
      <c r="A282" t="s">
        <v>239</v>
      </c>
      <c r="B282" t="s">
        <v>1111</v>
      </c>
      <c r="C282" t="s">
        <v>1299</v>
      </c>
      <c r="D282">
        <v>25</v>
      </c>
      <c r="E282">
        <v>25</v>
      </c>
      <c r="F282">
        <v>-1</v>
      </c>
      <c r="G282">
        <v>-0.99998900000000002</v>
      </c>
      <c r="H282">
        <v>10.3109375</v>
      </c>
      <c r="J282">
        <v>-6570</v>
      </c>
      <c r="N282" t="s">
        <v>175</v>
      </c>
      <c r="O282">
        <f t="shared" si="12"/>
        <v>10.000439999999999</v>
      </c>
      <c r="P282">
        <f t="shared" si="13"/>
        <v>0.38812187500000039</v>
      </c>
      <c r="Q282">
        <f t="shared" si="14"/>
        <v>0.38812187500000039</v>
      </c>
      <c r="S282">
        <v>50.174999999999997</v>
      </c>
      <c r="T282">
        <v>0.2180499999999963</v>
      </c>
      <c r="U282">
        <v>90.462500000000006</v>
      </c>
      <c r="V282">
        <v>0.60567500000001218</v>
      </c>
      <c r="W282">
        <v>80.151564025878912</v>
      </c>
      <c r="X282">
        <f>(W282-80)/80*100</f>
        <v>0.18945503234863992</v>
      </c>
      <c r="Y282">
        <f>TREND(H282:H286,G282:G286,G282)</f>
        <v>10.19802715820493</v>
      </c>
      <c r="Z282">
        <f>ABS((Y282-H282)/80*100)</f>
        <v>0.14113792724383734</v>
      </c>
      <c r="AA282">
        <f>MAX(Z282:Z286)</f>
        <v>0.20257927991214505</v>
      </c>
      <c r="AB282">
        <f>IF(ABS(MAX(P282:P288)) &gt; ABS(MIN(P282:P288)),MAX(P282:P288), MIN(P282:P288))</f>
        <v>0.66202499999999276</v>
      </c>
      <c r="AC282">
        <f>IF(ABS(AB283)&gt;ABS(AB282),AB283,AB282)</f>
        <v>0.66202499999999276</v>
      </c>
      <c r="AH282">
        <f>H282-AG254</f>
        <v>10.037874999999998</v>
      </c>
      <c r="AI282">
        <f>100*(AH282-O282)/80</f>
        <v>4.6793749999998191E-2</v>
      </c>
      <c r="AJ282">
        <v>49.901937499999995</v>
      </c>
      <c r="AK282">
        <v>-0.1232781250000059</v>
      </c>
      <c r="AL282">
        <v>90.189437499999997</v>
      </c>
      <c r="AM282">
        <v>0.26434687500000109</v>
      </c>
      <c r="AN282">
        <f>IF(ABS(MAX(AI282:AI288)) &gt; ABS(MIN(AI282:AI288)),MAX(AI282:AI288), MIN(AI282:AI288))</f>
        <v>0.32069687499999944</v>
      </c>
      <c r="AO282">
        <f>IF(ABS(AN283)&gt;ABS(AN282),AN283,AN282)</f>
        <v>0.32069687499999944</v>
      </c>
    </row>
    <row r="283" spans="1:41" x14ac:dyDescent="0.35">
      <c r="A283" t="s">
        <v>239</v>
      </c>
      <c r="B283" t="s">
        <v>1111</v>
      </c>
      <c r="C283" t="s">
        <v>1335</v>
      </c>
      <c r="D283">
        <v>25</v>
      </c>
      <c r="E283">
        <v>25</v>
      </c>
      <c r="F283">
        <v>-0.5</v>
      </c>
      <c r="G283">
        <v>-0.50032299999999996</v>
      </c>
      <c r="H283">
        <v>30.170312500000001</v>
      </c>
      <c r="J283">
        <v>-6538</v>
      </c>
      <c r="N283" t="s">
        <v>175</v>
      </c>
      <c r="O283">
        <f t="shared" si="12"/>
        <v>29.987080000000002</v>
      </c>
      <c r="P283">
        <f t="shared" si="13"/>
        <v>0.22904062499999878</v>
      </c>
      <c r="Q283">
        <f t="shared" si="14"/>
        <v>0.22904062499999878</v>
      </c>
      <c r="Y283">
        <f>TREND(H282:H286,G282:G286,G283)</f>
        <v>30.254078684799993</v>
      </c>
      <c r="Z283">
        <f>ABS((Y283-H283)/80*100)</f>
        <v>0.10470773099998885</v>
      </c>
      <c r="AB283">
        <f>IF(ABS(T282) &gt; ABS(V282),T282,V282)</f>
        <v>0.60567500000001218</v>
      </c>
      <c r="AH283">
        <f>H283-AG254</f>
        <v>29.89725</v>
      </c>
      <c r="AI283">
        <f>100*(AH283-O283)/80</f>
        <v>-0.11228750000000343</v>
      </c>
      <c r="AN283">
        <f>IF(ABS(AK282) &gt; ABS(AM282),AK282,AM282)</f>
        <v>0.26434687500000109</v>
      </c>
    </row>
    <row r="284" spans="1:41" x14ac:dyDescent="0.35">
      <c r="A284" t="s">
        <v>239</v>
      </c>
      <c r="B284" t="s">
        <v>1111</v>
      </c>
      <c r="C284" t="s">
        <v>1372</v>
      </c>
      <c r="D284">
        <v>25</v>
      </c>
      <c r="E284">
        <v>25</v>
      </c>
      <c r="F284">
        <v>0</v>
      </c>
      <c r="G284">
        <v>1.4E-5</v>
      </c>
      <c r="H284">
        <v>50.174999999999997</v>
      </c>
      <c r="J284">
        <v>-6516</v>
      </c>
      <c r="N284" t="s">
        <v>175</v>
      </c>
      <c r="O284">
        <f t="shared" si="12"/>
        <v>50.00056</v>
      </c>
      <c r="P284">
        <f t="shared" si="13"/>
        <v>0.2180499999999963</v>
      </c>
      <c r="Q284">
        <f t="shared" si="14"/>
        <v>0.2180499999999963</v>
      </c>
      <c r="Y284">
        <f>TREND(H282:H286,G282:G286,G284)</f>
        <v>50.337063423929713</v>
      </c>
      <c r="Z284">
        <f>ABS((Y284-H284)/80*100)</f>
        <v>0.20257927991214505</v>
      </c>
      <c r="AH284">
        <f>H284-AG254</f>
        <v>49.901937499999995</v>
      </c>
      <c r="AI284">
        <f>100*(AH284-O284)/80</f>
        <v>-0.1232781250000059</v>
      </c>
    </row>
    <row r="285" spans="1:41" x14ac:dyDescent="0.35">
      <c r="A285" t="s">
        <v>239</v>
      </c>
      <c r="B285" t="s">
        <v>1111</v>
      </c>
      <c r="C285" t="s">
        <v>1409</v>
      </c>
      <c r="D285">
        <v>25</v>
      </c>
      <c r="E285">
        <v>25</v>
      </c>
      <c r="F285">
        <v>0.5</v>
      </c>
      <c r="G285">
        <v>0.49957200000000002</v>
      </c>
      <c r="H285">
        <v>70.512500000000003</v>
      </c>
      <c r="J285">
        <v>-6502</v>
      </c>
      <c r="N285" t="s">
        <v>175</v>
      </c>
      <c r="O285">
        <f t="shared" si="12"/>
        <v>69.982880000000009</v>
      </c>
      <c r="P285">
        <f t="shared" si="13"/>
        <v>0.66202499999999276</v>
      </c>
      <c r="Q285">
        <f t="shared" si="14"/>
        <v>0.66202499999999276</v>
      </c>
      <c r="Y285">
        <f>TREND(H282:H286,G282:G286,G285)</f>
        <v>70.388779947613088</v>
      </c>
      <c r="Z285">
        <f>ABS((Y285-H285)/80*100)</f>
        <v>0.15465006548364357</v>
      </c>
      <c r="AH285">
        <f>H285-AG254</f>
        <v>70.239437500000008</v>
      </c>
      <c r="AI285">
        <f>100*(AH285-O285)/80</f>
        <v>0.32069687499999944</v>
      </c>
    </row>
    <row r="286" spans="1:41" x14ac:dyDescent="0.35">
      <c r="A286" t="s">
        <v>239</v>
      </c>
      <c r="B286" t="s">
        <v>1111</v>
      </c>
      <c r="C286" t="s">
        <v>1445</v>
      </c>
      <c r="D286">
        <v>25</v>
      </c>
      <c r="E286">
        <v>25</v>
      </c>
      <c r="F286">
        <v>1</v>
      </c>
      <c r="G286">
        <v>0.99944900000000003</v>
      </c>
      <c r="H286">
        <v>90.462500000000006</v>
      </c>
      <c r="J286">
        <v>-6489</v>
      </c>
      <c r="N286" t="s">
        <v>175</v>
      </c>
      <c r="O286">
        <f t="shared" si="12"/>
        <v>89.977959999999996</v>
      </c>
      <c r="P286">
        <f t="shared" si="13"/>
        <v>0.60567500000001218</v>
      </c>
      <c r="Q286">
        <f t="shared" si="14"/>
        <v>0.60567500000001218</v>
      </c>
      <c r="Y286">
        <f>TREND(H282:H286,G282:G286,G286)</f>
        <v>90.453300785452285</v>
      </c>
      <c r="Z286">
        <f>ABS((Y286-H286)/80*100)</f>
        <v>1.1499018184650822E-2</v>
      </c>
      <c r="AH286">
        <f>H286-AG254</f>
        <v>90.189437499999997</v>
      </c>
      <c r="AI286">
        <f>100*(AH286-O286)/80</f>
        <v>0.26434687500000109</v>
      </c>
    </row>
    <row r="287" spans="1:41" x14ac:dyDescent="0.35">
      <c r="A287" t="s">
        <v>239</v>
      </c>
      <c r="B287" t="s">
        <v>1111</v>
      </c>
      <c r="C287" t="s">
        <v>1482</v>
      </c>
      <c r="D287">
        <v>25</v>
      </c>
      <c r="E287">
        <v>25</v>
      </c>
      <c r="F287">
        <v>0</v>
      </c>
      <c r="G287">
        <v>1E-4</v>
      </c>
      <c r="H287">
        <v>50.298437499999999</v>
      </c>
      <c r="J287">
        <v>-6476</v>
      </c>
      <c r="N287" t="s">
        <v>175</v>
      </c>
      <c r="O287">
        <f t="shared" si="12"/>
        <v>50.003999999999998</v>
      </c>
      <c r="P287">
        <f t="shared" si="13"/>
        <v>0.36804687500000099</v>
      </c>
      <c r="Q287">
        <f t="shared" si="14"/>
        <v>0.36804687500000099</v>
      </c>
      <c r="Y287">
        <f>TREND(H282:H286,G282:G286,G287)</f>
        <v>50.340515370692728</v>
      </c>
      <c r="Z287">
        <f>ABS((Y287-H287)/80*100)</f>
        <v>5.2597338365911739E-2</v>
      </c>
      <c r="AH287">
        <f>H287-AG254</f>
        <v>50.025374999999997</v>
      </c>
      <c r="AI287">
        <f>100*(AH287-O287)/80</f>
        <v>2.6718749999998792E-2</v>
      </c>
    </row>
    <row r="288" spans="1:41" x14ac:dyDescent="0.35">
      <c r="A288" t="s">
        <v>239</v>
      </c>
      <c r="B288" t="s">
        <v>1111</v>
      </c>
      <c r="C288" t="s">
        <v>1519</v>
      </c>
      <c r="D288">
        <v>25</v>
      </c>
      <c r="E288">
        <v>25</v>
      </c>
      <c r="F288">
        <v>-1</v>
      </c>
      <c r="G288">
        <v>-1.000076</v>
      </c>
      <c r="H288">
        <v>10.3</v>
      </c>
      <c r="J288">
        <v>-6463</v>
      </c>
      <c r="N288" t="s">
        <v>175</v>
      </c>
      <c r="O288">
        <f t="shared" si="12"/>
        <v>9.9969600000000014</v>
      </c>
      <c r="P288">
        <f t="shared" si="13"/>
        <v>0.37879999999999914</v>
      </c>
      <c r="Q288">
        <f t="shared" si="14"/>
        <v>0.37879999999999914</v>
      </c>
      <c r="Y288">
        <f>TREND(H282:H286,G282:G286,G288)</f>
        <v>10.194535072526065</v>
      </c>
      <c r="Z288">
        <f>ABS((Y288-H288)/80*100)</f>
        <v>0.13183115934241929</v>
      </c>
      <c r="AH288">
        <f>H288-AG254</f>
        <v>10.026937499999999</v>
      </c>
      <c r="AI288">
        <f>100*(AH288-O288)/80</f>
        <v>3.7471874999996935E-2</v>
      </c>
    </row>
    <row r="289" spans="1:41" x14ac:dyDescent="0.35">
      <c r="A289" t="s">
        <v>239</v>
      </c>
      <c r="B289" t="s">
        <v>1111</v>
      </c>
      <c r="C289" t="s">
        <v>1556</v>
      </c>
      <c r="D289">
        <v>50</v>
      </c>
      <c r="E289">
        <v>50</v>
      </c>
      <c r="F289">
        <v>-1</v>
      </c>
      <c r="G289">
        <v>-0.99977199999999999</v>
      </c>
      <c r="H289">
        <v>12.5296875</v>
      </c>
      <c r="J289">
        <v>3200</v>
      </c>
      <c r="N289" t="s">
        <v>175</v>
      </c>
      <c r="O289">
        <f t="shared" si="12"/>
        <v>10.009119999999999</v>
      </c>
      <c r="P289">
        <f t="shared" si="13"/>
        <v>3.1507093750000004</v>
      </c>
      <c r="Q289">
        <f t="shared" si="14"/>
        <v>3.1507093750000004</v>
      </c>
      <c r="S289">
        <v>52.706249999999997</v>
      </c>
      <c r="T289">
        <v>3.3892124999999935</v>
      </c>
      <c r="U289">
        <v>92.860937500000006</v>
      </c>
      <c r="V289">
        <v>3.5795718750000027</v>
      </c>
      <c r="W289">
        <v>80.331251525878912</v>
      </c>
      <c r="X289">
        <f>(W289-80)/80*100</f>
        <v>0.41406440734863992</v>
      </c>
      <c r="Y289">
        <f>TREND(H289:H293,G289:G293,G289)</f>
        <v>12.480689660844519</v>
      </c>
      <c r="Z289">
        <f>ABS((Y289-H289)/80*100)</f>
        <v>6.1247298944351318E-2</v>
      </c>
      <c r="AA289">
        <f>MAX(Z289:Z293)</f>
        <v>0.11733648017554719</v>
      </c>
      <c r="AB289">
        <f>IF(ABS(MAX(P289:P295)) &gt; ABS(MIN(P289:P295)),MAX(P289:P295), MIN(P289:P295))</f>
        <v>3.5795718750000027</v>
      </c>
      <c r="AC289">
        <f>IF(ABS(AB290)&gt;ABS(AB289),AB290,AB289)</f>
        <v>3.5795718750000027</v>
      </c>
      <c r="AH289">
        <f>H289-AG254</f>
        <v>12.256624999999998</v>
      </c>
      <c r="AI289">
        <f>100*(AH289-O289)/80</f>
        <v>2.8093812499999982</v>
      </c>
      <c r="AJ289">
        <v>52.433187499999995</v>
      </c>
      <c r="AK289">
        <v>3.0478843749999918</v>
      </c>
      <c r="AL289">
        <v>92.587874999999997</v>
      </c>
      <c r="AM289">
        <v>3.2382437499999916</v>
      </c>
      <c r="AN289">
        <f>IF(ABS(MAX(AI289:AI295)) &gt; ABS(MIN(AI289:AI295)),MAX(AI289:AI295), MIN(AI289:AI295))</f>
        <v>3.2382437499999916</v>
      </c>
      <c r="AO289">
        <f>IF(ABS(AN290)&gt;ABS(AN289),AN290,AN289)</f>
        <v>3.2382437499999916</v>
      </c>
    </row>
    <row r="290" spans="1:41" x14ac:dyDescent="0.35">
      <c r="A290" t="s">
        <v>239</v>
      </c>
      <c r="B290" t="s">
        <v>1111</v>
      </c>
      <c r="C290" t="s">
        <v>1592</v>
      </c>
      <c r="D290">
        <v>50</v>
      </c>
      <c r="E290">
        <v>50</v>
      </c>
      <c r="F290">
        <v>-0.5</v>
      </c>
      <c r="G290">
        <v>-0.50029100000000004</v>
      </c>
      <c r="H290">
        <v>32.462499999999999</v>
      </c>
      <c r="J290">
        <v>3235</v>
      </c>
      <c r="N290" t="s">
        <v>175</v>
      </c>
      <c r="O290">
        <f t="shared" si="12"/>
        <v>29.98836</v>
      </c>
      <c r="P290">
        <f t="shared" si="13"/>
        <v>3.0926749999999981</v>
      </c>
      <c r="Q290">
        <f t="shared" si="14"/>
        <v>3.0926749999999981</v>
      </c>
      <c r="Y290">
        <f>TREND(H289:H293,G289:G293,G290)</f>
        <v>32.556369184140436</v>
      </c>
      <c r="Z290">
        <f>ABS((Y290-H290)/80*100)</f>
        <v>0.11733648017554719</v>
      </c>
      <c r="AB290">
        <f>IF(ABS(T289) &gt; ABS(V289),T289,V289)</f>
        <v>3.5795718750000027</v>
      </c>
      <c r="AH290">
        <f>H290-AG254</f>
        <v>32.189437499999997</v>
      </c>
      <c r="AI290">
        <f>100*(AH290-O290)/80</f>
        <v>2.7513468749999959</v>
      </c>
      <c r="AN290">
        <f>IF(ABS(AK289) &gt; ABS(AM289),AK289,AM289)</f>
        <v>3.2382437499999916</v>
      </c>
    </row>
    <row r="291" spans="1:41" x14ac:dyDescent="0.35">
      <c r="A291" t="s">
        <v>239</v>
      </c>
      <c r="B291" t="s">
        <v>1111</v>
      </c>
      <c r="C291" t="s">
        <v>1629</v>
      </c>
      <c r="D291">
        <v>50</v>
      </c>
      <c r="E291">
        <v>50</v>
      </c>
      <c r="F291">
        <v>0</v>
      </c>
      <c r="G291">
        <v>-1.2799999999999999E-4</v>
      </c>
      <c r="H291">
        <v>52.706249999999997</v>
      </c>
      <c r="J291">
        <v>3268</v>
      </c>
      <c r="N291" t="s">
        <v>175</v>
      </c>
      <c r="O291">
        <f t="shared" si="12"/>
        <v>49.994880000000002</v>
      </c>
      <c r="P291">
        <f t="shared" si="13"/>
        <v>3.3892124999999935</v>
      </c>
      <c r="Q291">
        <f t="shared" si="14"/>
        <v>3.3892124999999935</v>
      </c>
      <c r="Y291">
        <f>TREND(H289:H293,G289:G293,G291)</f>
        <v>52.659460387630183</v>
      </c>
      <c r="Z291">
        <f>ABS((Y291-H291)/80*100)</f>
        <v>5.8487015462267415E-2</v>
      </c>
      <c r="AH291">
        <f>H291-AG254</f>
        <v>52.433187499999995</v>
      </c>
      <c r="AI291">
        <f>100*(AH291-O291)/80</f>
        <v>3.0478843749999918</v>
      </c>
    </row>
    <row r="292" spans="1:41" x14ac:dyDescent="0.35">
      <c r="A292" t="s">
        <v>239</v>
      </c>
      <c r="B292" t="s">
        <v>1111</v>
      </c>
      <c r="C292" t="s">
        <v>1666</v>
      </c>
      <c r="D292">
        <v>50</v>
      </c>
      <c r="E292">
        <v>50</v>
      </c>
      <c r="F292">
        <v>0.5</v>
      </c>
      <c r="G292">
        <v>0.50034699999999999</v>
      </c>
      <c r="H292">
        <v>72.767187500000006</v>
      </c>
      <c r="J292">
        <v>3301</v>
      </c>
      <c r="N292" t="s">
        <v>175</v>
      </c>
      <c r="O292">
        <f t="shared" si="12"/>
        <v>70.01388</v>
      </c>
      <c r="P292">
        <f t="shared" si="13"/>
        <v>3.4416343750000067</v>
      </c>
      <c r="Q292">
        <f t="shared" si="14"/>
        <v>3.4416343750000067</v>
      </c>
      <c r="Y292">
        <f>TREND(H289:H293,G289:G293,G292)</f>
        <v>72.775091831912405</v>
      </c>
      <c r="Z292">
        <f>ABS((Y292-H292)/80*100)</f>
        <v>9.8804148904996225E-3</v>
      </c>
      <c r="AH292">
        <f>H292-AG254</f>
        <v>72.494124999999997</v>
      </c>
      <c r="AI292">
        <f>100*(AH292-O292)/80</f>
        <v>3.1003062499999956</v>
      </c>
    </row>
    <row r="293" spans="1:41" x14ac:dyDescent="0.35">
      <c r="A293" t="s">
        <v>239</v>
      </c>
      <c r="B293" t="s">
        <v>1111</v>
      </c>
      <c r="C293" t="s">
        <v>1702</v>
      </c>
      <c r="D293">
        <v>50</v>
      </c>
      <c r="E293">
        <v>50</v>
      </c>
      <c r="F293">
        <v>1</v>
      </c>
      <c r="G293">
        <v>0.99993200000000004</v>
      </c>
      <c r="H293">
        <v>92.860937500000006</v>
      </c>
      <c r="J293">
        <v>3332</v>
      </c>
      <c r="N293" t="s">
        <v>175</v>
      </c>
      <c r="O293">
        <f t="shared" si="12"/>
        <v>89.997280000000003</v>
      </c>
      <c r="P293">
        <f t="shared" si="13"/>
        <v>3.5795718750000027</v>
      </c>
      <c r="Q293">
        <f t="shared" si="14"/>
        <v>3.5795718750000027</v>
      </c>
      <c r="Y293">
        <f>TREND(H289:H293,G289:G293,G293)</f>
        <v>92.854951435472486</v>
      </c>
      <c r="Z293">
        <f>ABS((Y293-H293)/80*100)</f>
        <v>7.4825806593992192E-3</v>
      </c>
      <c r="AH293">
        <f>H293-AG254</f>
        <v>92.587874999999997</v>
      </c>
      <c r="AI293">
        <f>100*(AH293-O293)/80</f>
        <v>3.2382437499999916</v>
      </c>
    </row>
    <row r="294" spans="1:41" x14ac:dyDescent="0.35">
      <c r="A294" t="s">
        <v>239</v>
      </c>
      <c r="B294" t="s">
        <v>1111</v>
      </c>
      <c r="C294" t="s">
        <v>1739</v>
      </c>
      <c r="D294">
        <v>50</v>
      </c>
      <c r="E294">
        <v>50</v>
      </c>
      <c r="F294">
        <v>0</v>
      </c>
      <c r="G294">
        <v>-8.2000000000000001E-5</v>
      </c>
      <c r="H294">
        <v>52.817187500000003</v>
      </c>
      <c r="J294">
        <v>3356</v>
      </c>
      <c r="N294" t="s">
        <v>175</v>
      </c>
      <c r="O294">
        <f t="shared" si="12"/>
        <v>49.996719999999996</v>
      </c>
      <c r="P294">
        <f t="shared" si="13"/>
        <v>3.5255843750000082</v>
      </c>
      <c r="Q294">
        <f t="shared" si="14"/>
        <v>3.5255843750000082</v>
      </c>
      <c r="Y294">
        <f>TREND(H289:H293,G289:G293,G294)</f>
        <v>52.661309269285482</v>
      </c>
      <c r="Z294">
        <f>ABS((Y294-H294)/80*100)</f>
        <v>0.19484778839315098</v>
      </c>
      <c r="AH294">
        <f>H294-AG254</f>
        <v>52.544125000000001</v>
      </c>
      <c r="AI294">
        <f>100*(AH294-O294)/80</f>
        <v>3.184256250000006</v>
      </c>
    </row>
    <row r="295" spans="1:41" x14ac:dyDescent="0.35">
      <c r="A295" t="s">
        <v>239</v>
      </c>
      <c r="B295" t="s">
        <v>1111</v>
      </c>
      <c r="C295" t="s">
        <v>1775</v>
      </c>
      <c r="D295">
        <v>50</v>
      </c>
      <c r="E295">
        <v>50</v>
      </c>
      <c r="F295">
        <v>-1</v>
      </c>
      <c r="G295">
        <v>-1.000108</v>
      </c>
      <c r="H295">
        <v>12.714062500000001</v>
      </c>
      <c r="J295">
        <v>3391</v>
      </c>
      <c r="N295" t="s">
        <v>175</v>
      </c>
      <c r="O295">
        <f t="shared" si="12"/>
        <v>9.9956800000000001</v>
      </c>
      <c r="P295">
        <f t="shared" si="13"/>
        <v>3.3979781250000007</v>
      </c>
      <c r="Q295">
        <f t="shared" si="14"/>
        <v>3.3979781250000007</v>
      </c>
      <c r="Y295">
        <f>TREND(H289:H293,G289:G293,G295)</f>
        <v>12.467184786144927</v>
      </c>
      <c r="Z295">
        <f>ABS((Y295-H295)/80*100)</f>
        <v>0.30859714231884272</v>
      </c>
      <c r="AH295">
        <f>H295-AG254</f>
        <v>12.440999999999999</v>
      </c>
      <c r="AI295">
        <f>100*(AH295-O295)/80</f>
        <v>3.0566499999999985</v>
      </c>
    </row>
    <row r="296" spans="1:41" x14ac:dyDescent="0.35">
      <c r="A296" t="s">
        <v>239</v>
      </c>
      <c r="B296" t="s">
        <v>1111</v>
      </c>
      <c r="C296" t="s">
        <v>1813</v>
      </c>
      <c r="D296">
        <v>70</v>
      </c>
      <c r="E296">
        <v>70</v>
      </c>
      <c r="F296">
        <v>-1</v>
      </c>
      <c r="G296">
        <v>-0.99980999999999998</v>
      </c>
      <c r="H296">
        <v>20.743749999999999</v>
      </c>
      <c r="J296">
        <v>11258</v>
      </c>
      <c r="N296" t="s">
        <v>175</v>
      </c>
      <c r="O296">
        <f t="shared" si="12"/>
        <v>10.0076</v>
      </c>
      <c r="P296">
        <f t="shared" si="13"/>
        <v>13.420187499999997</v>
      </c>
      <c r="Q296">
        <f t="shared" si="14"/>
        <v>13.420187499999997</v>
      </c>
      <c r="S296">
        <v>60.95</v>
      </c>
      <c r="T296">
        <v>13.684549999999998</v>
      </c>
      <c r="U296">
        <v>100.68125000000001</v>
      </c>
      <c r="V296">
        <v>13.332162499999995</v>
      </c>
      <c r="W296">
        <v>79.937501525878901</v>
      </c>
      <c r="X296">
        <f>(W296-80)/80*100</f>
        <v>-7.8123092651374293E-2</v>
      </c>
      <c r="Y296">
        <f>TREND(H296:H300,G296:G300,G296)</f>
        <v>20.708037544944439</v>
      </c>
      <c r="Z296">
        <f>ABS((Y296-H296)/80*100)</f>
        <v>4.4640568819449555E-2</v>
      </c>
      <c r="AA296">
        <f>MAX(Z296:Z300)</f>
        <v>0.26705006202925929</v>
      </c>
      <c r="AB296">
        <f>IF(ABS(MAX(P296:P302)) &gt; ABS(MIN(P296:P302)),MAX(P296:P302), MIN(P296:P302))</f>
        <v>13.684549999999998</v>
      </c>
      <c r="AC296">
        <f>IF(ABS(AB297)&gt;ABS(AB296),AB297,AB296)</f>
        <v>13.684549999999998</v>
      </c>
      <c r="AH296">
        <f>H296-AG254</f>
        <v>20.470687499999997</v>
      </c>
      <c r="AI296">
        <f>100*(AH296-O296)/80</f>
        <v>13.078859374999997</v>
      </c>
      <c r="AJ296">
        <v>60.676937500000001</v>
      </c>
      <c r="AK296">
        <v>13.343221874999998</v>
      </c>
      <c r="AL296">
        <v>100.4081875</v>
      </c>
      <c r="AM296">
        <v>12.990834374999986</v>
      </c>
      <c r="AN296">
        <f>IF(ABS(MAX(AI296:AI302)) &gt; ABS(MIN(AI296:AI302)),MAX(AI296:AI302), MIN(AI296:AI302))</f>
        <v>13.343221874999998</v>
      </c>
      <c r="AO296">
        <f>IF(ABS(AN297)&gt;ABS(AN296),AN297,AN296)</f>
        <v>13.343221874999998</v>
      </c>
    </row>
    <row r="297" spans="1:41" x14ac:dyDescent="0.35">
      <c r="A297" t="s">
        <v>239</v>
      </c>
      <c r="B297" t="s">
        <v>1111</v>
      </c>
      <c r="C297" t="s">
        <v>1850</v>
      </c>
      <c r="D297">
        <v>70</v>
      </c>
      <c r="E297">
        <v>70</v>
      </c>
      <c r="F297">
        <v>-0.5</v>
      </c>
      <c r="G297">
        <v>-0.50069699999999995</v>
      </c>
      <c r="H297">
        <v>40.478124999999999</v>
      </c>
      <c r="J297">
        <v>11296</v>
      </c>
      <c r="N297" t="s">
        <v>175</v>
      </c>
      <c r="O297">
        <f t="shared" si="12"/>
        <v>29.972120000000004</v>
      </c>
      <c r="P297">
        <f t="shared" si="13"/>
        <v>13.132506249999995</v>
      </c>
      <c r="Q297">
        <f t="shared" si="14"/>
        <v>13.132506249999995</v>
      </c>
      <c r="Y297">
        <f>TREND(H296:H300,G296:G300,G297)</f>
        <v>40.689311172532115</v>
      </c>
      <c r="Z297">
        <f>ABS((Y297-H297)/80*100)</f>
        <v>0.26398271566514531</v>
      </c>
      <c r="AB297">
        <f>IF(ABS(T296) &gt; ABS(V296),T296,V296)</f>
        <v>13.684549999999998</v>
      </c>
      <c r="AH297">
        <f>H297-AG254</f>
        <v>40.205062499999997</v>
      </c>
      <c r="AI297">
        <f>100*(AH297-O297)/80</f>
        <v>12.791178124999991</v>
      </c>
      <c r="AN297">
        <f>IF(ABS(AK296) &gt; ABS(AM296),AK296,AM296)</f>
        <v>13.343221874999998</v>
      </c>
    </row>
    <row r="298" spans="1:41" x14ac:dyDescent="0.35">
      <c r="A298" t="s">
        <v>239</v>
      </c>
      <c r="B298" t="s">
        <v>1111</v>
      </c>
      <c r="C298" t="s">
        <v>1886</v>
      </c>
      <c r="D298">
        <v>70</v>
      </c>
      <c r="E298">
        <v>70</v>
      </c>
      <c r="F298">
        <v>0</v>
      </c>
      <c r="G298">
        <v>5.8999999999999998E-5</v>
      </c>
      <c r="H298">
        <v>60.95</v>
      </c>
      <c r="J298">
        <v>11335</v>
      </c>
      <c r="N298" t="s">
        <v>175</v>
      </c>
      <c r="O298">
        <f t="shared" si="12"/>
        <v>50.002360000000003</v>
      </c>
      <c r="P298">
        <f t="shared" si="13"/>
        <v>13.684549999999998</v>
      </c>
      <c r="Q298">
        <f t="shared" si="14"/>
        <v>13.684549999999998</v>
      </c>
      <c r="Y298">
        <f>TREND(H296:H300,G296:G300,G298)</f>
        <v>60.736359950376595</v>
      </c>
      <c r="Z298">
        <f>ABS((Y298-H298)/80*100)</f>
        <v>0.26705006202925929</v>
      </c>
      <c r="AH298">
        <f>H298-AG254</f>
        <v>60.676937500000001</v>
      </c>
      <c r="AI298">
        <f>100*(AH298-O298)/80</f>
        <v>13.343221874999998</v>
      </c>
    </row>
    <row r="299" spans="1:41" x14ac:dyDescent="0.35">
      <c r="A299" t="s">
        <v>239</v>
      </c>
      <c r="B299" t="s">
        <v>1111</v>
      </c>
      <c r="C299" t="s">
        <v>1923</v>
      </c>
      <c r="D299">
        <v>70</v>
      </c>
      <c r="E299">
        <v>70</v>
      </c>
      <c r="F299">
        <v>0.5</v>
      </c>
      <c r="G299">
        <v>0.49998999999999999</v>
      </c>
      <c r="H299">
        <v>80.814062500000006</v>
      </c>
      <c r="J299">
        <v>11359</v>
      </c>
      <c r="N299" t="s">
        <v>175</v>
      </c>
      <c r="O299">
        <f t="shared" si="12"/>
        <v>69.999600000000001</v>
      </c>
      <c r="P299">
        <f t="shared" si="13"/>
        <v>13.518078125000006</v>
      </c>
      <c r="Q299">
        <f t="shared" si="14"/>
        <v>13.518078125000006</v>
      </c>
      <c r="Y299">
        <f>TREND(H296:H300,G296:G300,G299)</f>
        <v>80.750381035608868</v>
      </c>
      <c r="Z299">
        <f>ABS((Y299-H299)/80*100)</f>
        <v>7.9601830488922332E-2</v>
      </c>
      <c r="AH299">
        <f>H299-AG254</f>
        <v>80.540999999999997</v>
      </c>
      <c r="AI299">
        <f>100*(AH299-O299)/80</f>
        <v>13.176749999999995</v>
      </c>
    </row>
    <row r="300" spans="1:41" x14ac:dyDescent="0.35">
      <c r="A300" t="s">
        <v>239</v>
      </c>
      <c r="B300" t="s">
        <v>1111</v>
      </c>
      <c r="C300" t="s">
        <v>1959</v>
      </c>
      <c r="D300">
        <v>70</v>
      </c>
      <c r="E300">
        <v>70</v>
      </c>
      <c r="F300">
        <v>1</v>
      </c>
      <c r="G300">
        <v>1.0003880000000001</v>
      </c>
      <c r="H300">
        <v>100.68125000000001</v>
      </c>
      <c r="J300">
        <v>11386</v>
      </c>
      <c r="N300" t="s">
        <v>175</v>
      </c>
      <c r="O300">
        <f t="shared" si="12"/>
        <v>90.015520000000009</v>
      </c>
      <c r="P300">
        <f t="shared" si="13"/>
        <v>13.332162499999995</v>
      </c>
      <c r="Q300">
        <f t="shared" si="14"/>
        <v>13.332162499999995</v>
      </c>
      <c r="Y300">
        <f>TREND(H296:H300,G296:G300,G300)</f>
        <v>100.78309779653799</v>
      </c>
      <c r="Z300">
        <f>ABS((Y300-H300)/80*100)</f>
        <v>0.12730974567247699</v>
      </c>
      <c r="AH300">
        <f>H300-AG254</f>
        <v>100.4081875</v>
      </c>
      <c r="AI300">
        <f>100*(AH300-O300)/80</f>
        <v>12.990834374999986</v>
      </c>
    </row>
    <row r="301" spans="1:41" x14ac:dyDescent="0.35">
      <c r="A301" t="s">
        <v>239</v>
      </c>
      <c r="B301" t="s">
        <v>1111</v>
      </c>
      <c r="C301" t="s">
        <v>1996</v>
      </c>
      <c r="D301">
        <v>70</v>
      </c>
      <c r="E301">
        <v>70</v>
      </c>
      <c r="F301">
        <v>0</v>
      </c>
      <c r="G301">
        <v>-2.05E-4</v>
      </c>
      <c r="H301">
        <v>60.707812500000003</v>
      </c>
      <c r="J301">
        <v>11421</v>
      </c>
      <c r="N301" t="s">
        <v>175</v>
      </c>
      <c r="O301">
        <f t="shared" si="12"/>
        <v>49.991799999999998</v>
      </c>
      <c r="P301">
        <f t="shared" si="13"/>
        <v>13.395015625000008</v>
      </c>
      <c r="Q301">
        <f t="shared" si="14"/>
        <v>13.395015625000008</v>
      </c>
      <c r="Y301">
        <f>TREND(H296:H300,G296:G300,G301)</f>
        <v>60.725791088740685</v>
      </c>
      <c r="Z301">
        <f>ABS((Y301-H301)/80*100)</f>
        <v>2.2473235925852819E-2</v>
      </c>
      <c r="AH301">
        <f>H301-AG254</f>
        <v>60.434750000000001</v>
      </c>
      <c r="AI301">
        <f>100*(AH301-O301)/80</f>
        <v>13.053687500000004</v>
      </c>
    </row>
    <row r="302" spans="1:41" x14ac:dyDescent="0.35">
      <c r="A302" t="s">
        <v>239</v>
      </c>
      <c r="B302" t="s">
        <v>1111</v>
      </c>
      <c r="C302" t="s">
        <v>2032</v>
      </c>
      <c r="D302">
        <v>70</v>
      </c>
      <c r="E302">
        <v>70</v>
      </c>
      <c r="F302">
        <v>-1</v>
      </c>
      <c r="G302">
        <v>-1.0001100000000001</v>
      </c>
      <c r="H302">
        <v>20.748437500000001</v>
      </c>
      <c r="J302">
        <v>11434</v>
      </c>
      <c r="N302" t="s">
        <v>175</v>
      </c>
      <c r="O302">
        <f t="shared" si="12"/>
        <v>9.9955999999999978</v>
      </c>
      <c r="P302">
        <f t="shared" si="13"/>
        <v>13.441046875000003</v>
      </c>
      <c r="Q302">
        <f t="shared" si="14"/>
        <v>13.441046875000003</v>
      </c>
      <c r="Y302">
        <f>TREND(H296:H300,G296:G300,G302)</f>
        <v>20.69602747490363</v>
      </c>
      <c r="Z302">
        <f>ABS((Y302-H302)/80*100)</f>
        <v>6.5512531370464089E-2</v>
      </c>
      <c r="AH302">
        <f>H302-AG254</f>
        <v>20.475375</v>
      </c>
      <c r="AI302">
        <f>100*(AH302-O302)/80</f>
        <v>13.099718750000003</v>
      </c>
    </row>
    <row r="303" spans="1:41" x14ac:dyDescent="0.35">
      <c r="A303" t="s">
        <v>239</v>
      </c>
      <c r="B303" t="s">
        <v>1111</v>
      </c>
      <c r="C303" t="s">
        <v>2068</v>
      </c>
      <c r="D303">
        <v>85</v>
      </c>
      <c r="E303">
        <v>85</v>
      </c>
      <c r="F303">
        <v>-1</v>
      </c>
      <c r="G303">
        <v>-1.000184</v>
      </c>
      <c r="H303">
        <v>28.65</v>
      </c>
      <c r="J303">
        <v>17367</v>
      </c>
      <c r="N303" t="s">
        <v>175</v>
      </c>
      <c r="O303">
        <f t="shared" si="12"/>
        <v>9.9926400000000015</v>
      </c>
      <c r="P303">
        <f t="shared" si="13"/>
        <v>23.321699999999996</v>
      </c>
      <c r="Q303">
        <f t="shared" si="14"/>
        <v>23.321699999999996</v>
      </c>
      <c r="S303">
        <v>68.674999999999997</v>
      </c>
      <c r="T303">
        <v>23.347749999999998</v>
      </c>
      <c r="U303">
        <v>101.1984375</v>
      </c>
      <c r="V303">
        <v>13.997796875000006</v>
      </c>
      <c r="W303">
        <v>72.548440551757807</v>
      </c>
      <c r="X303">
        <f>(W303-80)/80*100</f>
        <v>-9.3144493103027415</v>
      </c>
      <c r="Y303">
        <f>TREND(H303:H307,G303:G307,G303)</f>
        <v>30.107758448231003</v>
      </c>
      <c r="Z303">
        <f>ABS((Y303-H303)/80*100)</f>
        <v>1.8221980602887555</v>
      </c>
      <c r="AA303">
        <f>MAX(Z303:Z307)</f>
        <v>3.6104780137046251</v>
      </c>
      <c r="AB303">
        <f>IF(ABS(MAX(P303:P309)) &gt; ABS(MIN(P303:P309)),MAX(P303:P309), MIN(P303:P309))</f>
        <v>23.347749999999998</v>
      </c>
      <c r="AC303">
        <f>IF(ABS(AB304)&gt;ABS(AB303),AB304,AB303)</f>
        <v>23.347749999999998</v>
      </c>
      <c r="AH303">
        <f>H303-AG254</f>
        <v>28.376937499999997</v>
      </c>
      <c r="AI303">
        <f>100*(AH303-O303)/80</f>
        <v>22.980371874999996</v>
      </c>
      <c r="AJ303">
        <v>68.401937500000003</v>
      </c>
      <c r="AK303">
        <v>23.006421875000004</v>
      </c>
      <c r="AL303">
        <v>100.925375</v>
      </c>
      <c r="AM303">
        <v>13.656468750000013</v>
      </c>
      <c r="AN303">
        <f>IF(ABS(MAX(AI303:AI309)) &gt; ABS(MIN(AI303:AI309)),MAX(AI303:AI309), MIN(AI303:AI309))</f>
        <v>23.006421875000004</v>
      </c>
      <c r="AO303">
        <f>IF(ABS(AN304)&gt;ABS(AN303),AN304,AN303)</f>
        <v>23.006421875000004</v>
      </c>
    </row>
    <row r="304" spans="1:41" x14ac:dyDescent="0.35">
      <c r="A304" t="s">
        <v>239</v>
      </c>
      <c r="B304" t="s">
        <v>1111</v>
      </c>
      <c r="C304" t="s">
        <v>2104</v>
      </c>
      <c r="D304">
        <v>85</v>
      </c>
      <c r="E304">
        <v>85</v>
      </c>
      <c r="F304">
        <v>-0.5</v>
      </c>
      <c r="G304">
        <v>-0.49991099999999999</v>
      </c>
      <c r="H304">
        <v>48.564062499999999</v>
      </c>
      <c r="J304">
        <v>17395</v>
      </c>
      <c r="N304" t="s">
        <v>175</v>
      </c>
      <c r="O304">
        <f t="shared" si="12"/>
        <v>30.00356</v>
      </c>
      <c r="P304">
        <f t="shared" si="13"/>
        <v>23.200628124999998</v>
      </c>
      <c r="Q304">
        <f t="shared" si="14"/>
        <v>23.200628124999998</v>
      </c>
      <c r="Y304">
        <f>TREND(H303:H307,G303:G307,G304)</f>
        <v>48.610873411439812</v>
      </c>
      <c r="Z304">
        <f>ABS((Y304-H304)/80*100)</f>
        <v>5.8513639299766503E-2</v>
      </c>
      <c r="AB304">
        <f>IF(ABS(T303) &gt; ABS(V303),T303,V303)</f>
        <v>23.347749999999998</v>
      </c>
      <c r="AH304">
        <f>H304-AG254</f>
        <v>48.290999999999997</v>
      </c>
      <c r="AI304">
        <f>100*(AH304-O304)/80</f>
        <v>22.859299999999998</v>
      </c>
      <c r="AN304">
        <f>IF(ABS(AK303) &gt; ABS(AM303),AK303,AM303)</f>
        <v>23.006421875000004</v>
      </c>
    </row>
    <row r="305" spans="1:41" x14ac:dyDescent="0.35">
      <c r="A305" t="s">
        <v>239</v>
      </c>
      <c r="B305" t="s">
        <v>1111</v>
      </c>
      <c r="C305" t="s">
        <v>2141</v>
      </c>
      <c r="D305">
        <v>85</v>
      </c>
      <c r="E305">
        <v>85</v>
      </c>
      <c r="F305">
        <v>0</v>
      </c>
      <c r="G305">
        <v>-8.0000000000000007E-5</v>
      </c>
      <c r="H305">
        <v>68.674999999999997</v>
      </c>
      <c r="J305">
        <v>17420</v>
      </c>
      <c r="N305" t="s">
        <v>175</v>
      </c>
      <c r="O305">
        <f t="shared" si="12"/>
        <v>49.9968</v>
      </c>
      <c r="P305">
        <f t="shared" si="13"/>
        <v>23.347749999999998</v>
      </c>
      <c r="Q305">
        <f t="shared" si="14"/>
        <v>23.347749999999998</v>
      </c>
      <c r="Y305">
        <f>TREND(H303:H307,G303:G307,G305)</f>
        <v>67.097640546935082</v>
      </c>
      <c r="Z305">
        <f>ABS((Y305-H305)/80*100)</f>
        <v>1.9716993163311436</v>
      </c>
      <c r="AH305">
        <f>H305-AG254</f>
        <v>68.401937500000003</v>
      </c>
      <c r="AI305">
        <f>100*(AH305-O305)/80</f>
        <v>23.006421875000004</v>
      </c>
    </row>
    <row r="306" spans="1:41" x14ac:dyDescent="0.35">
      <c r="A306" t="s">
        <v>239</v>
      </c>
      <c r="B306" t="s">
        <v>1111</v>
      </c>
      <c r="C306" t="s">
        <v>2178</v>
      </c>
      <c r="D306">
        <v>85</v>
      </c>
      <c r="E306">
        <v>85</v>
      </c>
      <c r="F306">
        <v>0.5</v>
      </c>
      <c r="G306">
        <v>0.499751</v>
      </c>
      <c r="H306">
        <v>88.4</v>
      </c>
      <c r="J306">
        <v>17446</v>
      </c>
      <c r="N306" t="s">
        <v>175</v>
      </c>
      <c r="O306">
        <f t="shared" si="12"/>
        <v>69.990039999999993</v>
      </c>
      <c r="P306">
        <f t="shared" si="13"/>
        <v>23.012450000000015</v>
      </c>
      <c r="Q306">
        <f t="shared" si="14"/>
        <v>23.012450000000015</v>
      </c>
      <c r="Y306">
        <f>TREND(H303:H307,G303:G307,G306)</f>
        <v>85.584407682430353</v>
      </c>
      <c r="Z306">
        <f>ABS((Y306-H306)/80*100)</f>
        <v>3.5194903969620661</v>
      </c>
      <c r="AH306">
        <f>H306-AG254</f>
        <v>88.126937499999997</v>
      </c>
      <c r="AI306">
        <f>100*(AH306-O306)/80</f>
        <v>22.671121875000004</v>
      </c>
    </row>
    <row r="307" spans="1:41" x14ac:dyDescent="0.35">
      <c r="A307" t="s">
        <v>239</v>
      </c>
      <c r="B307" t="s">
        <v>1111</v>
      </c>
      <c r="C307" t="s">
        <v>2214</v>
      </c>
      <c r="D307">
        <v>85</v>
      </c>
      <c r="E307">
        <v>85</v>
      </c>
      <c r="F307">
        <v>1</v>
      </c>
      <c r="G307">
        <v>1.000005</v>
      </c>
      <c r="H307">
        <v>101.1984375</v>
      </c>
      <c r="J307">
        <v>17466</v>
      </c>
      <c r="N307" t="s">
        <v>175</v>
      </c>
      <c r="O307">
        <f t="shared" si="12"/>
        <v>90.000199999999992</v>
      </c>
      <c r="P307">
        <f t="shared" si="13"/>
        <v>13.997796875000006</v>
      </c>
      <c r="Q307">
        <f t="shared" si="14"/>
        <v>13.997796875000006</v>
      </c>
      <c r="Y307">
        <f>TREND(H303:H307,G303:G307,G307)</f>
        <v>104.0868199109637</v>
      </c>
      <c r="Z307">
        <f>ABS((Y307-H307)/80*100)</f>
        <v>3.6104780137046251</v>
      </c>
      <c r="AH307">
        <f>H307-AG254</f>
        <v>100.925375</v>
      </c>
      <c r="AI307">
        <f>100*(AH307-O307)/80</f>
        <v>13.656468750000013</v>
      </c>
    </row>
    <row r="308" spans="1:41" x14ac:dyDescent="0.35">
      <c r="A308" t="s">
        <v>239</v>
      </c>
      <c r="B308" t="s">
        <v>1111</v>
      </c>
      <c r="C308" t="s">
        <v>2251</v>
      </c>
      <c r="D308">
        <v>85</v>
      </c>
      <c r="E308">
        <v>85</v>
      </c>
      <c r="F308">
        <v>0</v>
      </c>
      <c r="G308">
        <v>1.9799999999999999E-4</v>
      </c>
      <c r="H308">
        <v>67.904687499999994</v>
      </c>
      <c r="J308">
        <v>17488</v>
      </c>
      <c r="N308" t="s">
        <v>175</v>
      </c>
      <c r="O308">
        <f t="shared" si="12"/>
        <v>50.007919999999999</v>
      </c>
      <c r="P308">
        <f t="shared" si="13"/>
        <v>22.370959374999995</v>
      </c>
      <c r="Q308">
        <f t="shared" si="14"/>
        <v>22.370959374999995</v>
      </c>
      <c r="Y308">
        <f>TREND(H303:H307,G303:G307,G308)</f>
        <v>67.107922664818261</v>
      </c>
      <c r="Z308">
        <f>ABS((Y308-H308)/80*100)</f>
        <v>0.99595604397716642</v>
      </c>
      <c r="AH308">
        <f>H308-AG254</f>
        <v>67.631624999999985</v>
      </c>
      <c r="AI308">
        <f>100*(AH308-O308)/80</f>
        <v>22.029631249999984</v>
      </c>
    </row>
    <row r="309" spans="1:41" x14ac:dyDescent="0.35">
      <c r="A309" t="s">
        <v>239</v>
      </c>
      <c r="B309" t="s">
        <v>1111</v>
      </c>
      <c r="C309" t="s">
        <v>2288</v>
      </c>
      <c r="D309">
        <v>85</v>
      </c>
      <c r="E309">
        <v>85</v>
      </c>
      <c r="F309">
        <v>-1</v>
      </c>
      <c r="G309">
        <v>-1.000202</v>
      </c>
      <c r="H309">
        <v>27.728124999999999</v>
      </c>
      <c r="J309">
        <v>17499</v>
      </c>
      <c r="N309" t="s">
        <v>175</v>
      </c>
      <c r="O309">
        <f t="shared" si="12"/>
        <v>9.9919199999999986</v>
      </c>
      <c r="P309">
        <f t="shared" si="13"/>
        <v>22.170256249999998</v>
      </c>
      <c r="Q309">
        <f t="shared" si="14"/>
        <v>22.170256249999998</v>
      </c>
      <c r="Y309">
        <f>TREND(H303:H307,G303:G307,G309)</f>
        <v>30.107092699591085</v>
      </c>
      <c r="Z309">
        <f>ABS((Y309-H309)/80*100)</f>
        <v>2.9737096244888583</v>
      </c>
      <c r="AH309">
        <f>H309-AG254</f>
        <v>27.455062499999997</v>
      </c>
      <c r="AI309">
        <f>100*(AH309-O309)/80</f>
        <v>21.828928124999997</v>
      </c>
    </row>
    <row r="310" spans="1:41" x14ac:dyDescent="0.35">
      <c r="A310" t="s">
        <v>239</v>
      </c>
      <c r="B310" t="s">
        <v>1111</v>
      </c>
      <c r="C310" t="s">
        <v>2325</v>
      </c>
      <c r="D310">
        <v>25</v>
      </c>
      <c r="E310">
        <v>25</v>
      </c>
      <c r="F310">
        <v>-1</v>
      </c>
      <c r="G310">
        <v>-0.99939299999999998</v>
      </c>
      <c r="H310">
        <v>10.114062499999999</v>
      </c>
      <c r="J310">
        <v>-5346</v>
      </c>
      <c r="N310" t="s">
        <v>175</v>
      </c>
      <c r="O310">
        <f t="shared" si="12"/>
        <v>10.024280000000001</v>
      </c>
      <c r="P310">
        <f t="shared" si="13"/>
        <v>0.1122281249999979</v>
      </c>
      <c r="Q310">
        <f t="shared" si="14"/>
        <v>0.1122281249999979</v>
      </c>
      <c r="S310">
        <v>50.0859375</v>
      </c>
      <c r="T310">
        <v>0.10382187499999418</v>
      </c>
      <c r="U310">
        <v>90.332812500000003</v>
      </c>
      <c r="V310">
        <v>0.41441562499999307</v>
      </c>
      <c r="W310">
        <v>80.218746948242185</v>
      </c>
      <c r="X310">
        <f>(W310-80)/80*100</f>
        <v>0.27343368530273082</v>
      </c>
      <c r="Y310">
        <f>TREND(H310:H314,G310:G314,G310)</f>
        <v>9.9974247730540284</v>
      </c>
      <c r="Z310">
        <f>ABS((Y310-H310)/80*100)</f>
        <v>0.14579715868246357</v>
      </c>
      <c r="AA310">
        <f>MAX(Z310:Z314)</f>
        <v>0.16178953178296318</v>
      </c>
      <c r="AB310">
        <f>IF(ABS(MAX(P310:P316)) &gt; ABS(MIN(P310:P316)),MAX(P310:P316), MIN(P310:P316))</f>
        <v>0.41441562499999307</v>
      </c>
      <c r="AC310">
        <f>IF(ABS(AB311)&gt;ABS(AB310),AB311,AB310)</f>
        <v>0.41441562499999307</v>
      </c>
      <c r="AH310">
        <f>H310-AG254</f>
        <v>9.8409999999999975</v>
      </c>
      <c r="AI310">
        <f>100*(AH310-O310)/80</f>
        <v>-0.2291000000000043</v>
      </c>
      <c r="AJ310">
        <v>49.812874999999998</v>
      </c>
      <c r="AK310">
        <v>-0.23750625000000802</v>
      </c>
      <c r="AL310">
        <v>90.059750000000008</v>
      </c>
      <c r="AM310">
        <v>7.308749999999975E-2</v>
      </c>
      <c r="AN310">
        <f>IF(ABS(MAX(AI310:AI316)) &gt; ABS(MIN(AI310:AI316)),MAX(AI310:AI316), MIN(AI310:AI316))</f>
        <v>-0.43833125000000805</v>
      </c>
      <c r="AO310">
        <f>IF(ABS(AN311)&gt;ABS(AN310),AN311,AN310)</f>
        <v>-0.43833125000000805</v>
      </c>
    </row>
    <row r="311" spans="1:41" x14ac:dyDescent="0.35">
      <c r="A311" t="s">
        <v>239</v>
      </c>
      <c r="B311" t="s">
        <v>1111</v>
      </c>
      <c r="C311" t="s">
        <v>2361</v>
      </c>
      <c r="D311">
        <v>25</v>
      </c>
      <c r="E311">
        <v>25</v>
      </c>
      <c r="F311">
        <v>-0.5</v>
      </c>
      <c r="G311">
        <v>-0.49997399999999997</v>
      </c>
      <c r="H311">
        <v>29.923437499999999</v>
      </c>
      <c r="J311">
        <v>-5403</v>
      </c>
      <c r="N311" t="s">
        <v>175</v>
      </c>
      <c r="O311">
        <f t="shared" si="12"/>
        <v>30.001040000000003</v>
      </c>
      <c r="P311">
        <f t="shared" si="13"/>
        <v>-9.7003125000005852E-2</v>
      </c>
      <c r="Q311">
        <f t="shared" si="14"/>
        <v>9.7003125000005852E-2</v>
      </c>
      <c r="Y311">
        <f>TREND(H310:H314,G310:G314,G311)</f>
        <v>30.052869125426369</v>
      </c>
      <c r="Z311">
        <f>ABS((Y311-H311)/80*100)</f>
        <v>0.16178953178296318</v>
      </c>
      <c r="AB311">
        <f>IF(ABS(T310) &gt; ABS(V310),T310,V310)</f>
        <v>0.41441562499999307</v>
      </c>
      <c r="AH311">
        <f>H311-AG254</f>
        <v>29.650374999999997</v>
      </c>
      <c r="AI311">
        <f>100*(AH311-O311)/80</f>
        <v>-0.43833125000000805</v>
      </c>
      <c r="AN311">
        <f>IF(ABS(AK310) &gt; ABS(AM310),AK310,AM310)</f>
        <v>-0.23750625000000802</v>
      </c>
    </row>
    <row r="312" spans="1:41" x14ac:dyDescent="0.35">
      <c r="A312" t="s">
        <v>239</v>
      </c>
      <c r="B312" t="s">
        <v>1111</v>
      </c>
      <c r="C312" t="s">
        <v>2398</v>
      </c>
      <c r="D312">
        <v>25</v>
      </c>
      <c r="E312">
        <v>25</v>
      </c>
      <c r="F312">
        <v>0</v>
      </c>
      <c r="G312">
        <v>7.2000000000000002E-5</v>
      </c>
      <c r="H312">
        <v>50.0859375</v>
      </c>
      <c r="J312">
        <v>-5476</v>
      </c>
      <c r="N312" t="s">
        <v>175</v>
      </c>
      <c r="O312">
        <f t="shared" si="12"/>
        <v>50.002880000000005</v>
      </c>
      <c r="P312">
        <f t="shared" si="13"/>
        <v>0.10382187499999418</v>
      </c>
      <c r="Q312">
        <f t="shared" si="14"/>
        <v>0.10382187499999418</v>
      </c>
      <c r="Y312">
        <f>TREND(H310:H314,G310:G314,G312)</f>
        <v>50.133492262764712</v>
      </c>
      <c r="Z312">
        <f>ABS((Y312-H312)/80*100)</f>
        <v>5.9443453455889639E-2</v>
      </c>
      <c r="AH312">
        <f>H312-AG254</f>
        <v>49.812874999999998</v>
      </c>
      <c r="AI312">
        <f>100*(AH312-O312)/80</f>
        <v>-0.23750625000000802</v>
      </c>
    </row>
    <row r="313" spans="1:41" x14ac:dyDescent="0.35">
      <c r="A313" t="s">
        <v>239</v>
      </c>
      <c r="B313" t="s">
        <v>1111</v>
      </c>
      <c r="C313" t="s">
        <v>2435</v>
      </c>
      <c r="D313">
        <v>25</v>
      </c>
      <c r="E313">
        <v>25</v>
      </c>
      <c r="F313">
        <v>0.5</v>
      </c>
      <c r="G313">
        <v>0.49969400000000003</v>
      </c>
      <c r="H313">
        <v>70.214062499999997</v>
      </c>
      <c r="J313">
        <v>-5528</v>
      </c>
      <c r="N313" t="s">
        <v>175</v>
      </c>
      <c r="O313">
        <f t="shared" si="12"/>
        <v>69.987760000000009</v>
      </c>
      <c r="P313">
        <f t="shared" si="13"/>
        <v>0.28287812499998566</v>
      </c>
      <c r="Q313">
        <f t="shared" si="14"/>
        <v>0.28287812499998566</v>
      </c>
      <c r="Y313">
        <f>TREND(H310:H314,G310:G314,G313)</f>
        <v>70.197088598148383</v>
      </c>
      <c r="Z313">
        <f>ABS((Y313-H313)/80*100)</f>
        <v>2.1217377314517449E-2</v>
      </c>
      <c r="AH313">
        <f>H313-AG254</f>
        <v>69.941000000000003</v>
      </c>
      <c r="AI313">
        <f>100*(AH313-O313)/80</f>
        <v>-5.8450000000007662E-2</v>
      </c>
    </row>
    <row r="314" spans="1:41" x14ac:dyDescent="0.35">
      <c r="A314" t="s">
        <v>239</v>
      </c>
      <c r="B314" t="s">
        <v>1111</v>
      </c>
      <c r="C314" t="s">
        <v>2472</v>
      </c>
      <c r="D314">
        <v>25</v>
      </c>
      <c r="E314">
        <v>25</v>
      </c>
      <c r="F314">
        <v>1</v>
      </c>
      <c r="G314">
        <v>1.000032</v>
      </c>
      <c r="H314">
        <v>90.332812500000003</v>
      </c>
      <c r="J314">
        <v>-5581</v>
      </c>
      <c r="N314" t="s">
        <v>175</v>
      </c>
      <c r="O314">
        <f t="shared" si="12"/>
        <v>90.001280000000008</v>
      </c>
      <c r="P314">
        <f t="shared" si="13"/>
        <v>0.41441562499999307</v>
      </c>
      <c r="Q314">
        <f t="shared" si="14"/>
        <v>0.41441562499999307</v>
      </c>
      <c r="Y314">
        <f>TREND(H310:H314,G310:G314,G314)</f>
        <v>90.289437740606459</v>
      </c>
      <c r="Z314">
        <f>ABS((Y314-H314)/80*100)</f>
        <v>5.4218449241929534E-2</v>
      </c>
      <c r="AH314">
        <f>H314-AG254</f>
        <v>90.059750000000008</v>
      </c>
      <c r="AI314">
        <f>100*(AH314-O314)/80</f>
        <v>7.308749999999975E-2</v>
      </c>
    </row>
    <row r="315" spans="1:41" x14ac:dyDescent="0.35">
      <c r="A315" t="s">
        <v>239</v>
      </c>
      <c r="B315" t="s">
        <v>1111</v>
      </c>
      <c r="C315" t="s">
        <v>2508</v>
      </c>
      <c r="D315">
        <v>25</v>
      </c>
      <c r="E315">
        <v>25</v>
      </c>
      <c r="F315">
        <v>0</v>
      </c>
      <c r="G315">
        <v>1.26E-4</v>
      </c>
      <c r="H315">
        <v>50.15</v>
      </c>
      <c r="J315">
        <v>-5628</v>
      </c>
      <c r="N315" t="s">
        <v>175</v>
      </c>
      <c r="O315">
        <f t="shared" si="12"/>
        <v>50.005040000000001</v>
      </c>
      <c r="P315">
        <f t="shared" si="13"/>
        <v>0.18119999999999692</v>
      </c>
      <c r="Q315">
        <f t="shared" si="14"/>
        <v>0.18119999999999692</v>
      </c>
      <c r="Y315">
        <f>TREND(H310:H314,G310:G314,G315)</f>
        <v>50.135660770560833</v>
      </c>
      <c r="Z315">
        <f>ABS((Y315-H315)/80*100)</f>
        <v>1.7924036798957488E-2</v>
      </c>
      <c r="AH315">
        <f>H315-AG254</f>
        <v>49.876937499999997</v>
      </c>
      <c r="AI315">
        <f>100*(AH315-O315)/80</f>
        <v>-0.16012812500000528</v>
      </c>
    </row>
    <row r="316" spans="1:41" x14ac:dyDescent="0.35">
      <c r="A316" t="s">
        <v>239</v>
      </c>
      <c r="B316" t="s">
        <v>1111</v>
      </c>
      <c r="C316" t="s">
        <v>2543</v>
      </c>
      <c r="D316">
        <v>25</v>
      </c>
      <c r="E316">
        <v>25</v>
      </c>
      <c r="F316">
        <v>-1</v>
      </c>
      <c r="G316">
        <v>-1.0000230000000001</v>
      </c>
      <c r="H316">
        <v>10.073437500000001</v>
      </c>
      <c r="J316">
        <v>-5673</v>
      </c>
      <c r="N316" t="s">
        <v>175</v>
      </c>
      <c r="O316">
        <f t="shared" si="12"/>
        <v>9.9990799999999957</v>
      </c>
      <c r="P316">
        <f t="shared" si="13"/>
        <v>9.2946875000006202E-2</v>
      </c>
      <c r="Q316">
        <f t="shared" si="14"/>
        <v>9.2946875000006202E-2</v>
      </c>
      <c r="Y316">
        <f>TREND(H310:H314,G310:G314,G316)</f>
        <v>9.9721255154326727</v>
      </c>
      <c r="Z316">
        <f>ABS((Y316-H316)/80*100)</f>
        <v>0.12663998070916005</v>
      </c>
      <c r="AH316">
        <f>H316-AG254</f>
        <v>9.8003749999999989</v>
      </c>
      <c r="AI316">
        <f>100*(AH316-O316)/80</f>
        <v>-0.248381249999996</v>
      </c>
    </row>
    <row r="317" spans="1:41" x14ac:dyDescent="0.35">
      <c r="A317" t="s">
        <v>241</v>
      </c>
      <c r="B317" t="s">
        <v>231</v>
      </c>
      <c r="C317" t="s">
        <v>242</v>
      </c>
      <c r="D317">
        <v>25</v>
      </c>
      <c r="E317">
        <v>25</v>
      </c>
      <c r="F317">
        <v>-1</v>
      </c>
      <c r="G317">
        <v>-1.00004</v>
      </c>
      <c r="H317">
        <v>10.089062500000001</v>
      </c>
      <c r="J317">
        <v>-6248</v>
      </c>
      <c r="N317" t="s">
        <v>176</v>
      </c>
      <c r="O317">
        <f t="shared" si="12"/>
        <v>9.9983999999999984</v>
      </c>
      <c r="P317">
        <f t="shared" si="13"/>
        <v>0.11332812500000289</v>
      </c>
      <c r="Q317">
        <f t="shared" si="14"/>
        <v>0.11332812500000289</v>
      </c>
      <c r="S317">
        <v>50.134374999999999</v>
      </c>
      <c r="T317">
        <v>0.18061874999999894</v>
      </c>
      <c r="U317">
        <v>90.337500000000006</v>
      </c>
      <c r="V317">
        <v>0.43112500000001219</v>
      </c>
      <c r="W317">
        <v>80.248439025878909</v>
      </c>
      <c r="X317">
        <f>(W317-80)/80*100</f>
        <v>0.31054878234863637</v>
      </c>
      <c r="Y317">
        <f>TREND(H317:H321,G317:G321,G317)</f>
        <v>10.02956403444319</v>
      </c>
      <c r="Z317">
        <f>ABS((Y317-H317)/80*100)</f>
        <v>7.4373081946013109E-2</v>
      </c>
      <c r="AA317">
        <f>MAX(Z317:Z321)</f>
        <v>7.6778456171906484E-2</v>
      </c>
      <c r="AB317">
        <f>IF(ABS(MAX(P317:P323)) &gt; ABS(MIN(P317:P323)),MAX(P317:P323), MIN(P317:P323))</f>
        <v>0.43112500000001219</v>
      </c>
      <c r="AC317">
        <f>IF(ABS(AB318)&gt;ABS(AB317),AB318,AB317)</f>
        <v>0.43112500000001219</v>
      </c>
      <c r="AD317">
        <f>MAX(AD318:AD319)</f>
        <v>8.4687500000002469E-2</v>
      </c>
      <c r="AE317">
        <f>MAX(AE318:AE338)</f>
        <v>0.39602187500000552</v>
      </c>
      <c r="AF317">
        <f>MAX(AD317,AA317)</f>
        <v>8.4687500000002469E-2</v>
      </c>
      <c r="AG317">
        <f>H319-O319</f>
        <v>0.14449499999999915</v>
      </c>
      <c r="AH317">
        <f>H317-AG317</f>
        <v>9.9445675000000016</v>
      </c>
      <c r="AI317">
        <f>100*(AH317-O317)/80</f>
        <v>-6.7290624999996052E-2</v>
      </c>
      <c r="AJ317">
        <v>49.989879999999999</v>
      </c>
      <c r="AK317">
        <v>0</v>
      </c>
      <c r="AL317">
        <v>90.193004999999999</v>
      </c>
      <c r="AM317">
        <v>0.25050625000000437</v>
      </c>
      <c r="AN317">
        <f>IF(ABS(MAX(AI317:AI323)) &gt; ABS(MIN(AI317:AI323)),MAX(AI317:AI323), MIN(AI317:AI323))</f>
        <v>0.25050625000000437</v>
      </c>
      <c r="AO317">
        <f>IF(ABS(AN318)&gt;ABS(AN317),AN318,AN317)</f>
        <v>0.25050625000000437</v>
      </c>
    </row>
    <row r="318" spans="1:41" x14ac:dyDescent="0.35">
      <c r="A318" t="s">
        <v>241</v>
      </c>
      <c r="B318" t="s">
        <v>231</v>
      </c>
      <c r="C318" t="s">
        <v>312</v>
      </c>
      <c r="D318">
        <v>25</v>
      </c>
      <c r="E318">
        <v>25</v>
      </c>
      <c r="F318">
        <v>-0.5</v>
      </c>
      <c r="G318">
        <v>-0.50066100000000002</v>
      </c>
      <c r="H318">
        <v>30.015625</v>
      </c>
      <c r="J318">
        <v>-6250</v>
      </c>
      <c r="N318" t="s">
        <v>176</v>
      </c>
      <c r="O318">
        <f t="shared" si="12"/>
        <v>29.973559999999999</v>
      </c>
      <c r="P318">
        <f t="shared" si="13"/>
        <v>5.2581250000001134E-2</v>
      </c>
      <c r="Q318">
        <f t="shared" si="14"/>
        <v>5.2581250000001134E-2</v>
      </c>
      <c r="Y318">
        <f>TREND(H317:H321,G317:G321,G318)</f>
        <v>30.077047764937525</v>
      </c>
      <c r="Z318">
        <f>ABS((Y318-H318)/80*100)</f>
        <v>7.6778456171906484E-2</v>
      </c>
      <c r="AB318">
        <f>IF(ABS(T317) &gt; ABS(V317),T317,V317)</f>
        <v>0.43112500000001219</v>
      </c>
      <c r="AD318">
        <f>ABS(P319-P322)</f>
        <v>3.3718750000000242E-2</v>
      </c>
      <c r="AE318">
        <f>ABS(P345-P317)</f>
        <v>0.18134687499999691</v>
      </c>
      <c r="AH318">
        <f>H318-AG317</f>
        <v>29.871130000000001</v>
      </c>
      <c r="AI318">
        <f>100*(AH318-O318)/80</f>
        <v>-0.12803749999999781</v>
      </c>
      <c r="AN318">
        <f>IF(ABS(AK317) &gt; ABS(AM317),AK317,AM317)</f>
        <v>0.25050625000000437</v>
      </c>
    </row>
    <row r="319" spans="1:41" x14ac:dyDescent="0.35">
      <c r="A319" t="s">
        <v>241</v>
      </c>
      <c r="B319" t="s">
        <v>231</v>
      </c>
      <c r="C319" t="s">
        <v>349</v>
      </c>
      <c r="D319">
        <v>25</v>
      </c>
      <c r="E319">
        <v>25</v>
      </c>
      <c r="F319">
        <v>0</v>
      </c>
      <c r="G319">
        <v>-2.5300000000000002E-4</v>
      </c>
      <c r="H319">
        <v>50.134374999999999</v>
      </c>
      <c r="J319">
        <v>-6254</v>
      </c>
      <c r="N319" t="s">
        <v>176</v>
      </c>
      <c r="O319">
        <f t="shared" si="12"/>
        <v>49.989879999999999</v>
      </c>
      <c r="P319">
        <f t="shared" si="13"/>
        <v>0.18061874999999894</v>
      </c>
      <c r="Q319">
        <f t="shared" si="14"/>
        <v>0.18061874999999894</v>
      </c>
      <c r="Y319">
        <f>TREND(H317:H321,G317:G321,G319)</f>
        <v>50.165840522761165</v>
      </c>
      <c r="Z319">
        <f>ABS((Y319-H319)/80*100)</f>
        <v>3.9331903451458317E-2</v>
      </c>
      <c r="AD319">
        <f>ABS(P317-P323)</f>
        <v>8.4687500000002469E-2</v>
      </c>
      <c r="AE319">
        <f>ABS(P346-P318)</f>
        <v>0.17480312500000039</v>
      </c>
      <c r="AH319">
        <f>H319-AG317</f>
        <v>49.989879999999999</v>
      </c>
      <c r="AI319">
        <f>100*(AH319-O319)/80</f>
        <v>0</v>
      </c>
    </row>
    <row r="320" spans="1:41" x14ac:dyDescent="0.35">
      <c r="A320" t="s">
        <v>241</v>
      </c>
      <c r="B320" t="s">
        <v>231</v>
      </c>
      <c r="C320" t="s">
        <v>386</v>
      </c>
      <c r="D320">
        <v>25</v>
      </c>
      <c r="E320">
        <v>25</v>
      </c>
      <c r="F320">
        <v>0.5</v>
      </c>
      <c r="G320">
        <v>0.49992500000000001</v>
      </c>
      <c r="H320">
        <v>70.254687500000003</v>
      </c>
      <c r="J320">
        <v>-6254</v>
      </c>
      <c r="N320" t="s">
        <v>176</v>
      </c>
      <c r="O320">
        <f t="shared" si="12"/>
        <v>69.997</v>
      </c>
      <c r="P320">
        <f t="shared" si="13"/>
        <v>0.32210937500000369</v>
      </c>
      <c r="Q320">
        <f t="shared" si="14"/>
        <v>0.32210937500000369</v>
      </c>
      <c r="Y320">
        <f>TREND(H317:H321,G317:G321,G320)</f>
        <v>70.245399970297399</v>
      </c>
      <c r="Z320">
        <f>ABS((Y320-H320)/80*100)</f>
        <v>1.1609412128255059E-2</v>
      </c>
      <c r="AE320">
        <f>ABS(P347-P319)</f>
        <v>8.6343749999997499E-2</v>
      </c>
      <c r="AH320">
        <f>H320-AG317</f>
        <v>70.110192500000011</v>
      </c>
      <c r="AI320">
        <f>100*(AH320-O320)/80</f>
        <v>0.14149062500001364</v>
      </c>
    </row>
    <row r="321" spans="1:41" x14ac:dyDescent="0.35">
      <c r="A321" t="s">
        <v>241</v>
      </c>
      <c r="B321" t="s">
        <v>231</v>
      </c>
      <c r="C321" t="s">
        <v>423</v>
      </c>
      <c r="D321">
        <v>25</v>
      </c>
      <c r="E321">
        <v>25</v>
      </c>
      <c r="F321">
        <v>1</v>
      </c>
      <c r="G321">
        <v>0.99981500000000001</v>
      </c>
      <c r="H321">
        <v>90.337500000000006</v>
      </c>
      <c r="J321">
        <v>-6250</v>
      </c>
      <c r="N321" t="s">
        <v>176</v>
      </c>
      <c r="O321">
        <f t="shared" si="12"/>
        <v>89.992599999999996</v>
      </c>
      <c r="P321">
        <f t="shared" si="13"/>
        <v>0.43112500000001219</v>
      </c>
      <c r="Q321">
        <f t="shared" si="14"/>
        <v>0.43112500000001219</v>
      </c>
      <c r="Y321">
        <f>TREND(H317:H321,G317:G321,G321)</f>
        <v>90.313397707560711</v>
      </c>
      <c r="Z321">
        <f>ABS((Y321-H321)/80*100)</f>
        <v>3.0127865549118837E-2</v>
      </c>
      <c r="AE321">
        <f>ABS(P348-P320)</f>
        <v>0.18387812499998546</v>
      </c>
      <c r="AH321">
        <f>H321-AG317</f>
        <v>90.193004999999999</v>
      </c>
      <c r="AI321">
        <f>100*(AH321-O321)/80</f>
        <v>0.25050625000000437</v>
      </c>
    </row>
    <row r="322" spans="1:41" x14ac:dyDescent="0.35">
      <c r="A322" t="s">
        <v>241</v>
      </c>
      <c r="B322" t="s">
        <v>231</v>
      </c>
      <c r="C322" t="s">
        <v>460</v>
      </c>
      <c r="D322">
        <v>25</v>
      </c>
      <c r="E322">
        <v>25</v>
      </c>
      <c r="F322">
        <v>0</v>
      </c>
      <c r="G322">
        <v>1.8699999999999999E-4</v>
      </c>
      <c r="H322">
        <v>50.125</v>
      </c>
      <c r="J322">
        <v>-6257</v>
      </c>
      <c r="N322" t="s">
        <v>176</v>
      </c>
      <c r="O322">
        <f t="shared" si="12"/>
        <v>50.007480000000001</v>
      </c>
      <c r="P322">
        <f t="shared" si="13"/>
        <v>0.1468999999999987</v>
      </c>
      <c r="Q322">
        <f t="shared" si="14"/>
        <v>0.1468999999999987</v>
      </c>
      <c r="Y322">
        <f>TREND(H317:H321,G317:G321,G322)</f>
        <v>50.183504246789241</v>
      </c>
      <c r="Z322">
        <f>ABS((Y322-H322)/80*100)</f>
        <v>7.3130308486550888E-2</v>
      </c>
      <c r="AE322">
        <f>ABS(P349-P321)</f>
        <v>1.4750000000063324E-3</v>
      </c>
      <c r="AH322">
        <f>H322-AG317</f>
        <v>49.980505000000001</v>
      </c>
      <c r="AI322">
        <f>100*(AH322-O322)/80</f>
        <v>-3.3718750000000242E-2</v>
      </c>
    </row>
    <row r="323" spans="1:41" x14ac:dyDescent="0.35">
      <c r="A323" t="s">
        <v>241</v>
      </c>
      <c r="B323" t="s">
        <v>231</v>
      </c>
      <c r="C323" t="s">
        <v>497</v>
      </c>
      <c r="D323">
        <v>25</v>
      </c>
      <c r="E323">
        <v>25</v>
      </c>
      <c r="F323">
        <v>-1</v>
      </c>
      <c r="G323">
        <v>-1.0000150000000001</v>
      </c>
      <c r="H323">
        <v>10.1578125</v>
      </c>
      <c r="J323">
        <v>-6252</v>
      </c>
      <c r="N323" t="s">
        <v>176</v>
      </c>
      <c r="O323">
        <f t="shared" si="12"/>
        <v>9.9993999999999961</v>
      </c>
      <c r="P323">
        <f t="shared" si="13"/>
        <v>0.19801562500000536</v>
      </c>
      <c r="Q323">
        <f t="shared" si="14"/>
        <v>0.19801562500000536</v>
      </c>
      <c r="Y323">
        <f>TREND(H317:H321,G317:G321,G323)</f>
        <v>10.030567655126596</v>
      </c>
      <c r="Z323">
        <f>ABS((Y323-H323)/80*100)</f>
        <v>0.15905605609175533</v>
      </c>
      <c r="AE323">
        <f>ABS(P350-P322)</f>
        <v>0.14482187499999633</v>
      </c>
      <c r="AH323">
        <f>H323-AG317</f>
        <v>10.013317500000001</v>
      </c>
      <c r="AI323">
        <f>100*(AH323-O323)/80</f>
        <v>1.7396875000006418E-2</v>
      </c>
    </row>
    <row r="324" spans="1:41" x14ac:dyDescent="0.35">
      <c r="A324" t="s">
        <v>241</v>
      </c>
      <c r="B324" t="s">
        <v>231</v>
      </c>
      <c r="C324" t="s">
        <v>534</v>
      </c>
      <c r="D324">
        <v>-20</v>
      </c>
      <c r="E324">
        <v>-20</v>
      </c>
      <c r="F324">
        <v>-1</v>
      </c>
      <c r="G324">
        <v>-1.0000789999999999</v>
      </c>
      <c r="H324">
        <v>10.1703125</v>
      </c>
      <c r="J324">
        <v>-23818</v>
      </c>
      <c r="N324" t="s">
        <v>176</v>
      </c>
      <c r="O324">
        <f t="shared" si="12"/>
        <v>9.9968400000000024</v>
      </c>
      <c r="P324">
        <f t="shared" si="13"/>
        <v>0.21684062499999657</v>
      </c>
      <c r="Q324">
        <f t="shared" si="14"/>
        <v>0.21684062499999657</v>
      </c>
      <c r="S324">
        <v>50.1875</v>
      </c>
      <c r="T324">
        <v>0.22557500000000452</v>
      </c>
      <c r="U324">
        <v>90.340625000000003</v>
      </c>
      <c r="V324">
        <v>0.42998125000000442</v>
      </c>
      <c r="W324">
        <v>80.170309448242193</v>
      </c>
      <c r="X324">
        <f>(W324-80)/80*100</f>
        <v>0.21288681030274145</v>
      </c>
      <c r="Y324">
        <f>TREND(H324:H328,G324:G328,G324)</f>
        <v>10.144017351181375</v>
      </c>
      <c r="Z324">
        <f>ABS((Y324-H324)/80*100)</f>
        <v>3.2868936023280337E-2</v>
      </c>
      <c r="AA324">
        <f>MAX(Z324:Z328)</f>
        <v>0.20285544144954315</v>
      </c>
      <c r="AB324">
        <f>IF(ABS(MAX(P324:P330)) &gt; ABS(MIN(P324:P330)),MAX(P324:P330), MIN(P324:P330))</f>
        <v>0.63375625000000824</v>
      </c>
      <c r="AC324">
        <f>IF(ABS(AB325)&gt;ABS(AB324),AB325,AB324)</f>
        <v>0.63375625000000824</v>
      </c>
      <c r="AE324">
        <f>ABS(P351-P323)</f>
        <v>0.15082812499999765</v>
      </c>
      <c r="AH324">
        <f>H324-AG317</f>
        <v>10.0258175</v>
      </c>
      <c r="AI324">
        <f>100*(AH324-O324)/80</f>
        <v>3.6221874999997627E-2</v>
      </c>
      <c r="AJ324">
        <v>50.043005000000001</v>
      </c>
      <c r="AK324">
        <v>4.4956250000005582E-2</v>
      </c>
      <c r="AL324">
        <v>90.196130000000011</v>
      </c>
      <c r="AM324">
        <v>0.24936250000001436</v>
      </c>
      <c r="AN324">
        <f>IF(ABS(MAX(AI324:AI330)) &gt; ABS(MIN(AI324:AI330)),MAX(AI324:AI330), MIN(AI324:AI330))</f>
        <v>0.45313750000001818</v>
      </c>
      <c r="AO324">
        <f>IF(ABS(AN325)&gt;ABS(AN324),AN325,AN324)</f>
        <v>0.45313750000001818</v>
      </c>
    </row>
    <row r="325" spans="1:41" x14ac:dyDescent="0.35">
      <c r="A325" t="s">
        <v>241</v>
      </c>
      <c r="B325" t="s">
        <v>231</v>
      </c>
      <c r="C325" t="s">
        <v>571</v>
      </c>
      <c r="D325">
        <v>-20</v>
      </c>
      <c r="E325">
        <v>-20.100000000000001</v>
      </c>
      <c r="F325">
        <v>-0.5</v>
      </c>
      <c r="G325">
        <v>-0.49981599999999998</v>
      </c>
      <c r="H325">
        <v>30.196874999999999</v>
      </c>
      <c r="J325">
        <v>-23867</v>
      </c>
      <c r="N325" t="s">
        <v>176</v>
      </c>
      <c r="O325">
        <f t="shared" si="12"/>
        <v>30.007359999999998</v>
      </c>
      <c r="P325">
        <f t="shared" si="13"/>
        <v>0.23689375000000013</v>
      </c>
      <c r="Q325">
        <f t="shared" si="14"/>
        <v>0.23689375000000013</v>
      </c>
      <c r="Y325">
        <f>TREND(H324:H328,G324:G328,G325)</f>
        <v>30.220420542923847</v>
      </c>
      <c r="Z325">
        <f>ABS((Y325-H325)/80*100)</f>
        <v>2.9431928654810591E-2</v>
      </c>
      <c r="AB325">
        <f>IF(ABS(T324) &gt; ABS(V324),T324,V324)</f>
        <v>0.42998125000000442</v>
      </c>
      <c r="AE325">
        <f>ABS(P373-P317)</f>
        <v>0.12440000000000673</v>
      </c>
      <c r="AH325">
        <f>H325-AG317</f>
        <v>30.052379999999999</v>
      </c>
      <c r="AI325">
        <f>100*(AH325-O325)/80</f>
        <v>5.6275000000001185E-2</v>
      </c>
      <c r="AN325">
        <f>IF(ABS(AK324) &gt; ABS(AM324),AK324,AM324)</f>
        <v>0.24936250000001436</v>
      </c>
    </row>
    <row r="326" spans="1:41" x14ac:dyDescent="0.35">
      <c r="A326" t="s">
        <v>241</v>
      </c>
      <c r="B326" t="s">
        <v>231</v>
      </c>
      <c r="C326" t="s">
        <v>607</v>
      </c>
      <c r="D326">
        <v>-20</v>
      </c>
      <c r="E326">
        <v>-19.899999999999999</v>
      </c>
      <c r="F326">
        <v>0</v>
      </c>
      <c r="G326">
        <v>1.76E-4</v>
      </c>
      <c r="H326">
        <v>50.1875</v>
      </c>
      <c r="J326">
        <v>-23900</v>
      </c>
      <c r="N326" t="s">
        <v>176</v>
      </c>
      <c r="O326">
        <f t="shared" si="12"/>
        <v>50.007039999999996</v>
      </c>
      <c r="P326">
        <f t="shared" si="13"/>
        <v>0.22557500000000452</v>
      </c>
      <c r="Q326">
        <f t="shared" si="14"/>
        <v>0.22557500000000452</v>
      </c>
      <c r="Y326">
        <f>TREND(H324:H328,G324:G328,G326)</f>
        <v>50.28594804474929</v>
      </c>
      <c r="Z326">
        <f>ABS((Y326-H326)/80*100)</f>
        <v>0.1230600559366124</v>
      </c>
      <c r="AE326">
        <f>ABS(P374-P318)</f>
        <v>0.16999062500000495</v>
      </c>
      <c r="AH326">
        <f>H326-AG317</f>
        <v>50.043005000000001</v>
      </c>
      <c r="AI326">
        <f>100*(AH326-O326)/80</f>
        <v>4.4956250000005582E-2</v>
      </c>
    </row>
    <row r="327" spans="1:41" x14ac:dyDescent="0.35">
      <c r="A327" t="s">
        <v>241</v>
      </c>
      <c r="B327" t="s">
        <v>231</v>
      </c>
      <c r="C327" t="s">
        <v>643</v>
      </c>
      <c r="D327">
        <v>-20</v>
      </c>
      <c r="E327">
        <v>-20.100000000000001</v>
      </c>
      <c r="F327">
        <v>0.5</v>
      </c>
      <c r="G327">
        <v>0.49990299999999999</v>
      </c>
      <c r="H327">
        <v>70.503124999999997</v>
      </c>
      <c r="J327">
        <v>-23939</v>
      </c>
      <c r="N327" t="s">
        <v>176</v>
      </c>
      <c r="O327">
        <f t="shared" si="12"/>
        <v>69.996119999999991</v>
      </c>
      <c r="P327">
        <f t="shared" si="13"/>
        <v>0.63375625000000824</v>
      </c>
      <c r="Q327">
        <f t="shared" si="14"/>
        <v>0.63375625000000824</v>
      </c>
      <c r="Y327">
        <f>TREND(H324:H328,G324:G328,G327)</f>
        <v>70.340840646840363</v>
      </c>
      <c r="Z327">
        <f>ABS((Y327-H327)/80*100)</f>
        <v>0.20285544144954315</v>
      </c>
      <c r="AE327">
        <f>ABS(P375-P319)</f>
        <v>5.6962499999997362E-2</v>
      </c>
      <c r="AH327">
        <f>H327-AG317</f>
        <v>70.358630000000005</v>
      </c>
      <c r="AI327">
        <f>100*(AH327-O327)/80</f>
        <v>0.45313750000001818</v>
      </c>
    </row>
    <row r="328" spans="1:41" x14ac:dyDescent="0.35">
      <c r="A328" t="s">
        <v>241</v>
      </c>
      <c r="B328" t="s">
        <v>231</v>
      </c>
      <c r="C328" t="s">
        <v>680</v>
      </c>
      <c r="D328">
        <v>-20</v>
      </c>
      <c r="E328">
        <v>-19.899999999999999</v>
      </c>
      <c r="F328">
        <v>1</v>
      </c>
      <c r="G328">
        <v>0.99991600000000003</v>
      </c>
      <c r="H328">
        <v>90.340625000000003</v>
      </c>
      <c r="J328">
        <v>-23969</v>
      </c>
      <c r="N328" t="s">
        <v>176</v>
      </c>
      <c r="O328">
        <f t="shared" si="12"/>
        <v>89.996639999999999</v>
      </c>
      <c r="P328">
        <f t="shared" si="13"/>
        <v>0.42998125000000442</v>
      </c>
      <c r="Q328">
        <f t="shared" si="14"/>
        <v>0.42998125000000442</v>
      </c>
      <c r="Y328">
        <f>TREND(H324:H328,G324:G328,G328)</f>
        <v>90.407210914305139</v>
      </c>
      <c r="Z328">
        <f>ABS((Y328-H328)/80*100)</f>
        <v>8.3232392881420481E-2</v>
      </c>
      <c r="AE328">
        <f>ABS(P376-P320)</f>
        <v>0.1633750000000056</v>
      </c>
      <c r="AH328">
        <f>H328-AG317</f>
        <v>90.196130000000011</v>
      </c>
      <c r="AI328">
        <f>100*(AH328-O328)/80</f>
        <v>0.24936250000001436</v>
      </c>
    </row>
    <row r="329" spans="1:41" x14ac:dyDescent="0.35">
      <c r="A329" t="s">
        <v>241</v>
      </c>
      <c r="B329" t="s">
        <v>231</v>
      </c>
      <c r="C329" t="s">
        <v>716</v>
      </c>
      <c r="D329">
        <v>-20</v>
      </c>
      <c r="E329">
        <v>-20</v>
      </c>
      <c r="F329">
        <v>0</v>
      </c>
      <c r="G329">
        <v>-4.1599999999999997E-4</v>
      </c>
      <c r="H329">
        <v>50.381250000000001</v>
      </c>
      <c r="J329">
        <v>-23993</v>
      </c>
      <c r="N329" t="s">
        <v>176</v>
      </c>
      <c r="O329">
        <f t="shared" ref="O329:O392" si="15">(((G329--1)*(40))+10)</f>
        <v>49.983360000000005</v>
      </c>
      <c r="P329">
        <f t="shared" ref="P329:P392" si="16">100*(H329-O329)/80</f>
        <v>0.49736249999999593</v>
      </c>
      <c r="Q329">
        <f t="shared" ref="Q329:Q392" si="17">ABS(P329)</f>
        <v>0.49736249999999593</v>
      </c>
      <c r="Y329">
        <f>TREND(H324:H328,G324:G328,G329)</f>
        <v>50.262190080059689</v>
      </c>
      <c r="Z329">
        <f>ABS((Y329-H329)/80*100)</f>
        <v>0.1488248999253905</v>
      </c>
      <c r="AE329">
        <f>ABS(P377-P321)</f>
        <v>0.16974687500001195</v>
      </c>
      <c r="AH329">
        <f>H329-AG317</f>
        <v>50.236755000000002</v>
      </c>
      <c r="AI329">
        <f>100*(AH329-O329)/80</f>
        <v>0.31674374999999699</v>
      </c>
    </row>
    <row r="330" spans="1:41" x14ac:dyDescent="0.35">
      <c r="A330" t="s">
        <v>241</v>
      </c>
      <c r="B330" t="s">
        <v>231</v>
      </c>
      <c r="C330" t="s">
        <v>752</v>
      </c>
      <c r="D330">
        <v>-20</v>
      </c>
      <c r="E330">
        <v>-20</v>
      </c>
      <c r="F330">
        <v>-1</v>
      </c>
      <c r="G330">
        <v>-0.99986399999999998</v>
      </c>
      <c r="H330">
        <v>10.214062500000001</v>
      </c>
      <c r="J330">
        <v>-24010</v>
      </c>
      <c r="N330" t="s">
        <v>176</v>
      </c>
      <c r="O330">
        <f t="shared" si="15"/>
        <v>10.00544</v>
      </c>
      <c r="P330">
        <f t="shared" si="16"/>
        <v>0.26077812500000075</v>
      </c>
      <c r="Q330">
        <f t="shared" si="17"/>
        <v>0.26077812500000075</v>
      </c>
      <c r="Y330">
        <f>TREND(H324:H328,G324:G328,G330)</f>
        <v>10.152645666060195</v>
      </c>
      <c r="Z330">
        <f>ABS((Y330-H330)/80*100)</f>
        <v>7.6771042424756963E-2</v>
      </c>
      <c r="AE330">
        <f>ABS(P378-P322)</f>
        <v>0.17503437499999386</v>
      </c>
      <c r="AH330">
        <f>H330-AG317</f>
        <v>10.069567500000002</v>
      </c>
      <c r="AI330">
        <f>100*(AH330-O330)/80</f>
        <v>8.0159375000001809E-2</v>
      </c>
    </row>
    <row r="331" spans="1:41" x14ac:dyDescent="0.35">
      <c r="A331" t="s">
        <v>241</v>
      </c>
      <c r="B331" t="s">
        <v>231</v>
      </c>
      <c r="C331" t="s">
        <v>789</v>
      </c>
      <c r="D331">
        <v>0</v>
      </c>
      <c r="E331">
        <v>0</v>
      </c>
      <c r="F331">
        <v>-1</v>
      </c>
      <c r="G331">
        <v>-1.0001800000000001</v>
      </c>
      <c r="H331">
        <v>10.271875</v>
      </c>
      <c r="J331">
        <v>-16844</v>
      </c>
      <c r="N331" t="s">
        <v>176</v>
      </c>
      <c r="O331">
        <f t="shared" si="15"/>
        <v>9.9927999999999972</v>
      </c>
      <c r="P331">
        <f t="shared" si="16"/>
        <v>0.34884375000000301</v>
      </c>
      <c r="Q331">
        <f t="shared" si="17"/>
        <v>0.34884375000000301</v>
      </c>
      <c r="S331">
        <v>50.342187500000001</v>
      </c>
      <c r="T331">
        <v>0.44653437500000059</v>
      </c>
      <c r="U331">
        <v>90.384375000000006</v>
      </c>
      <c r="V331">
        <v>0.46171875000000639</v>
      </c>
      <c r="W331">
        <v>80.112501525878912</v>
      </c>
      <c r="X331">
        <f>(W331-80)/80*100</f>
        <v>0.14062690734863992</v>
      </c>
      <c r="Y331">
        <f>TREND(H331:H335,G331:G335,G331)</f>
        <v>10.258720056407405</v>
      </c>
      <c r="Z331">
        <f>ABS((Y331-H331)/80*100)</f>
        <v>1.6443679490742991E-2</v>
      </c>
      <c r="AA331">
        <f>MAX(Z331:Z335)</f>
        <v>0.10972646688815145</v>
      </c>
      <c r="AB331">
        <f>IF(ABS(MAX(P331:P337)) &gt; ABS(MIN(P331:P337)),MAX(P331:P337), MIN(P331:P337))</f>
        <v>0.59310312499999185</v>
      </c>
      <c r="AC331">
        <f>IF(ABS(AB332)&gt;ABS(AB331),AB332,AB331)</f>
        <v>0.59310312499999185</v>
      </c>
      <c r="AE331">
        <f>ABS(P379-P323)</f>
        <v>0.24519375000000787</v>
      </c>
      <c r="AH331">
        <f>H331-AG317</f>
        <v>10.12738</v>
      </c>
      <c r="AI331">
        <f>100*(AH331-O331)/80</f>
        <v>0.16822500000000407</v>
      </c>
      <c r="AJ331">
        <v>50.197692500000002</v>
      </c>
      <c r="AK331">
        <v>0.26591562500000165</v>
      </c>
      <c r="AL331">
        <v>90.239879999999999</v>
      </c>
      <c r="AM331">
        <v>0.28109999999999857</v>
      </c>
      <c r="AN331">
        <f>IF(ABS(MAX(AI331:AI337)) &gt; ABS(MIN(AI331:AI337)),MAX(AI331:AI337), MIN(AI331:AI337))</f>
        <v>0.41248437499998403</v>
      </c>
      <c r="AO331">
        <f>IF(ABS(AN332)&gt;ABS(AN331),AN332,AN331)</f>
        <v>0.41248437499998403</v>
      </c>
    </row>
    <row r="332" spans="1:41" x14ac:dyDescent="0.35">
      <c r="A332" t="s">
        <v>241</v>
      </c>
      <c r="B332" t="s">
        <v>231</v>
      </c>
      <c r="C332" t="s">
        <v>825</v>
      </c>
      <c r="D332">
        <v>0</v>
      </c>
      <c r="E332">
        <v>0.1</v>
      </c>
      <c r="F332">
        <v>-0.5</v>
      </c>
      <c r="G332">
        <v>-0.49989800000000001</v>
      </c>
      <c r="H332">
        <v>30.256250000000001</v>
      </c>
      <c r="J332">
        <v>-16848</v>
      </c>
      <c r="N332" t="s">
        <v>176</v>
      </c>
      <c r="O332">
        <f t="shared" si="15"/>
        <v>30.004080000000002</v>
      </c>
      <c r="P332">
        <f t="shared" si="16"/>
        <v>0.31521249999999945</v>
      </c>
      <c r="Q332">
        <f t="shared" si="17"/>
        <v>0.31521249999999945</v>
      </c>
      <c r="Y332">
        <f>TREND(H331:H335,G331:G335,G332)</f>
        <v>30.310293743592911</v>
      </c>
      <c r="Z332">
        <f>ABS((Y332-H332)/80*100)</f>
        <v>6.755467949113747E-2</v>
      </c>
      <c r="AB332">
        <f>IF(ABS(T331) &gt; ABS(V331),T331,V331)</f>
        <v>0.46171875000000639</v>
      </c>
      <c r="AE332">
        <f>ABS(P373-P345)</f>
        <v>0.30574687500000364</v>
      </c>
      <c r="AH332">
        <f>H332-AG317</f>
        <v>30.111755000000002</v>
      </c>
      <c r="AI332">
        <f>100*(AH332-O332)/80</f>
        <v>0.13459375000000051</v>
      </c>
      <c r="AN332">
        <f>IF(ABS(AK331) &gt; ABS(AM331),AK331,AM331)</f>
        <v>0.28109999999999857</v>
      </c>
    </row>
    <row r="333" spans="1:41" x14ac:dyDescent="0.35">
      <c r="A333" t="s">
        <v>241</v>
      </c>
      <c r="B333" t="s">
        <v>231</v>
      </c>
      <c r="C333" t="s">
        <v>861</v>
      </c>
      <c r="D333">
        <v>0</v>
      </c>
      <c r="E333">
        <v>0</v>
      </c>
      <c r="F333">
        <v>0</v>
      </c>
      <c r="G333">
        <v>-3.7599999999999998E-4</v>
      </c>
      <c r="H333">
        <v>50.342187500000001</v>
      </c>
      <c r="J333">
        <v>-16822</v>
      </c>
      <c r="N333" t="s">
        <v>176</v>
      </c>
      <c r="O333">
        <f t="shared" si="15"/>
        <v>49.984960000000001</v>
      </c>
      <c r="P333">
        <f t="shared" si="16"/>
        <v>0.44653437500000059</v>
      </c>
      <c r="Q333">
        <f t="shared" si="17"/>
        <v>0.44653437500000059</v>
      </c>
      <c r="Y333">
        <f>TREND(H331:H335,G331:G335,G333)</f>
        <v>50.331406218897399</v>
      </c>
      <c r="Z333">
        <f>ABS((Y333-H333)/80*100)</f>
        <v>1.3476601378252793E-2</v>
      </c>
      <c r="AE333">
        <f>ABS(P374-P346)</f>
        <v>0.34479375000000534</v>
      </c>
      <c r="AH333">
        <f>H333-AG317</f>
        <v>50.197692500000002</v>
      </c>
      <c r="AI333">
        <f>100*(AH333-O333)/80</f>
        <v>0.26591562500000165</v>
      </c>
    </row>
    <row r="334" spans="1:41" x14ac:dyDescent="0.35">
      <c r="A334" t="s">
        <v>241</v>
      </c>
      <c r="B334" t="s">
        <v>231</v>
      </c>
      <c r="C334" t="s">
        <v>898</v>
      </c>
      <c r="D334">
        <v>0</v>
      </c>
      <c r="E334">
        <v>0</v>
      </c>
      <c r="F334">
        <v>0.5</v>
      </c>
      <c r="G334">
        <v>0.49942700000000001</v>
      </c>
      <c r="H334">
        <v>70.451562499999994</v>
      </c>
      <c r="J334">
        <v>-16820</v>
      </c>
      <c r="N334" t="s">
        <v>176</v>
      </c>
      <c r="O334">
        <f t="shared" si="15"/>
        <v>69.977080000000001</v>
      </c>
      <c r="P334">
        <f t="shared" si="16"/>
        <v>0.59310312499999185</v>
      </c>
      <c r="Q334">
        <f t="shared" si="17"/>
        <v>0.59310312499999185</v>
      </c>
      <c r="Y334">
        <f>TREND(H331:H335,G331:G335,G334)</f>
        <v>70.363781326489473</v>
      </c>
      <c r="Z334">
        <f>ABS((Y334-H334)/80*100)</f>
        <v>0.10972646688815145</v>
      </c>
      <c r="AE334">
        <f>ABS(P375-P347)</f>
        <v>0.14330624999999486</v>
      </c>
      <c r="AH334">
        <f>H334-AG317</f>
        <v>70.307067499999988</v>
      </c>
      <c r="AI334">
        <f>100*(AH334-O334)/80</f>
        <v>0.41248437499998403</v>
      </c>
    </row>
    <row r="335" spans="1:41" x14ac:dyDescent="0.35">
      <c r="A335" t="s">
        <v>241</v>
      </c>
      <c r="B335" t="s">
        <v>231</v>
      </c>
      <c r="C335" t="s">
        <v>935</v>
      </c>
      <c r="D335">
        <v>0</v>
      </c>
      <c r="E335">
        <v>0.1</v>
      </c>
      <c r="F335">
        <v>1</v>
      </c>
      <c r="G335">
        <v>1.000375</v>
      </c>
      <c r="H335">
        <v>90.384375000000006</v>
      </c>
      <c r="J335">
        <v>-16794</v>
      </c>
      <c r="N335" t="s">
        <v>176</v>
      </c>
      <c r="O335">
        <f t="shared" si="15"/>
        <v>90.015000000000001</v>
      </c>
      <c r="P335">
        <f t="shared" si="16"/>
        <v>0.46171875000000639</v>
      </c>
      <c r="Q335">
        <f t="shared" si="17"/>
        <v>0.46171875000000639</v>
      </c>
      <c r="Y335">
        <f>TREND(H331:H335,G331:G335,G335)</f>
        <v>90.442048654612819</v>
      </c>
      <c r="Z335">
        <f>ABS((Y335-H335)/80*100)</f>
        <v>7.209206826601644E-2</v>
      </c>
      <c r="AE335">
        <f>ABS(P376-P348)</f>
        <v>0.34725312499999106</v>
      </c>
      <c r="AH335">
        <f>H335-AG317</f>
        <v>90.239879999999999</v>
      </c>
      <c r="AI335">
        <f>100*(AH335-O335)/80</f>
        <v>0.28109999999999857</v>
      </c>
    </row>
    <row r="336" spans="1:41" x14ac:dyDescent="0.35">
      <c r="A336" t="s">
        <v>241</v>
      </c>
      <c r="B336" t="s">
        <v>231</v>
      </c>
      <c r="C336" t="s">
        <v>971</v>
      </c>
      <c r="D336">
        <v>0</v>
      </c>
      <c r="E336">
        <v>-0.1</v>
      </c>
      <c r="F336">
        <v>0</v>
      </c>
      <c r="G336">
        <v>-2.24E-4</v>
      </c>
      <c r="H336">
        <v>50.284374999999997</v>
      </c>
      <c r="J336">
        <v>-16783</v>
      </c>
      <c r="N336" t="s">
        <v>176</v>
      </c>
      <c r="O336">
        <f t="shared" si="15"/>
        <v>49.991039999999998</v>
      </c>
      <c r="P336">
        <f t="shared" si="16"/>
        <v>0.36666874999999877</v>
      </c>
      <c r="Q336">
        <f t="shared" si="17"/>
        <v>0.36666874999999877</v>
      </c>
      <c r="Y336">
        <f>TREND(H331:H335,G331:G335,G336)</f>
        <v>50.337498461273604</v>
      </c>
      <c r="Z336">
        <f>ABS((Y336-H336)/80*100)</f>
        <v>6.64043265920089E-2</v>
      </c>
      <c r="AE336">
        <f>ABS(P377-P349)</f>
        <v>0.16827187500000562</v>
      </c>
      <c r="AH336">
        <f>H336-AG317</f>
        <v>50.139879999999998</v>
      </c>
      <c r="AI336">
        <f>100*(AH336-O336)/80</f>
        <v>0.18604999999999983</v>
      </c>
    </row>
    <row r="337" spans="1:41" x14ac:dyDescent="0.35">
      <c r="A337" t="s">
        <v>241</v>
      </c>
      <c r="B337" t="s">
        <v>231</v>
      </c>
      <c r="C337" t="s">
        <v>1007</v>
      </c>
      <c r="D337">
        <v>0</v>
      </c>
      <c r="E337">
        <v>0</v>
      </c>
      <c r="F337">
        <v>-1</v>
      </c>
      <c r="G337">
        <v>-1.0002139999999999</v>
      </c>
      <c r="H337">
        <v>10.259375</v>
      </c>
      <c r="J337">
        <v>-16740</v>
      </c>
      <c r="N337" t="s">
        <v>176</v>
      </c>
      <c r="O337">
        <f t="shared" si="15"/>
        <v>9.9914400000000025</v>
      </c>
      <c r="P337">
        <f t="shared" si="16"/>
        <v>0.33491874999999727</v>
      </c>
      <c r="Q337">
        <f t="shared" si="17"/>
        <v>0.33491874999999727</v>
      </c>
      <c r="Y337">
        <f>TREND(H331:H335,G331:G335,G337)</f>
        <v>10.257357317981153</v>
      </c>
      <c r="Z337">
        <f>ABS((Y337-H337)/80*100)</f>
        <v>2.522102523558889E-3</v>
      </c>
      <c r="AE337">
        <f>ABS(P378-P350)</f>
        <v>0.31985624999999018</v>
      </c>
      <c r="AH337">
        <f>H337-AG317</f>
        <v>10.114880000000001</v>
      </c>
      <c r="AI337">
        <f>100*(AH337-O337)/80</f>
        <v>0.15429999999999833</v>
      </c>
    </row>
    <row r="338" spans="1:41" x14ac:dyDescent="0.35">
      <c r="A338" t="s">
        <v>241</v>
      </c>
      <c r="B338" t="s">
        <v>231</v>
      </c>
      <c r="C338" t="s">
        <v>1043</v>
      </c>
      <c r="D338">
        <v>10</v>
      </c>
      <c r="E338">
        <v>10</v>
      </c>
      <c r="F338">
        <v>-1</v>
      </c>
      <c r="G338">
        <v>-1.0002070000000001</v>
      </c>
      <c r="H338">
        <v>10.259375</v>
      </c>
      <c r="J338">
        <v>-12436</v>
      </c>
      <c r="N338" t="s">
        <v>176</v>
      </c>
      <c r="O338">
        <f t="shared" si="15"/>
        <v>9.9917199999999973</v>
      </c>
      <c r="P338">
        <f t="shared" si="16"/>
        <v>0.33456875000000386</v>
      </c>
      <c r="Q338">
        <f t="shared" si="17"/>
        <v>0.33456875000000386</v>
      </c>
      <c r="S338">
        <v>50.278125000000003</v>
      </c>
      <c r="T338">
        <v>0.35240625000000136</v>
      </c>
      <c r="U338">
        <v>90.292187499999997</v>
      </c>
      <c r="V338">
        <v>0.38673437499999963</v>
      </c>
      <c r="W338">
        <v>80.032815551757807</v>
      </c>
      <c r="X338">
        <f>(W338-80)/80*100</f>
        <v>4.101943969725852E-2</v>
      </c>
      <c r="Y338">
        <f>TREND(H338:H342,G338:G342,G338)</f>
        <v>10.236827162299008</v>
      </c>
      <c r="Z338">
        <f>ABS((Y338-H338)/80*100)</f>
        <v>2.8184797126240557E-2</v>
      </c>
      <c r="AA338">
        <f>MAX(Z338:Z342)</f>
        <v>6.9511544376510415E-2</v>
      </c>
      <c r="AB338">
        <f>IF(ABS(MAX(P338:P344)) &gt; ABS(MIN(P338:P344)),MAX(P338:P344), MIN(P338:P344))</f>
        <v>0.46116875000000945</v>
      </c>
      <c r="AC338">
        <f>IF(ABS(AB339)&gt;ABS(AB338),AB339,AB338)</f>
        <v>0.46116875000000945</v>
      </c>
      <c r="AE338">
        <f>ABS(P379-P351)</f>
        <v>0.39602187500000552</v>
      </c>
      <c r="AH338">
        <f>H338-AG317</f>
        <v>10.114880000000001</v>
      </c>
      <c r="AI338">
        <f>100*(AH338-O338)/80</f>
        <v>0.15395000000000492</v>
      </c>
      <c r="AJ338">
        <v>50.133630000000004</v>
      </c>
      <c r="AK338">
        <v>0.17178750000000242</v>
      </c>
      <c r="AL338">
        <v>90.147692500000005</v>
      </c>
      <c r="AM338">
        <v>0.20611562500000957</v>
      </c>
      <c r="AN338">
        <f>IF(ABS(MAX(AI338:AI344)) &gt; ABS(MIN(AI338:AI344)),MAX(AI338:AI344), MIN(AI338:AI344))</f>
        <v>0.28055000000000163</v>
      </c>
      <c r="AO338">
        <f>IF(ABS(AN339)&gt;ABS(AN338),AN339,AN338)</f>
        <v>0.28055000000000163</v>
      </c>
    </row>
    <row r="339" spans="1:41" x14ac:dyDescent="0.35">
      <c r="A339" t="s">
        <v>241</v>
      </c>
      <c r="B339" t="s">
        <v>231</v>
      </c>
      <c r="C339" t="s">
        <v>1079</v>
      </c>
      <c r="D339">
        <v>10</v>
      </c>
      <c r="E339">
        <v>10</v>
      </c>
      <c r="F339">
        <v>-0.5</v>
      </c>
      <c r="G339">
        <v>-0.50019599999999997</v>
      </c>
      <c r="H339">
        <v>30.217187500000001</v>
      </c>
      <c r="J339">
        <v>-12421</v>
      </c>
      <c r="N339" t="s">
        <v>176</v>
      </c>
      <c r="O339">
        <f t="shared" si="15"/>
        <v>29.992160000000002</v>
      </c>
      <c r="P339">
        <f t="shared" si="16"/>
        <v>0.28128437499999936</v>
      </c>
      <c r="Q339">
        <f t="shared" si="17"/>
        <v>0.28128437499999936</v>
      </c>
      <c r="Y339">
        <f>TREND(H338:H342,G338:G342,G339)</f>
        <v>30.260007681766432</v>
      </c>
      <c r="Z339">
        <f>ABS((Y339-H339)/80*100)</f>
        <v>5.3525227208037762E-2</v>
      </c>
      <c r="AB339">
        <f>IF(ABS(T338) &gt; ABS(V338),T338,V338)</f>
        <v>0.38673437499999963</v>
      </c>
      <c r="AH339">
        <f>H339-AG317</f>
        <v>30.072692500000002</v>
      </c>
      <c r="AI339">
        <f>100*(AH339-O339)/80</f>
        <v>0.10066562500000042</v>
      </c>
      <c r="AN339">
        <f>IF(ABS(AK338) &gt; ABS(AM338),AK338,AM338)</f>
        <v>0.20611562500000957</v>
      </c>
    </row>
    <row r="340" spans="1:41" x14ac:dyDescent="0.35">
      <c r="A340" t="s">
        <v>241</v>
      </c>
      <c r="B340" t="s">
        <v>1111</v>
      </c>
      <c r="C340" t="s">
        <v>1117</v>
      </c>
      <c r="D340">
        <v>10</v>
      </c>
      <c r="E340">
        <v>10</v>
      </c>
      <c r="F340">
        <v>0</v>
      </c>
      <c r="G340">
        <v>-9.5000000000000005E-5</v>
      </c>
      <c r="H340">
        <v>50.278125000000003</v>
      </c>
      <c r="J340">
        <v>-12403</v>
      </c>
      <c r="N340" t="s">
        <v>176</v>
      </c>
      <c r="O340">
        <f t="shared" si="15"/>
        <v>49.996200000000002</v>
      </c>
      <c r="P340">
        <f t="shared" si="16"/>
        <v>0.35240625000000136</v>
      </c>
      <c r="Q340">
        <f t="shared" si="17"/>
        <v>0.35240625000000136</v>
      </c>
      <c r="Y340">
        <f>TREND(H338:H342,G338:G342,G340)</f>
        <v>50.286792294437312</v>
      </c>
      <c r="Z340">
        <f>ABS((Y340-H340)/80*100)</f>
        <v>1.0834118046636476E-2</v>
      </c>
      <c r="AH340">
        <f>H340-AG317</f>
        <v>50.133630000000004</v>
      </c>
      <c r="AI340">
        <f>100*(AH340-O340)/80</f>
        <v>0.17178750000000242</v>
      </c>
    </row>
    <row r="341" spans="1:41" x14ac:dyDescent="0.35">
      <c r="A341" t="s">
        <v>241</v>
      </c>
      <c r="B341" t="s">
        <v>1111</v>
      </c>
      <c r="C341" t="s">
        <v>1154</v>
      </c>
      <c r="D341">
        <v>10</v>
      </c>
      <c r="E341">
        <v>10</v>
      </c>
      <c r="F341">
        <v>0.5</v>
      </c>
      <c r="G341">
        <v>0.49976100000000001</v>
      </c>
      <c r="H341">
        <v>70.359375</v>
      </c>
      <c r="J341">
        <v>-12401</v>
      </c>
      <c r="N341" t="s">
        <v>176</v>
      </c>
      <c r="O341">
        <f t="shared" si="15"/>
        <v>69.990439999999992</v>
      </c>
      <c r="P341">
        <f t="shared" si="16"/>
        <v>0.46116875000000945</v>
      </c>
      <c r="Q341">
        <f t="shared" si="17"/>
        <v>0.46116875000000945</v>
      </c>
      <c r="Y341">
        <f>TREND(H338:H342,G338:G342,G341)</f>
        <v>70.303765764498792</v>
      </c>
      <c r="Z341">
        <f>ABS((Y341-H341)/80*100)</f>
        <v>6.9511544376510415E-2</v>
      </c>
      <c r="AH341">
        <f>H341-AG317</f>
        <v>70.214879999999994</v>
      </c>
      <c r="AI341">
        <f>100*(AH341-O341)/80</f>
        <v>0.28055000000000163</v>
      </c>
    </row>
    <row r="342" spans="1:41" x14ac:dyDescent="0.35">
      <c r="A342" t="s">
        <v>241</v>
      </c>
      <c r="B342" t="s">
        <v>1111</v>
      </c>
      <c r="C342" t="s">
        <v>1191</v>
      </c>
      <c r="D342">
        <v>10</v>
      </c>
      <c r="E342">
        <v>10</v>
      </c>
      <c r="F342">
        <v>1</v>
      </c>
      <c r="G342">
        <v>0.99956999999999996</v>
      </c>
      <c r="H342">
        <v>90.292187499999997</v>
      </c>
      <c r="J342">
        <v>-12380</v>
      </c>
      <c r="N342" t="s">
        <v>176</v>
      </c>
      <c r="O342">
        <f t="shared" si="15"/>
        <v>89.982799999999997</v>
      </c>
      <c r="P342">
        <f t="shared" si="16"/>
        <v>0.38673437499999963</v>
      </c>
      <c r="Q342">
        <f t="shared" si="17"/>
        <v>0.38673437499999963</v>
      </c>
      <c r="Y342">
        <f>TREND(H338:H342,G338:G342,G342)</f>
        <v>90.318857096998457</v>
      </c>
      <c r="Z342">
        <f>ABS((Y342-H342)/80*100)</f>
        <v>3.3336996248074513E-2</v>
      </c>
      <c r="AH342">
        <f>H342-AG317</f>
        <v>90.147692500000005</v>
      </c>
      <c r="AI342">
        <f>100*(AH342-O342)/80</f>
        <v>0.20611562500000957</v>
      </c>
    </row>
    <row r="343" spans="1:41" x14ac:dyDescent="0.35">
      <c r="A343" t="s">
        <v>241</v>
      </c>
      <c r="B343" t="s">
        <v>1111</v>
      </c>
      <c r="C343" t="s">
        <v>1227</v>
      </c>
      <c r="D343">
        <v>10</v>
      </c>
      <c r="E343">
        <v>10</v>
      </c>
      <c r="F343">
        <v>0</v>
      </c>
      <c r="G343">
        <v>3.3799999999999998E-4</v>
      </c>
      <c r="H343">
        <v>50.212499999999999</v>
      </c>
      <c r="J343">
        <v>-12369</v>
      </c>
      <c r="N343" t="s">
        <v>176</v>
      </c>
      <c r="O343">
        <f t="shared" si="15"/>
        <v>50.01352</v>
      </c>
      <c r="P343">
        <f t="shared" si="16"/>
        <v>0.24872499999999853</v>
      </c>
      <c r="Q343">
        <f t="shared" si="17"/>
        <v>0.24872499999999853</v>
      </c>
      <c r="Y343">
        <f>TREND(H338:H342,G338:G342,G343)</f>
        <v>50.304131987293921</v>
      </c>
      <c r="Z343">
        <f>ABS((Y343-H343)/80*100)</f>
        <v>0.11453998411740328</v>
      </c>
      <c r="AH343">
        <f>H343-AG317</f>
        <v>50.068004999999999</v>
      </c>
      <c r="AI343">
        <f>100*(AH343-O343)/80</f>
        <v>6.8106249999999591E-2</v>
      </c>
    </row>
    <row r="344" spans="1:41" x14ac:dyDescent="0.35">
      <c r="A344" t="s">
        <v>241</v>
      </c>
      <c r="B344" t="s">
        <v>1111</v>
      </c>
      <c r="C344" t="s">
        <v>1263</v>
      </c>
      <c r="D344">
        <v>10</v>
      </c>
      <c r="E344">
        <v>10</v>
      </c>
      <c r="F344">
        <v>-1</v>
      </c>
      <c r="G344">
        <v>-0.99994700000000003</v>
      </c>
      <c r="H344">
        <v>10.332812499999999</v>
      </c>
      <c r="J344">
        <v>-12354</v>
      </c>
      <c r="N344" t="s">
        <v>176</v>
      </c>
      <c r="O344">
        <f t="shared" si="15"/>
        <v>10.002119999999998</v>
      </c>
      <c r="P344">
        <f t="shared" si="16"/>
        <v>0.41336562500000174</v>
      </c>
      <c r="Q344">
        <f t="shared" si="17"/>
        <v>0.41336562500000174</v>
      </c>
      <c r="Y344">
        <f>TREND(H338:H342,G338:G342,G344)</f>
        <v>10.247238987108986</v>
      </c>
      <c r="Z344">
        <f>ABS((Y344-H344)/80*100)</f>
        <v>0.10696689111376669</v>
      </c>
      <c r="AH344">
        <f>H344-AG317</f>
        <v>10.1883175</v>
      </c>
      <c r="AI344">
        <f>100*(AH344-O344)/80</f>
        <v>0.2327468750000028</v>
      </c>
    </row>
    <row r="345" spans="1:41" x14ac:dyDescent="0.35">
      <c r="A345" t="s">
        <v>241</v>
      </c>
      <c r="B345" t="s">
        <v>1111</v>
      </c>
      <c r="C345" t="s">
        <v>1300</v>
      </c>
      <c r="D345">
        <v>25</v>
      </c>
      <c r="E345">
        <v>25</v>
      </c>
      <c r="F345">
        <v>-1</v>
      </c>
      <c r="G345">
        <v>-0.99995599999999996</v>
      </c>
      <c r="H345">
        <v>10.237500000000001</v>
      </c>
      <c r="J345">
        <v>-6552</v>
      </c>
      <c r="N345" t="s">
        <v>176</v>
      </c>
      <c r="O345">
        <f t="shared" si="15"/>
        <v>10.001760000000001</v>
      </c>
      <c r="P345">
        <f t="shared" si="16"/>
        <v>0.2946749999999998</v>
      </c>
      <c r="Q345">
        <f t="shared" si="17"/>
        <v>0.2946749999999998</v>
      </c>
      <c r="S345">
        <v>50.206249999999997</v>
      </c>
      <c r="T345">
        <v>0.26696249999999644</v>
      </c>
      <c r="U345">
        <v>90.325000000000003</v>
      </c>
      <c r="V345">
        <v>0.42965000000000586</v>
      </c>
      <c r="W345">
        <v>80.08749694824219</v>
      </c>
      <c r="X345">
        <f>(W345-80)/80*100</f>
        <v>0.10937118530273793</v>
      </c>
      <c r="Y345">
        <f>TREND(H345:H349,G345:G349,G345)</f>
        <v>10.18993931607821</v>
      </c>
      <c r="Z345">
        <f>ABS((Y345-H345)/80*100)</f>
        <v>5.9450854902238774E-2</v>
      </c>
      <c r="AA345">
        <f>MAX(Z345:Z349)</f>
        <v>0.10618844858502284</v>
      </c>
      <c r="AB345">
        <f>IF(ABS(MAX(P345:P351)) &gt; ABS(MIN(P345:P351)),MAX(P345:P351), MIN(P345:P351))</f>
        <v>0.50598749999998915</v>
      </c>
      <c r="AC345">
        <f>IF(ABS(AB346)&gt;ABS(AB345),AB346,AB345)</f>
        <v>0.50598749999998915</v>
      </c>
      <c r="AH345">
        <f>H345-AG317</f>
        <v>10.093005000000002</v>
      </c>
      <c r="AI345">
        <f>100*(AH345-O345)/80</f>
        <v>0.11405625000000086</v>
      </c>
      <c r="AJ345">
        <v>50.061754999999998</v>
      </c>
      <c r="AK345">
        <v>8.6343749999997499E-2</v>
      </c>
      <c r="AL345">
        <v>90.180505000000011</v>
      </c>
      <c r="AM345">
        <v>0.2490312500000158</v>
      </c>
      <c r="AN345">
        <f>IF(ABS(MAX(AI345:AI351)) &gt; ABS(MIN(AI345:AI351)),MAX(AI345:AI351), MIN(AI345:AI351))</f>
        <v>0.3253687499999991</v>
      </c>
      <c r="AO345">
        <f>IF(ABS(AN346)&gt;ABS(AN345),AN346,AN345)</f>
        <v>0.3253687499999991</v>
      </c>
    </row>
    <row r="346" spans="1:41" x14ac:dyDescent="0.35">
      <c r="A346" t="s">
        <v>241</v>
      </c>
      <c r="B346" t="s">
        <v>1111</v>
      </c>
      <c r="C346" t="s">
        <v>1336</v>
      </c>
      <c r="D346">
        <v>25</v>
      </c>
      <c r="E346">
        <v>25</v>
      </c>
      <c r="F346">
        <v>-0.5</v>
      </c>
      <c r="G346">
        <v>-0.50036800000000003</v>
      </c>
      <c r="H346">
        <v>30.167187500000001</v>
      </c>
      <c r="J346">
        <v>-6526</v>
      </c>
      <c r="N346" t="s">
        <v>176</v>
      </c>
      <c r="O346">
        <f t="shared" si="15"/>
        <v>29.985279999999999</v>
      </c>
      <c r="P346">
        <f t="shared" si="16"/>
        <v>0.22738437500000153</v>
      </c>
      <c r="Q346">
        <f t="shared" si="17"/>
        <v>0.22738437500000153</v>
      </c>
      <c r="Y346">
        <f>TREND(H345:H349,G345:G349,G346)</f>
        <v>30.217319151935033</v>
      </c>
      <c r="Z346">
        <f>ABS((Y346-H346)/80*100)</f>
        <v>6.2664564918790688E-2</v>
      </c>
      <c r="AB346">
        <f>IF(ABS(T345) &gt; ABS(V345),T345,V345)</f>
        <v>0.42965000000000586</v>
      </c>
      <c r="AH346">
        <f>H346-AG317</f>
        <v>30.022692500000002</v>
      </c>
      <c r="AI346">
        <f>100*(AH346-O346)/80</f>
        <v>4.6765625000002586E-2</v>
      </c>
      <c r="AN346">
        <f>IF(ABS(AK345) &gt; ABS(AM345),AK345,AM345)</f>
        <v>0.2490312500000158</v>
      </c>
    </row>
    <row r="347" spans="1:41" x14ac:dyDescent="0.35">
      <c r="A347" t="s">
        <v>241</v>
      </c>
      <c r="B347" t="s">
        <v>1111</v>
      </c>
      <c r="C347" t="s">
        <v>1373</v>
      </c>
      <c r="D347">
        <v>25</v>
      </c>
      <c r="E347">
        <v>25</v>
      </c>
      <c r="F347">
        <v>0</v>
      </c>
      <c r="G347">
        <v>-1.83E-4</v>
      </c>
      <c r="H347">
        <v>50.206249999999997</v>
      </c>
      <c r="J347">
        <v>-6505</v>
      </c>
      <c r="N347" t="s">
        <v>176</v>
      </c>
      <c r="O347">
        <f t="shared" si="15"/>
        <v>49.99268</v>
      </c>
      <c r="P347">
        <f t="shared" si="16"/>
        <v>0.26696249999999644</v>
      </c>
      <c r="Q347">
        <f t="shared" si="17"/>
        <v>0.26696249999999644</v>
      </c>
      <c r="Y347">
        <f>TREND(H345:H349,G345:G349,G347)</f>
        <v>50.268631399623224</v>
      </c>
      <c r="Z347">
        <f>ABS((Y347-H347)/80*100)</f>
        <v>7.7976749529033995E-2</v>
      </c>
      <c r="AH347">
        <f>H347-AG317</f>
        <v>50.061754999999998</v>
      </c>
      <c r="AI347">
        <f>100*(AH347-O347)/80</f>
        <v>8.6343749999997499E-2</v>
      </c>
    </row>
    <row r="348" spans="1:41" x14ac:dyDescent="0.35">
      <c r="A348" t="s">
        <v>241</v>
      </c>
      <c r="B348" t="s">
        <v>1111</v>
      </c>
      <c r="C348" t="s">
        <v>1410</v>
      </c>
      <c r="D348">
        <v>25</v>
      </c>
      <c r="E348">
        <v>25</v>
      </c>
      <c r="F348">
        <v>0.5</v>
      </c>
      <c r="G348">
        <v>0.499724</v>
      </c>
      <c r="H348">
        <v>70.393749999999997</v>
      </c>
      <c r="J348">
        <v>-6483</v>
      </c>
      <c r="N348" t="s">
        <v>176</v>
      </c>
      <c r="O348">
        <f t="shared" si="15"/>
        <v>69.988960000000006</v>
      </c>
      <c r="P348">
        <f t="shared" si="16"/>
        <v>0.50598749999998915</v>
      </c>
      <c r="Q348">
        <f t="shared" si="17"/>
        <v>0.50598749999998915</v>
      </c>
      <c r="Y348">
        <f>TREND(H345:H349,G345:G349,G348)</f>
        <v>70.308799241131979</v>
      </c>
      <c r="Z348">
        <f>ABS((Y348-H348)/80*100)</f>
        <v>0.10618844858502284</v>
      </c>
      <c r="AH348">
        <f>H348-AG317</f>
        <v>70.249255000000005</v>
      </c>
      <c r="AI348">
        <f>100*(AH348-O348)/80</f>
        <v>0.3253687499999991</v>
      </c>
    </row>
    <row r="349" spans="1:41" x14ac:dyDescent="0.35">
      <c r="A349" t="s">
        <v>241</v>
      </c>
      <c r="B349" t="s">
        <v>1111</v>
      </c>
      <c r="C349" t="s">
        <v>1446</v>
      </c>
      <c r="D349">
        <v>25</v>
      </c>
      <c r="E349">
        <v>25</v>
      </c>
      <c r="F349">
        <v>1</v>
      </c>
      <c r="G349">
        <v>0.99953199999999998</v>
      </c>
      <c r="H349">
        <v>90.325000000000003</v>
      </c>
      <c r="J349">
        <v>-6479</v>
      </c>
      <c r="N349" t="s">
        <v>176</v>
      </c>
      <c r="O349">
        <f t="shared" si="15"/>
        <v>89.981279999999998</v>
      </c>
      <c r="P349">
        <f t="shared" si="16"/>
        <v>0.42965000000000586</v>
      </c>
      <c r="Q349">
        <f t="shared" si="17"/>
        <v>0.42965000000000586</v>
      </c>
      <c r="Y349">
        <f>TREND(H345:H349,G345:G349,G349)</f>
        <v>90.344998391231513</v>
      </c>
      <c r="Z349">
        <f>ABS((Y349-H349)/80*100)</f>
        <v>2.4997989039388102E-2</v>
      </c>
      <c r="AH349">
        <f>H349-AG317</f>
        <v>90.180505000000011</v>
      </c>
      <c r="AI349">
        <f>100*(AH349-O349)/80</f>
        <v>0.2490312500000158</v>
      </c>
    </row>
    <row r="350" spans="1:41" x14ac:dyDescent="0.35">
      <c r="A350" t="s">
        <v>241</v>
      </c>
      <c r="B350" t="s">
        <v>1111</v>
      </c>
      <c r="C350" t="s">
        <v>1483</v>
      </c>
      <c r="D350">
        <v>25</v>
      </c>
      <c r="E350">
        <v>25</v>
      </c>
      <c r="F350">
        <v>0</v>
      </c>
      <c r="G350">
        <v>6.3999999999999997E-5</v>
      </c>
      <c r="H350">
        <v>50.235937499999999</v>
      </c>
      <c r="J350">
        <v>-6460</v>
      </c>
      <c r="N350" t="s">
        <v>176</v>
      </c>
      <c r="O350">
        <f t="shared" si="15"/>
        <v>50.002560000000003</v>
      </c>
      <c r="P350">
        <f t="shared" si="16"/>
        <v>0.29172187499999502</v>
      </c>
      <c r="Q350">
        <f t="shared" si="17"/>
        <v>0.29172187499999502</v>
      </c>
      <c r="Y350">
        <f>TREND(H345:H349,G345:G349,G350)</f>
        <v>50.27853308425027</v>
      </c>
      <c r="Z350">
        <f>ABS((Y350-H350)/80*100)</f>
        <v>5.3244480312839571E-2</v>
      </c>
      <c r="AH350">
        <f>H350-AG317</f>
        <v>50.091442499999999</v>
      </c>
      <c r="AI350">
        <f>100*(AH350-O350)/80</f>
        <v>0.11110312499999608</v>
      </c>
    </row>
    <row r="351" spans="1:41" x14ac:dyDescent="0.35">
      <c r="A351" t="s">
        <v>241</v>
      </c>
      <c r="B351" t="s">
        <v>1111</v>
      </c>
      <c r="C351" t="s">
        <v>1520</v>
      </c>
      <c r="D351">
        <v>25</v>
      </c>
      <c r="E351">
        <v>25</v>
      </c>
      <c r="F351">
        <v>-1</v>
      </c>
      <c r="G351">
        <v>-1.0001800000000001</v>
      </c>
      <c r="H351">
        <v>10.271875</v>
      </c>
      <c r="J351">
        <v>-6444</v>
      </c>
      <c r="N351" t="s">
        <v>176</v>
      </c>
      <c r="O351">
        <f t="shared" si="15"/>
        <v>9.9927999999999972</v>
      </c>
      <c r="P351">
        <f t="shared" si="16"/>
        <v>0.34884375000000301</v>
      </c>
      <c r="Q351">
        <f t="shared" si="17"/>
        <v>0.34884375000000301</v>
      </c>
      <c r="Y351">
        <f>TREND(H345:H349,G345:G349,G351)</f>
        <v>10.180959650667447</v>
      </c>
      <c r="Z351">
        <f>ABS((Y351-H351)/80*100)</f>
        <v>0.1136441866656912</v>
      </c>
      <c r="AH351">
        <f>H351-AG317</f>
        <v>10.12738</v>
      </c>
      <c r="AI351">
        <f>100*(AH351-O351)/80</f>
        <v>0.16822500000000407</v>
      </c>
    </row>
    <row r="352" spans="1:41" x14ac:dyDescent="0.35">
      <c r="A352" t="s">
        <v>241</v>
      </c>
      <c r="B352" t="s">
        <v>1111</v>
      </c>
      <c r="C352" t="s">
        <v>1556</v>
      </c>
      <c r="D352">
        <v>50</v>
      </c>
      <c r="E352">
        <v>50</v>
      </c>
      <c r="F352">
        <v>-1</v>
      </c>
      <c r="G352">
        <v>-0.99977000000000005</v>
      </c>
      <c r="H352">
        <v>10.245312500000001</v>
      </c>
      <c r="J352">
        <v>3151</v>
      </c>
      <c r="N352" t="s">
        <v>176</v>
      </c>
      <c r="O352">
        <f t="shared" si="15"/>
        <v>10.009199999999998</v>
      </c>
      <c r="P352">
        <f t="shared" si="16"/>
        <v>0.29514062500000326</v>
      </c>
      <c r="Q352">
        <f t="shared" si="17"/>
        <v>0.29514062500000326</v>
      </c>
      <c r="S352">
        <v>50.2421875</v>
      </c>
      <c r="T352">
        <v>0.30443437499999781</v>
      </c>
      <c r="U352">
        <v>90.342187499999994</v>
      </c>
      <c r="V352">
        <v>0.43053437499999347</v>
      </c>
      <c r="W352">
        <v>80.096873474121097</v>
      </c>
      <c r="X352">
        <f>(W352-80)/80*100</f>
        <v>0.12109184265137074</v>
      </c>
      <c r="Y352">
        <f>TREND(H352:H356,G352:G356,G352)</f>
        <v>10.171821610636194</v>
      </c>
      <c r="Z352">
        <f>ABS((Y352-H352)/80*100)</f>
        <v>9.1863611704758874E-2</v>
      </c>
      <c r="AA352">
        <f>MAX(Z352:Z356)</f>
        <v>0.12641555970409613</v>
      </c>
      <c r="AB352">
        <f>IF(ABS(MAX(P352:P358)) &gt; ABS(MIN(P352:P358)),MAX(P352:P358), MIN(P352:P358))</f>
        <v>0.43053437499999347</v>
      </c>
      <c r="AC352">
        <f>IF(ABS(AB353)&gt;ABS(AB352),AB353,AB352)</f>
        <v>0.43053437499999347</v>
      </c>
      <c r="AH352">
        <f>H352-AG317</f>
        <v>10.100817500000002</v>
      </c>
      <c r="AI352">
        <f>100*(AH352-O352)/80</f>
        <v>0.11452187500000433</v>
      </c>
      <c r="AJ352">
        <v>50.097692500000001</v>
      </c>
      <c r="AK352">
        <v>0.12381562499999887</v>
      </c>
      <c r="AL352">
        <v>90.197692499999988</v>
      </c>
      <c r="AM352">
        <v>0.24991562499998565</v>
      </c>
      <c r="AN352">
        <f>IF(ABS(MAX(AI352:AI358)) &gt; ABS(MIN(AI352:AI358)),MAX(AI352:AI358), MIN(AI352:AI358))</f>
        <v>0.24991562499998565</v>
      </c>
      <c r="AO352">
        <f>IF(ABS(AN353)&gt;ABS(AN352),AN353,AN352)</f>
        <v>0.24991562499998565</v>
      </c>
    </row>
    <row r="353" spans="1:41" x14ac:dyDescent="0.35">
      <c r="A353" t="s">
        <v>241</v>
      </c>
      <c r="B353" t="s">
        <v>1111</v>
      </c>
      <c r="C353" t="s">
        <v>1593</v>
      </c>
      <c r="D353">
        <v>50</v>
      </c>
      <c r="E353">
        <v>50</v>
      </c>
      <c r="F353">
        <v>-0.5</v>
      </c>
      <c r="G353">
        <v>-0.50069600000000003</v>
      </c>
      <c r="H353">
        <v>30.074999999999999</v>
      </c>
      <c r="J353">
        <v>3194</v>
      </c>
      <c r="N353" t="s">
        <v>176</v>
      </c>
      <c r="O353">
        <f t="shared" si="15"/>
        <v>29.972159999999999</v>
      </c>
      <c r="P353">
        <f t="shared" si="16"/>
        <v>0.12855000000000061</v>
      </c>
      <c r="Q353">
        <f t="shared" si="17"/>
        <v>0.12855000000000061</v>
      </c>
      <c r="Y353">
        <f>TREND(H352:H356,G352:G356,G353)</f>
        <v>30.176132447763276</v>
      </c>
      <c r="Z353">
        <f>ABS((Y353-H353)/80*100)</f>
        <v>0.12641555970409613</v>
      </c>
      <c r="AB353">
        <f>IF(ABS(T352) &gt; ABS(V352),T352,V352)</f>
        <v>0.43053437499999347</v>
      </c>
      <c r="AH353">
        <f>H353-AG317</f>
        <v>29.930505</v>
      </c>
      <c r="AI353">
        <f>100*(AH353-O353)/80</f>
        <v>-5.2068749999998332E-2</v>
      </c>
      <c r="AN353">
        <f>IF(ABS(AK352) &gt; ABS(AM352),AK352,AM352)</f>
        <v>0.24991562499998565</v>
      </c>
    </row>
    <row r="354" spans="1:41" x14ac:dyDescent="0.35">
      <c r="A354" t="s">
        <v>241</v>
      </c>
      <c r="B354" t="s">
        <v>1111</v>
      </c>
      <c r="C354" t="s">
        <v>1630</v>
      </c>
      <c r="D354">
        <v>50</v>
      </c>
      <c r="E354">
        <v>50</v>
      </c>
      <c r="F354">
        <v>0</v>
      </c>
      <c r="G354">
        <v>-3.4E-5</v>
      </c>
      <c r="H354">
        <v>50.2421875</v>
      </c>
      <c r="J354">
        <v>3228</v>
      </c>
      <c r="N354" t="s">
        <v>176</v>
      </c>
      <c r="O354">
        <f t="shared" si="15"/>
        <v>49.998640000000002</v>
      </c>
      <c r="P354">
        <f t="shared" si="16"/>
        <v>0.30443437499999781</v>
      </c>
      <c r="Q354">
        <f t="shared" si="17"/>
        <v>0.30443437499999781</v>
      </c>
      <c r="Y354">
        <f>TREND(H352:H356,G352:G356,G354)</f>
        <v>50.244094858823999</v>
      </c>
      <c r="Z354">
        <f>ABS((Y354-H354)/80*100)</f>
        <v>2.3841985299988266E-3</v>
      </c>
      <c r="AH354">
        <f>H354-AG317</f>
        <v>50.097692500000001</v>
      </c>
      <c r="AI354">
        <f>100*(AH354-O354)/80</f>
        <v>0.12381562499999887</v>
      </c>
    </row>
    <row r="355" spans="1:41" x14ac:dyDescent="0.35">
      <c r="A355" t="s">
        <v>241</v>
      </c>
      <c r="B355" t="s">
        <v>1111</v>
      </c>
      <c r="C355" t="s">
        <v>1667</v>
      </c>
      <c r="D355">
        <v>50</v>
      </c>
      <c r="E355">
        <v>50</v>
      </c>
      <c r="F355">
        <v>0.5</v>
      </c>
      <c r="G355">
        <v>0.50030399999999997</v>
      </c>
      <c r="H355">
        <v>70.3125</v>
      </c>
      <c r="J355">
        <v>3263</v>
      </c>
      <c r="N355" t="s">
        <v>176</v>
      </c>
      <c r="O355">
        <f t="shared" si="15"/>
        <v>70.012159999999994</v>
      </c>
      <c r="P355">
        <f t="shared" si="16"/>
        <v>0.375425000000007</v>
      </c>
      <c r="Q355">
        <f t="shared" si="17"/>
        <v>0.375425000000007</v>
      </c>
      <c r="Y355">
        <f>TREND(H352:H356,G352:G356,G355)</f>
        <v>70.299070424825203</v>
      </c>
      <c r="Z355">
        <f>ABS((Y355-H355)/80*100)</f>
        <v>1.6786968968496296E-2</v>
      </c>
      <c r="AH355">
        <f>H355-AG317</f>
        <v>70.168004999999994</v>
      </c>
      <c r="AI355">
        <f>100*(AH355-O355)/80</f>
        <v>0.19480624999999918</v>
      </c>
    </row>
    <row r="356" spans="1:41" x14ac:dyDescent="0.35">
      <c r="A356" t="s">
        <v>241</v>
      </c>
      <c r="B356" t="s">
        <v>1111</v>
      </c>
      <c r="C356" t="s">
        <v>1703</v>
      </c>
      <c r="D356">
        <v>50</v>
      </c>
      <c r="E356">
        <v>50</v>
      </c>
      <c r="F356">
        <v>1</v>
      </c>
      <c r="G356">
        <v>0.99994400000000006</v>
      </c>
      <c r="H356">
        <v>90.342187499999994</v>
      </c>
      <c r="J356">
        <v>3293</v>
      </c>
      <c r="N356" t="s">
        <v>176</v>
      </c>
      <c r="O356">
        <f t="shared" si="15"/>
        <v>89.99776</v>
      </c>
      <c r="P356">
        <f t="shared" si="16"/>
        <v>0.43053437499999347</v>
      </c>
      <c r="Q356">
        <f t="shared" si="17"/>
        <v>0.43053437499999347</v>
      </c>
      <c r="Y356">
        <f>TREND(H352:H356,G352:G356,G356)</f>
        <v>90.326068157951312</v>
      </c>
      <c r="Z356">
        <f>ABS((Y356-H356)/80*100)</f>
        <v>2.0149177560853104E-2</v>
      </c>
      <c r="AH356">
        <f>H356-AG317</f>
        <v>90.197692499999988</v>
      </c>
      <c r="AI356">
        <f>100*(AH356-O356)/80</f>
        <v>0.24991562499998565</v>
      </c>
    </row>
    <row r="357" spans="1:41" x14ac:dyDescent="0.35">
      <c r="A357" t="s">
        <v>241</v>
      </c>
      <c r="B357" t="s">
        <v>1111</v>
      </c>
      <c r="C357" t="s">
        <v>1740</v>
      </c>
      <c r="D357">
        <v>50</v>
      </c>
      <c r="E357">
        <v>50</v>
      </c>
      <c r="F357">
        <v>0</v>
      </c>
      <c r="G357">
        <v>-8.3999999999999995E-5</v>
      </c>
      <c r="H357">
        <v>50.254687500000003</v>
      </c>
      <c r="J357">
        <v>3317</v>
      </c>
      <c r="N357" t="s">
        <v>176</v>
      </c>
      <c r="O357">
        <f t="shared" si="15"/>
        <v>49.996639999999999</v>
      </c>
      <c r="P357">
        <f t="shared" si="16"/>
        <v>0.32255937500000442</v>
      </c>
      <c r="Q357">
        <f t="shared" si="17"/>
        <v>0.32255937500000442</v>
      </c>
      <c r="Y357">
        <f>TREND(H352:H356,G352:G356,G357)</f>
        <v>50.242090716067899</v>
      </c>
      <c r="Z357">
        <f>ABS((Y357-H357)/80*100)</f>
        <v>1.5745979915129382E-2</v>
      </c>
      <c r="AH357">
        <f>H357-AG317</f>
        <v>50.110192500000004</v>
      </c>
      <c r="AI357">
        <f>100*(AH357-O357)/80</f>
        <v>0.14194062500000548</v>
      </c>
    </row>
    <row r="358" spans="1:41" x14ac:dyDescent="0.35">
      <c r="A358" t="s">
        <v>241</v>
      </c>
      <c r="B358" t="s">
        <v>1111</v>
      </c>
      <c r="C358" t="s">
        <v>1776</v>
      </c>
      <c r="D358">
        <v>50</v>
      </c>
      <c r="E358">
        <v>50</v>
      </c>
      <c r="F358">
        <v>-1</v>
      </c>
      <c r="G358">
        <v>-1.0002359999999999</v>
      </c>
      <c r="H358">
        <v>10.2265625</v>
      </c>
      <c r="J358">
        <v>3345</v>
      </c>
      <c r="N358" t="s">
        <v>176</v>
      </c>
      <c r="O358">
        <f t="shared" si="15"/>
        <v>9.9905600000000039</v>
      </c>
      <c r="P358">
        <f t="shared" si="16"/>
        <v>0.29500312499999515</v>
      </c>
      <c r="Q358">
        <f t="shared" si="17"/>
        <v>0.29500312499999515</v>
      </c>
      <c r="Y358">
        <f>TREND(H352:H356,G352:G356,G358)</f>
        <v>10.153143000149377</v>
      </c>
      <c r="Z358">
        <f>ABS((Y358-H358)/80*100)</f>
        <v>9.1774374813278214E-2</v>
      </c>
      <c r="AH358">
        <f>H358-AG317</f>
        <v>10.082067500000001</v>
      </c>
      <c r="AI358">
        <f>100*(AH358-O358)/80</f>
        <v>0.11438437499999621</v>
      </c>
    </row>
    <row r="359" spans="1:41" x14ac:dyDescent="0.35">
      <c r="A359" t="s">
        <v>241</v>
      </c>
      <c r="B359" t="s">
        <v>1111</v>
      </c>
      <c r="C359" t="s">
        <v>1814</v>
      </c>
      <c r="D359">
        <v>70</v>
      </c>
      <c r="E359">
        <v>70</v>
      </c>
      <c r="F359">
        <v>-1</v>
      </c>
      <c r="G359">
        <v>-0.99984200000000001</v>
      </c>
      <c r="H359">
        <v>10.307812500000001</v>
      </c>
      <c r="J359">
        <v>11173</v>
      </c>
      <c r="N359" t="s">
        <v>176</v>
      </c>
      <c r="O359">
        <f t="shared" si="15"/>
        <v>10.006319999999999</v>
      </c>
      <c r="P359">
        <f t="shared" si="16"/>
        <v>0.37686562500000242</v>
      </c>
      <c r="Q359">
        <f t="shared" si="17"/>
        <v>0.37686562500000242</v>
      </c>
      <c r="S359">
        <v>50.243749999999999</v>
      </c>
      <c r="T359">
        <v>0.30643750000000303</v>
      </c>
      <c r="U359">
        <v>90.379687500000003</v>
      </c>
      <c r="V359">
        <v>0.47515937500000049</v>
      </c>
      <c r="W359">
        <v>80.07187194824219</v>
      </c>
      <c r="X359">
        <f>(W359-80)/80*100</f>
        <v>8.9839935302737928E-2</v>
      </c>
      <c r="Y359">
        <f>TREND(H359:H363,G359:G363,G359)</f>
        <v>10.255848499174213</v>
      </c>
      <c r="Z359">
        <f>ABS((Y359-H359)/80*100)</f>
        <v>6.4955001032234172E-2</v>
      </c>
      <c r="AA359">
        <f>MAX(Z359:Z363)</f>
        <v>7.7803929885424949E-2</v>
      </c>
      <c r="AB359">
        <f>IF(ABS(MAX(P359:P365)) &gt; ABS(MIN(P359:P365)),MAX(P359:P365), MIN(P359:P365))</f>
        <v>0.47515937500000049</v>
      </c>
      <c r="AC359">
        <f>IF(ABS(AB360)&gt;ABS(AB359),AB360,AB359)</f>
        <v>0.47515937500000049</v>
      </c>
      <c r="AH359">
        <f>H359-AG317</f>
        <v>10.163317500000002</v>
      </c>
      <c r="AI359">
        <f>100*(AH359-O359)/80</f>
        <v>0.19624687500000348</v>
      </c>
      <c r="AJ359">
        <v>50.099254999999999</v>
      </c>
      <c r="AK359">
        <v>0.12581875000000409</v>
      </c>
      <c r="AL359">
        <v>90.235192500000011</v>
      </c>
      <c r="AM359">
        <v>0.29454062500001044</v>
      </c>
      <c r="AN359">
        <f>IF(ABS(MAX(AI359:AI365)) &gt; ABS(MIN(AI359:AI365)),MAX(AI359:AI365), MIN(AI359:AI365))</f>
        <v>0.29454062500001044</v>
      </c>
      <c r="AO359">
        <f>IF(ABS(AN360)&gt;ABS(AN359),AN360,AN359)</f>
        <v>0.29454062500001044</v>
      </c>
    </row>
    <row r="360" spans="1:41" x14ac:dyDescent="0.35">
      <c r="A360" t="s">
        <v>241</v>
      </c>
      <c r="B360" t="s">
        <v>1111</v>
      </c>
      <c r="C360" t="s">
        <v>1851</v>
      </c>
      <c r="D360">
        <v>70</v>
      </c>
      <c r="E360">
        <v>70</v>
      </c>
      <c r="F360">
        <v>-0.5</v>
      </c>
      <c r="G360">
        <v>-0.500664</v>
      </c>
      <c r="H360">
        <v>30.212499999999999</v>
      </c>
      <c r="J360">
        <v>11210</v>
      </c>
      <c r="N360" t="s">
        <v>176</v>
      </c>
      <c r="O360">
        <f t="shared" si="15"/>
        <v>29.97344</v>
      </c>
      <c r="P360">
        <f t="shared" si="16"/>
        <v>0.29882499999999812</v>
      </c>
      <c r="Q360">
        <f t="shared" si="17"/>
        <v>0.29882499999999812</v>
      </c>
      <c r="Y360">
        <f>TREND(H359:H363,G359:G363,G360)</f>
        <v>30.251858832637666</v>
      </c>
      <c r="Z360">
        <f>ABS((Y360-H360)/80*100)</f>
        <v>4.9198540797084085E-2</v>
      </c>
      <c r="AB360">
        <f>IF(ABS(T359) &gt; ABS(V359),T359,V359)</f>
        <v>0.47515937500000049</v>
      </c>
      <c r="AH360">
        <f>H360-AG317</f>
        <v>30.068004999999999</v>
      </c>
      <c r="AI360">
        <f>100*(AH360-O360)/80</f>
        <v>0.11820624999999918</v>
      </c>
      <c r="AN360">
        <f>IF(ABS(AK359) &gt; ABS(AM359),AK359,AM359)</f>
        <v>0.29454062500001044</v>
      </c>
    </row>
    <row r="361" spans="1:41" x14ac:dyDescent="0.35">
      <c r="A361" t="s">
        <v>241</v>
      </c>
      <c r="B361" t="s">
        <v>1111</v>
      </c>
      <c r="C361" t="s">
        <v>1887</v>
      </c>
      <c r="D361">
        <v>70</v>
      </c>
      <c r="E361">
        <v>70</v>
      </c>
      <c r="F361">
        <v>0</v>
      </c>
      <c r="G361">
        <v>-3.4999999999999997E-5</v>
      </c>
      <c r="H361">
        <v>50.243749999999999</v>
      </c>
      <c r="J361">
        <v>11238</v>
      </c>
      <c r="N361" t="s">
        <v>176</v>
      </c>
      <c r="O361">
        <f t="shared" si="15"/>
        <v>49.998599999999996</v>
      </c>
      <c r="P361">
        <f t="shared" si="16"/>
        <v>0.30643750000000303</v>
      </c>
      <c r="Q361">
        <f t="shared" si="17"/>
        <v>0.30643750000000303</v>
      </c>
      <c r="Y361">
        <f>TREND(H359:H363,G359:G363,G361)</f>
        <v>50.305993143908339</v>
      </c>
      <c r="Z361">
        <f>ABS((Y361-H361)/80*100)</f>
        <v>7.7803929885424949E-2</v>
      </c>
      <c r="AH361">
        <f>H361-AG317</f>
        <v>50.099254999999999</v>
      </c>
      <c r="AI361">
        <f>100*(AH361-O361)/80</f>
        <v>0.12581875000000409</v>
      </c>
    </row>
    <row r="362" spans="1:41" x14ac:dyDescent="0.35">
      <c r="A362" t="s">
        <v>241</v>
      </c>
      <c r="B362" t="s">
        <v>1111</v>
      </c>
      <c r="C362" t="s">
        <v>1924</v>
      </c>
      <c r="D362">
        <v>70</v>
      </c>
      <c r="E362">
        <v>70</v>
      </c>
      <c r="F362">
        <v>0.5</v>
      </c>
      <c r="G362">
        <v>0.50001899999999999</v>
      </c>
      <c r="H362">
        <v>70.371875000000003</v>
      </c>
      <c r="J362">
        <v>11266</v>
      </c>
      <c r="N362" t="s">
        <v>176</v>
      </c>
      <c r="O362">
        <f t="shared" si="15"/>
        <v>70.00076</v>
      </c>
      <c r="P362">
        <f t="shared" si="16"/>
        <v>0.46389375000000399</v>
      </c>
      <c r="Q362">
        <f t="shared" si="17"/>
        <v>0.46389375000000399</v>
      </c>
      <c r="Y362">
        <f>TREND(H359:H363,G359:G363,G362)</f>
        <v>70.337094176585524</v>
      </c>
      <c r="Z362">
        <f>ABS((Y362-H362)/80*100)</f>
        <v>4.3476029268099126E-2</v>
      </c>
      <c r="AH362">
        <f>H362-AG317</f>
        <v>70.227380000000011</v>
      </c>
      <c r="AI362">
        <f>100*(AH362-O362)/80</f>
        <v>0.28327500000001393</v>
      </c>
    </row>
    <row r="363" spans="1:41" x14ac:dyDescent="0.35">
      <c r="A363" t="s">
        <v>241</v>
      </c>
      <c r="B363" t="s">
        <v>1111</v>
      </c>
      <c r="C363" t="s">
        <v>1960</v>
      </c>
      <c r="D363">
        <v>70</v>
      </c>
      <c r="E363">
        <v>70</v>
      </c>
      <c r="F363">
        <v>1</v>
      </c>
      <c r="G363">
        <v>0.99998900000000002</v>
      </c>
      <c r="H363">
        <v>90.379687500000003</v>
      </c>
      <c r="J363">
        <v>11296</v>
      </c>
      <c r="N363" t="s">
        <v>176</v>
      </c>
      <c r="O363">
        <f t="shared" si="15"/>
        <v>89.999560000000002</v>
      </c>
      <c r="P363">
        <f t="shared" si="16"/>
        <v>0.47515937500000049</v>
      </c>
      <c r="Q363">
        <f t="shared" si="17"/>
        <v>0.47515937500000049</v>
      </c>
      <c r="Y363">
        <f>TREND(H359:H363,G359:G363,G363)</f>
        <v>90.364830347694266</v>
      </c>
      <c r="Z363">
        <f>ABS((Y363-H363)/80*100)</f>
        <v>1.8571440382171289E-2</v>
      </c>
      <c r="AH363">
        <f>H363-AG317</f>
        <v>90.235192500000011</v>
      </c>
      <c r="AI363">
        <f>100*(AH363-O363)/80</f>
        <v>0.29454062500001044</v>
      </c>
    </row>
    <row r="364" spans="1:41" x14ac:dyDescent="0.35">
      <c r="A364" t="s">
        <v>241</v>
      </c>
      <c r="B364" t="s">
        <v>1111</v>
      </c>
      <c r="C364" t="s">
        <v>1996</v>
      </c>
      <c r="D364">
        <v>70</v>
      </c>
      <c r="E364">
        <v>70</v>
      </c>
      <c r="F364">
        <v>0</v>
      </c>
      <c r="G364">
        <v>-1.6000000000000001E-4</v>
      </c>
      <c r="H364">
        <v>50.228124999999999</v>
      </c>
      <c r="J364">
        <v>11324</v>
      </c>
      <c r="N364" t="s">
        <v>176</v>
      </c>
      <c r="O364">
        <f t="shared" si="15"/>
        <v>49.993600000000001</v>
      </c>
      <c r="P364">
        <f t="shared" si="16"/>
        <v>0.29315624999999734</v>
      </c>
      <c r="Q364">
        <f t="shared" si="17"/>
        <v>0.29315624999999734</v>
      </c>
      <c r="Y364">
        <f>TREND(H359:H363,G359:G363,G364)</f>
        <v>50.300985909431496</v>
      </c>
      <c r="Z364">
        <f>ABS((Y364-H364)/80*100)</f>
        <v>9.1076136789371986E-2</v>
      </c>
      <c r="AH364">
        <f>H364-AG317</f>
        <v>50.083629999999999</v>
      </c>
      <c r="AI364">
        <f>100*(AH364-O364)/80</f>
        <v>0.1125374999999984</v>
      </c>
    </row>
    <row r="365" spans="1:41" x14ac:dyDescent="0.35">
      <c r="A365" t="s">
        <v>241</v>
      </c>
      <c r="B365" t="s">
        <v>1111</v>
      </c>
      <c r="C365" t="s">
        <v>2033</v>
      </c>
      <c r="D365">
        <v>70</v>
      </c>
      <c r="E365">
        <v>70</v>
      </c>
      <c r="F365">
        <v>-1</v>
      </c>
      <c r="G365">
        <v>-1.0001549999999999</v>
      </c>
      <c r="H365">
        <v>10.3046875</v>
      </c>
      <c r="J365">
        <v>11344</v>
      </c>
      <c r="N365" t="s">
        <v>176</v>
      </c>
      <c r="O365">
        <f t="shared" si="15"/>
        <v>9.9938000000000038</v>
      </c>
      <c r="P365">
        <f t="shared" si="16"/>
        <v>0.38860937499999526</v>
      </c>
      <c r="Q365">
        <f t="shared" si="17"/>
        <v>0.38860937499999526</v>
      </c>
      <c r="Y365">
        <f>TREND(H359:H363,G359:G363,G365)</f>
        <v>10.243310384044193</v>
      </c>
      <c r="Z365">
        <f>ABS((Y365-H365)/80*100)</f>
        <v>7.6721394944758714E-2</v>
      </c>
      <c r="AH365">
        <f>H365-AG317</f>
        <v>10.160192500000001</v>
      </c>
      <c r="AI365">
        <f>100*(AH365-O365)/80</f>
        <v>0.20799062499999632</v>
      </c>
    </row>
    <row r="366" spans="1:41" x14ac:dyDescent="0.35">
      <c r="A366" t="s">
        <v>241</v>
      </c>
      <c r="B366" t="s">
        <v>1111</v>
      </c>
      <c r="C366" t="s">
        <v>2069</v>
      </c>
      <c r="D366">
        <v>85</v>
      </c>
      <c r="E366">
        <v>85</v>
      </c>
      <c r="F366">
        <v>-1</v>
      </c>
      <c r="G366">
        <v>-1.0002040000000001</v>
      </c>
      <c r="H366">
        <v>10.3421875</v>
      </c>
      <c r="J366">
        <v>17238</v>
      </c>
      <c r="N366" t="s">
        <v>176</v>
      </c>
      <c r="O366">
        <f t="shared" si="15"/>
        <v>9.9918399999999963</v>
      </c>
      <c r="P366">
        <f t="shared" si="16"/>
        <v>0.43793437500000421</v>
      </c>
      <c r="Q366">
        <f t="shared" si="17"/>
        <v>0.43793437500000421</v>
      </c>
      <c r="S366">
        <v>50.270312500000003</v>
      </c>
      <c r="T366">
        <v>0.34469062500000369</v>
      </c>
      <c r="U366">
        <v>90.5625</v>
      </c>
      <c r="V366">
        <v>0.70042499999999563</v>
      </c>
      <c r="W366">
        <v>80.220312500000006</v>
      </c>
      <c r="X366">
        <f>(W366-80)/80*100</f>
        <v>0.27539062500000711</v>
      </c>
      <c r="Y366">
        <f>TREND(H366:H370,G366:G370,G366)</f>
        <v>10.235996815706194</v>
      </c>
      <c r="Z366">
        <f>ABS((Y366-H366)/80*100)</f>
        <v>0.13273835536725676</v>
      </c>
      <c r="AA366">
        <f>MAX(Z366:Z370)</f>
        <v>0.13273835536725676</v>
      </c>
      <c r="AB366">
        <f>IF(ABS(MAX(P366:P372)) &gt; ABS(MIN(P366:P372)),MAX(P366:P372), MIN(P366:P372))</f>
        <v>0.70042499999999563</v>
      </c>
      <c r="AC366">
        <f>IF(ABS(AB367)&gt;ABS(AB366),AB367,AB366)</f>
        <v>0.70042499999999563</v>
      </c>
      <c r="AH366">
        <f>H366-AG317</f>
        <v>10.1976925</v>
      </c>
      <c r="AI366">
        <f>100*(AH366-O366)/80</f>
        <v>0.25731562500000527</v>
      </c>
      <c r="AJ366">
        <v>50.125817500000004</v>
      </c>
      <c r="AK366">
        <v>0.16407187500000475</v>
      </c>
      <c r="AL366">
        <v>90.418004999999994</v>
      </c>
      <c r="AM366">
        <v>0.51980624999998781</v>
      </c>
      <c r="AN366">
        <f>IF(ABS(MAX(AI366:AI372)) &gt; ABS(MIN(AI366:AI372)),MAX(AI366:AI372), MIN(AI366:AI372))</f>
        <v>0.51980624999998781</v>
      </c>
      <c r="AO366">
        <f>IF(ABS(AN367)&gt;ABS(AN366),AN367,AN366)</f>
        <v>0.51980624999998781</v>
      </c>
    </row>
    <row r="367" spans="1:41" x14ac:dyDescent="0.35">
      <c r="A367" t="s">
        <v>241</v>
      </c>
      <c r="B367" t="s">
        <v>1111</v>
      </c>
      <c r="C367" t="s">
        <v>2105</v>
      </c>
      <c r="D367">
        <v>85</v>
      </c>
      <c r="E367">
        <v>85</v>
      </c>
      <c r="F367">
        <v>-0.5</v>
      </c>
      <c r="G367">
        <v>-0.49989800000000001</v>
      </c>
      <c r="H367">
        <v>30.231249999999999</v>
      </c>
      <c r="J367">
        <v>17257</v>
      </c>
      <c r="N367" t="s">
        <v>176</v>
      </c>
      <c r="O367">
        <f t="shared" si="15"/>
        <v>30.004080000000002</v>
      </c>
      <c r="P367">
        <f t="shared" si="16"/>
        <v>0.28396249999999679</v>
      </c>
      <c r="Q367">
        <f t="shared" si="17"/>
        <v>0.28396249999999679</v>
      </c>
      <c r="Y367">
        <f>TREND(H366:H370,G366:G370,G367)</f>
        <v>30.316886498180356</v>
      </c>
      <c r="Z367">
        <f>ABS((Y367-H367)/80*100)</f>
        <v>0.1070456227254457</v>
      </c>
      <c r="AB367">
        <f>IF(ABS(T366) &gt; ABS(V366),T366,V366)</f>
        <v>0.70042499999999563</v>
      </c>
      <c r="AH367">
        <f>H367-AG317</f>
        <v>30.086755</v>
      </c>
      <c r="AI367">
        <f>100*(AH367-O367)/80</f>
        <v>0.10334374999999785</v>
      </c>
      <c r="AN367">
        <f>IF(ABS(AK366) &gt; ABS(AM366),AK366,AM366)</f>
        <v>0.51980624999998781</v>
      </c>
    </row>
    <row r="368" spans="1:41" x14ac:dyDescent="0.35">
      <c r="A368" t="s">
        <v>241</v>
      </c>
      <c r="B368" t="s">
        <v>1111</v>
      </c>
      <c r="C368" t="s">
        <v>2142</v>
      </c>
      <c r="D368">
        <v>85</v>
      </c>
      <c r="E368">
        <v>85</v>
      </c>
      <c r="F368">
        <v>0</v>
      </c>
      <c r="G368">
        <v>-1.36E-4</v>
      </c>
      <c r="H368">
        <v>50.270312500000003</v>
      </c>
      <c r="J368">
        <v>17296</v>
      </c>
      <c r="N368" t="s">
        <v>176</v>
      </c>
      <c r="O368">
        <f t="shared" si="15"/>
        <v>49.99456</v>
      </c>
      <c r="P368">
        <f t="shared" si="16"/>
        <v>0.34469062500000369</v>
      </c>
      <c r="Q368">
        <f t="shared" si="17"/>
        <v>0.34469062500000369</v>
      </c>
      <c r="Y368">
        <f>TREND(H366:H370,G366:G370,G368)</f>
        <v>50.375941535482831</v>
      </c>
      <c r="Z368">
        <f>ABS((Y368-H368)/80*100)</f>
        <v>0.1320362943535347</v>
      </c>
      <c r="AH368">
        <f>H368-AG317</f>
        <v>50.125817500000004</v>
      </c>
      <c r="AI368">
        <f>100*(AH368-O368)/80</f>
        <v>0.16407187500000475</v>
      </c>
    </row>
    <row r="369" spans="1:41" x14ac:dyDescent="0.35">
      <c r="A369" t="s">
        <v>241</v>
      </c>
      <c r="B369" t="s">
        <v>1111</v>
      </c>
      <c r="C369" t="s">
        <v>2179</v>
      </c>
      <c r="D369">
        <v>85</v>
      </c>
      <c r="E369">
        <v>85</v>
      </c>
      <c r="F369">
        <v>0.5</v>
      </c>
      <c r="G369">
        <v>0.499776</v>
      </c>
      <c r="H369">
        <v>70.484375</v>
      </c>
      <c r="J369">
        <v>17316</v>
      </c>
      <c r="N369" t="s">
        <v>176</v>
      </c>
      <c r="O369">
        <f t="shared" si="15"/>
        <v>69.991039999999998</v>
      </c>
      <c r="P369">
        <f t="shared" si="16"/>
        <v>0.61666875000000232</v>
      </c>
      <c r="Q369">
        <f t="shared" si="17"/>
        <v>0.61666875000000232</v>
      </c>
      <c r="Y369">
        <f>TREND(H366:H370,G366:G370,G369)</f>
        <v>70.441017155093675</v>
      </c>
      <c r="Z369">
        <f>ABS((Y369-H369)/80*100)</f>
        <v>5.4197306132905965E-2</v>
      </c>
      <c r="AH369">
        <f>H369-AG317</f>
        <v>70.339879999999994</v>
      </c>
      <c r="AI369">
        <f>100*(AH369-O369)/80</f>
        <v>0.4360499999999945</v>
      </c>
    </row>
    <row r="370" spans="1:41" x14ac:dyDescent="0.35">
      <c r="A370" t="s">
        <v>241</v>
      </c>
      <c r="B370" t="s">
        <v>1111</v>
      </c>
      <c r="C370" t="s">
        <v>2215</v>
      </c>
      <c r="D370">
        <v>85</v>
      </c>
      <c r="E370">
        <v>85</v>
      </c>
      <c r="F370">
        <v>1</v>
      </c>
      <c r="G370">
        <v>1.000054</v>
      </c>
      <c r="H370">
        <v>90.5625</v>
      </c>
      <c r="J370">
        <v>17337</v>
      </c>
      <c r="N370" t="s">
        <v>176</v>
      </c>
      <c r="O370">
        <f t="shared" si="15"/>
        <v>90.002160000000003</v>
      </c>
      <c r="P370">
        <f t="shared" si="16"/>
        <v>0.70042499999999563</v>
      </c>
      <c r="Q370">
        <f t="shared" si="17"/>
        <v>0.70042499999999563</v>
      </c>
      <c r="Y370">
        <f>TREND(H366:H370,G366:G370,G370)</f>
        <v>90.520782995536933</v>
      </c>
      <c r="Z370">
        <f>ABS((Y370-H370)/80*100)</f>
        <v>5.2146255578833234E-2</v>
      </c>
      <c r="AH370">
        <f>H370-AG317</f>
        <v>90.418004999999994</v>
      </c>
      <c r="AI370">
        <f>100*(AH370-O370)/80</f>
        <v>0.51980624999998781</v>
      </c>
    </row>
    <row r="371" spans="1:41" x14ac:dyDescent="0.35">
      <c r="A371" t="s">
        <v>241</v>
      </c>
      <c r="B371" t="s">
        <v>1111</v>
      </c>
      <c r="C371" t="s">
        <v>2252</v>
      </c>
      <c r="D371">
        <v>85</v>
      </c>
      <c r="E371">
        <v>85</v>
      </c>
      <c r="F371">
        <v>0</v>
      </c>
      <c r="G371">
        <v>1.6000000000000001E-4</v>
      </c>
      <c r="H371">
        <v>50.293750000000003</v>
      </c>
      <c r="J371">
        <v>17361</v>
      </c>
      <c r="N371" t="s">
        <v>176</v>
      </c>
      <c r="O371">
        <f t="shared" si="15"/>
        <v>50.006399999999999</v>
      </c>
      <c r="P371">
        <f t="shared" si="16"/>
        <v>0.35918750000000443</v>
      </c>
      <c r="Q371">
        <f t="shared" si="17"/>
        <v>0.35918750000000443</v>
      </c>
      <c r="Y371">
        <f>TREND(H366:H370,G366:G370,G371)</f>
        <v>50.387822151238012</v>
      </c>
      <c r="Z371">
        <f>ABS((Y371-H371)/80*100)</f>
        <v>0.11759018904751173</v>
      </c>
      <c r="AH371">
        <f>H371-AG317</f>
        <v>50.149255000000004</v>
      </c>
      <c r="AI371">
        <f>100*(AH371-O371)/80</f>
        <v>0.17856875000000549</v>
      </c>
    </row>
    <row r="372" spans="1:41" x14ac:dyDescent="0.35">
      <c r="A372" t="s">
        <v>241</v>
      </c>
      <c r="B372" t="s">
        <v>1111</v>
      </c>
      <c r="C372" t="s">
        <v>2289</v>
      </c>
      <c r="D372">
        <v>85</v>
      </c>
      <c r="E372">
        <v>85</v>
      </c>
      <c r="F372">
        <v>-1</v>
      </c>
      <c r="G372">
        <v>-1.0001310000000001</v>
      </c>
      <c r="H372">
        <v>10.34375</v>
      </c>
      <c r="J372">
        <v>17378</v>
      </c>
      <c r="N372" t="s">
        <v>176</v>
      </c>
      <c r="O372">
        <f t="shared" si="15"/>
        <v>9.9947599999999959</v>
      </c>
      <c r="P372">
        <f t="shared" si="16"/>
        <v>0.43623750000000516</v>
      </c>
      <c r="Q372">
        <f t="shared" si="17"/>
        <v>0.43623750000000516</v>
      </c>
      <c r="Y372">
        <f>TREND(H366:H370,G366:G370,G372)</f>
        <v>10.238926832429598</v>
      </c>
      <c r="Z372">
        <f>ABS((Y372-H372)/80*100)</f>
        <v>0.13102895946300208</v>
      </c>
      <c r="AH372">
        <f>H372-AG317</f>
        <v>10.199255000000001</v>
      </c>
      <c r="AI372">
        <f>100*(AH372-O372)/80</f>
        <v>0.25561875000000622</v>
      </c>
    </row>
    <row r="373" spans="1:41" x14ac:dyDescent="0.35">
      <c r="A373" t="s">
        <v>241</v>
      </c>
      <c r="B373" t="s">
        <v>1111</v>
      </c>
      <c r="C373" t="s">
        <v>2326</v>
      </c>
      <c r="D373">
        <v>25</v>
      </c>
      <c r="E373">
        <v>25</v>
      </c>
      <c r="F373">
        <v>-1</v>
      </c>
      <c r="G373">
        <v>-0.99942699999999995</v>
      </c>
      <c r="H373">
        <v>10.0140625</v>
      </c>
      <c r="J373">
        <v>-5334</v>
      </c>
      <c r="N373" t="s">
        <v>176</v>
      </c>
      <c r="O373">
        <f t="shared" si="15"/>
        <v>10.022920000000003</v>
      </c>
      <c r="P373">
        <f t="shared" si="16"/>
        <v>-1.1071875000003839E-2</v>
      </c>
      <c r="Q373">
        <f t="shared" si="17"/>
        <v>1.1071875000003839E-2</v>
      </c>
      <c r="S373">
        <v>50.103124999999999</v>
      </c>
      <c r="T373">
        <v>0.12365625000000158</v>
      </c>
      <c r="U373">
        <v>90.214062499999997</v>
      </c>
      <c r="V373">
        <v>0.26137812500000024</v>
      </c>
      <c r="W373">
        <v>80.200003051757818</v>
      </c>
      <c r="X373">
        <f>(W373-80)/80*100</f>
        <v>0.25000381469727273</v>
      </c>
      <c r="Y373">
        <f>TREND(H373:H377,G373:G377,G373)</f>
        <v>9.9580183099709174</v>
      </c>
      <c r="Z373">
        <f>ABS((Y373-H373)/80*100)</f>
        <v>7.0055237536352788E-2</v>
      </c>
      <c r="AA373">
        <f>MAX(Z373:Z377)</f>
        <v>0.11827858619331889</v>
      </c>
      <c r="AB373">
        <f>IF(ABS(MAX(P373:P379)) &gt; ABS(MIN(P373:P379)),MAX(P373:P379), MIN(P373:P379))</f>
        <v>0.26137812500000024</v>
      </c>
      <c r="AC373">
        <f>IF(ABS(AB374)&gt;ABS(AB373),AB374,AB373)</f>
        <v>0.26137812500000024</v>
      </c>
      <c r="AH373">
        <f>H373-AG317</f>
        <v>9.8695675000000005</v>
      </c>
      <c r="AI373">
        <f>100*(AH373-O373)/80</f>
        <v>-0.19169062500000278</v>
      </c>
      <c r="AJ373">
        <v>49.958629999999999</v>
      </c>
      <c r="AK373">
        <v>-5.6962499999997362E-2</v>
      </c>
      <c r="AL373">
        <v>90.069567500000005</v>
      </c>
      <c r="AM373">
        <v>8.0759375000010181E-2</v>
      </c>
      <c r="AN373">
        <f>IF(ABS(MAX(AI373:AI379)) &gt; ABS(MIN(AI373:AI379)),MAX(AI373:AI379), MIN(AI373:AI379))</f>
        <v>-0.29802812500000275</v>
      </c>
      <c r="AO373">
        <f>IF(ABS(AN374)&gt;ABS(AN373),AN374,AN373)</f>
        <v>-0.29802812500000275</v>
      </c>
    </row>
    <row r="374" spans="1:41" x14ac:dyDescent="0.35">
      <c r="A374" t="s">
        <v>241</v>
      </c>
      <c r="B374" t="s">
        <v>1111</v>
      </c>
      <c r="C374" t="s">
        <v>2362</v>
      </c>
      <c r="D374">
        <v>25</v>
      </c>
      <c r="E374">
        <v>25</v>
      </c>
      <c r="F374">
        <v>-0.5</v>
      </c>
      <c r="G374">
        <v>-0.50026899999999996</v>
      </c>
      <c r="H374">
        <v>29.895312499999999</v>
      </c>
      <c r="J374">
        <v>-5407</v>
      </c>
      <c r="N374" t="s">
        <v>176</v>
      </c>
      <c r="O374">
        <f t="shared" si="15"/>
        <v>29.989240000000002</v>
      </c>
      <c r="P374">
        <f t="shared" si="16"/>
        <v>-0.11740937500000381</v>
      </c>
      <c r="Q374">
        <f t="shared" si="17"/>
        <v>0.11740937500000381</v>
      </c>
      <c r="Y374">
        <f>TREND(H373:H377,G373:G377,G374)</f>
        <v>29.989935368954654</v>
      </c>
      <c r="Z374">
        <f>ABS((Y374-H374)/80*100)</f>
        <v>0.11827858619331889</v>
      </c>
      <c r="AB374">
        <f>IF(ABS(T373) &gt; ABS(V373),T373,V373)</f>
        <v>0.26137812500000024</v>
      </c>
      <c r="AH374">
        <f>H374-AG317</f>
        <v>29.7508175</v>
      </c>
      <c r="AI374">
        <f>100*(AH374-O374)/80</f>
        <v>-0.29802812500000275</v>
      </c>
      <c r="AN374">
        <f>IF(ABS(AK373) &gt; ABS(AM373),AK373,AM373)</f>
        <v>8.0759375000010181E-2</v>
      </c>
    </row>
    <row r="375" spans="1:41" x14ac:dyDescent="0.35">
      <c r="A375" t="s">
        <v>241</v>
      </c>
      <c r="B375" t="s">
        <v>1111</v>
      </c>
      <c r="C375" t="s">
        <v>2399</v>
      </c>
      <c r="D375">
        <v>25</v>
      </c>
      <c r="E375">
        <v>25</v>
      </c>
      <c r="F375">
        <v>0</v>
      </c>
      <c r="G375">
        <v>1.05E-4</v>
      </c>
      <c r="H375">
        <v>50.103124999999999</v>
      </c>
      <c r="J375">
        <v>-5463</v>
      </c>
      <c r="N375" t="s">
        <v>176</v>
      </c>
      <c r="O375">
        <f t="shared" si="15"/>
        <v>50.004199999999997</v>
      </c>
      <c r="P375">
        <f t="shared" si="16"/>
        <v>0.12365625000000158</v>
      </c>
      <c r="Q375">
        <f t="shared" si="17"/>
        <v>0.12365625000000158</v>
      </c>
      <c r="Y375">
        <f>TREND(H373:H377,G373:G377,G375)</f>
        <v>50.070652229090982</v>
      </c>
      <c r="Z375">
        <f>ABS((Y375-H375)/80*100)</f>
        <v>4.0590963636271127E-2</v>
      </c>
      <c r="AH375">
        <f>H375-AG317</f>
        <v>49.958629999999999</v>
      </c>
      <c r="AI375">
        <f>100*(AH375-O375)/80</f>
        <v>-5.6962499999997362E-2</v>
      </c>
    </row>
    <row r="376" spans="1:41" x14ac:dyDescent="0.35">
      <c r="A376" t="s">
        <v>241</v>
      </c>
      <c r="B376" t="s">
        <v>1111</v>
      </c>
      <c r="C376" t="s">
        <v>2436</v>
      </c>
      <c r="D376">
        <v>25</v>
      </c>
      <c r="E376">
        <v>25</v>
      </c>
      <c r="F376">
        <v>0.5</v>
      </c>
      <c r="G376">
        <v>0.499755</v>
      </c>
      <c r="H376">
        <v>70.1171875</v>
      </c>
      <c r="J376">
        <v>-5520</v>
      </c>
      <c r="N376" t="s">
        <v>176</v>
      </c>
      <c r="O376">
        <f t="shared" si="15"/>
        <v>69.990200000000002</v>
      </c>
      <c r="P376">
        <f t="shared" si="16"/>
        <v>0.1587343749999981</v>
      </c>
      <c r="Q376">
        <f t="shared" si="17"/>
        <v>0.1587343749999981</v>
      </c>
      <c r="Y376">
        <f>TREND(H373:H377,G373:G377,G376)</f>
        <v>70.122313944462121</v>
      </c>
      <c r="Z376">
        <f>ABS((Y376-H376)/80*100)</f>
        <v>6.4080555776513393E-3</v>
      </c>
      <c r="AH376">
        <f>H376-AG317</f>
        <v>69.972692499999994</v>
      </c>
      <c r="AI376">
        <f>100*(AH376-O376)/80</f>
        <v>-2.1884375000009726E-2</v>
      </c>
    </row>
    <row r="377" spans="1:41" x14ac:dyDescent="0.35">
      <c r="A377" t="s">
        <v>241</v>
      </c>
      <c r="B377" t="s">
        <v>1111</v>
      </c>
      <c r="C377" t="s">
        <v>2473</v>
      </c>
      <c r="D377">
        <v>25</v>
      </c>
      <c r="E377">
        <v>25</v>
      </c>
      <c r="F377">
        <v>1</v>
      </c>
      <c r="G377">
        <v>1.000124</v>
      </c>
      <c r="H377">
        <v>90.214062499999997</v>
      </c>
      <c r="J377">
        <v>-5571</v>
      </c>
      <c r="N377" t="s">
        <v>176</v>
      </c>
      <c r="O377">
        <f t="shared" si="15"/>
        <v>90.004959999999997</v>
      </c>
      <c r="P377">
        <f t="shared" si="16"/>
        <v>0.26137812500000024</v>
      </c>
      <c r="Q377">
        <f t="shared" si="17"/>
        <v>0.26137812500000024</v>
      </c>
      <c r="Y377">
        <f>TREND(H373:H377,G373:G377,G377)</f>
        <v>90.20283014752134</v>
      </c>
      <c r="Z377">
        <f>ABS((Y377-H377)/80*100)</f>
        <v>1.4040440598321878E-2</v>
      </c>
      <c r="AH377">
        <f>H377-AG317</f>
        <v>90.069567500000005</v>
      </c>
      <c r="AI377">
        <f>100*(AH377-O377)/80</f>
        <v>8.0759375000010181E-2</v>
      </c>
    </row>
    <row r="378" spans="1:41" x14ac:dyDescent="0.35">
      <c r="A378" t="s">
        <v>241</v>
      </c>
      <c r="B378" t="s">
        <v>1111</v>
      </c>
      <c r="C378" t="s">
        <v>2509</v>
      </c>
      <c r="D378">
        <v>25</v>
      </c>
      <c r="E378">
        <v>25</v>
      </c>
      <c r="F378">
        <v>0</v>
      </c>
      <c r="G378">
        <v>1.3300000000000001E-4</v>
      </c>
      <c r="H378">
        <v>49.982812500000001</v>
      </c>
      <c r="J378">
        <v>-5617</v>
      </c>
      <c r="N378" t="s">
        <v>176</v>
      </c>
      <c r="O378">
        <f t="shared" si="15"/>
        <v>50.005319999999998</v>
      </c>
      <c r="P378">
        <f t="shared" si="16"/>
        <v>-2.813437499999516E-2</v>
      </c>
      <c r="Q378">
        <f t="shared" si="17"/>
        <v>2.813437499999516E-2</v>
      </c>
      <c r="Y378">
        <f>TREND(H373:H377,G373:G377,G378)</f>
        <v>50.071775908722785</v>
      </c>
      <c r="Z378">
        <f>ABS((Y378-H378)/80*100)</f>
        <v>0.11120426090347912</v>
      </c>
      <c r="AH378">
        <f>H378-AG317</f>
        <v>49.838317500000002</v>
      </c>
      <c r="AI378">
        <f>100*(AH378-O378)/80</f>
        <v>-0.2087531249999941</v>
      </c>
    </row>
    <row r="379" spans="1:41" x14ac:dyDescent="0.35">
      <c r="A379" t="s">
        <v>241</v>
      </c>
      <c r="B379" t="s">
        <v>1111</v>
      </c>
      <c r="C379" t="s">
        <v>2544</v>
      </c>
      <c r="D379">
        <v>25</v>
      </c>
      <c r="E379">
        <v>25</v>
      </c>
      <c r="F379">
        <v>-1</v>
      </c>
      <c r="G379">
        <v>-1.0000329999999999</v>
      </c>
      <c r="H379">
        <v>9.9609375</v>
      </c>
      <c r="J379">
        <v>-5662</v>
      </c>
      <c r="N379" t="s">
        <v>176</v>
      </c>
      <c r="O379">
        <f t="shared" si="15"/>
        <v>9.998680000000002</v>
      </c>
      <c r="P379">
        <f t="shared" si="16"/>
        <v>-4.7178125000002513E-2</v>
      </c>
      <c r="Q379">
        <f t="shared" si="17"/>
        <v>4.7178125000002513E-2</v>
      </c>
      <c r="Y379">
        <f>TREND(H373:H377,G373:G377,G379)</f>
        <v>9.9336986722254608</v>
      </c>
      <c r="Z379">
        <f>ABS((Y379-H379)/80*100)</f>
        <v>3.4048534718174039E-2</v>
      </c>
      <c r="AH379">
        <f>H379-AG317</f>
        <v>9.8164425000000008</v>
      </c>
      <c r="AI379">
        <f>100*(AH379-O379)/80</f>
        <v>-0.22779687500000145</v>
      </c>
    </row>
    <row r="380" spans="1:41" x14ac:dyDescent="0.35">
      <c r="A380" t="s">
        <v>243</v>
      </c>
      <c r="B380" t="s">
        <v>231</v>
      </c>
      <c r="C380" t="s">
        <v>244</v>
      </c>
      <c r="D380">
        <v>25</v>
      </c>
      <c r="E380">
        <v>25</v>
      </c>
      <c r="F380">
        <v>-1</v>
      </c>
      <c r="G380">
        <v>-1.0000800000000001</v>
      </c>
      <c r="H380">
        <v>10.09375</v>
      </c>
      <c r="J380">
        <v>-6259</v>
      </c>
      <c r="N380" t="s">
        <v>177</v>
      </c>
      <c r="O380">
        <f t="shared" si="15"/>
        <v>9.9967999999999968</v>
      </c>
      <c r="P380">
        <f t="shared" si="16"/>
        <v>0.121187500000004</v>
      </c>
      <c r="Q380">
        <f t="shared" si="17"/>
        <v>0.121187500000004</v>
      </c>
      <c r="S380">
        <v>50.145312500000003</v>
      </c>
      <c r="T380">
        <v>0.1932906250000066</v>
      </c>
      <c r="U380">
        <v>90.278125000000003</v>
      </c>
      <c r="V380">
        <v>0.34755624999998957</v>
      </c>
      <c r="W380">
        <v>80.184371948242188</v>
      </c>
      <c r="X380">
        <f>(W380-80)/80*100</f>
        <v>0.23046493530273438</v>
      </c>
      <c r="Y380">
        <f>TREND(H380:H384,G380:G384,G380)</f>
        <v>10.076558858466221</v>
      </c>
      <c r="Z380">
        <f>ABS((Y380-H380)/80*100)</f>
        <v>2.1488926917223594E-2</v>
      </c>
      <c r="AA380">
        <f>MAX(Z380:Z384)</f>
        <v>3.9078984756759638E-2</v>
      </c>
      <c r="AB380">
        <f>IF(ABS(MAX(P380:P386)) &gt; ABS(MIN(P380:P386)),MAX(P380:P386), MIN(P380:P386))</f>
        <v>0.34755624999998957</v>
      </c>
      <c r="AC380">
        <f>IF(ABS(AB381)&gt;ABS(AB380),AB381,AB380)</f>
        <v>0.34755624999998957</v>
      </c>
      <c r="AD380">
        <f>MAX(AD381:AD382)</f>
        <v>4.7565625000005607E-2</v>
      </c>
      <c r="AE380">
        <f>MAX(AE381:AE401)</f>
        <v>0.2746375000000012</v>
      </c>
      <c r="AF380">
        <f>MAX(AD380,AA380)</f>
        <v>4.7565625000005607E-2</v>
      </c>
      <c r="AG380">
        <f>H382-O382</f>
        <v>0.15463250000000528</v>
      </c>
      <c r="AH380">
        <f>H380-AG380</f>
        <v>9.9391174999999947</v>
      </c>
      <c r="AI380">
        <f>100*(AH380-O380)/80</f>
        <v>-7.2103125000002599E-2</v>
      </c>
      <c r="AJ380">
        <v>49.990679999999998</v>
      </c>
      <c r="AK380">
        <v>0</v>
      </c>
      <c r="AL380">
        <v>90.123492499999998</v>
      </c>
      <c r="AM380">
        <v>0.15426562499998298</v>
      </c>
      <c r="AN380">
        <f>IF(ABS(MAX(AI380:AI386)) &gt; ABS(MIN(AI380:AI386)),MAX(AI380:AI386), MIN(AI380:AI386))</f>
        <v>0.15426562499998298</v>
      </c>
      <c r="AO380">
        <f>IF(ABS(AN381)&gt;ABS(AN380),AN381,AN380)</f>
        <v>0.15426562499998298</v>
      </c>
    </row>
    <row r="381" spans="1:41" x14ac:dyDescent="0.35">
      <c r="A381" t="s">
        <v>243</v>
      </c>
      <c r="B381" t="s">
        <v>231</v>
      </c>
      <c r="C381" t="s">
        <v>313</v>
      </c>
      <c r="D381">
        <v>25</v>
      </c>
      <c r="E381">
        <v>25</v>
      </c>
      <c r="F381">
        <v>-0.5</v>
      </c>
      <c r="G381">
        <v>-0.50062499999999999</v>
      </c>
      <c r="H381">
        <v>30.090624999999999</v>
      </c>
      <c r="J381">
        <v>-6248</v>
      </c>
      <c r="N381" t="s">
        <v>177</v>
      </c>
      <c r="O381">
        <f t="shared" si="15"/>
        <v>29.975000000000001</v>
      </c>
      <c r="P381">
        <f t="shared" si="16"/>
        <v>0.14453124999999734</v>
      </c>
      <c r="Q381">
        <f t="shared" si="17"/>
        <v>0.14453124999999734</v>
      </c>
      <c r="Y381">
        <f>TREND(H380:H384,G380:G384,G381)</f>
        <v>30.105780781248022</v>
      </c>
      <c r="Z381">
        <f>ABS((Y381-H381)/80*100)</f>
        <v>1.8944726560028435E-2</v>
      </c>
      <c r="AB381">
        <f>IF(ABS(T380) &gt; ABS(V380),T380,V380)</f>
        <v>0.34755624999998957</v>
      </c>
      <c r="AD381">
        <f>ABS(P382-P385)</f>
        <v>4.0731250000005659E-2</v>
      </c>
      <c r="AE381">
        <f>ABS(P408-P380)</f>
        <v>6.0053124999994711E-2</v>
      </c>
      <c r="AH381">
        <f>H381-AG380</f>
        <v>29.935992499999994</v>
      </c>
      <c r="AI381">
        <f>100*(AH381-O381)/80</f>
        <v>-4.8759375000009264E-2</v>
      </c>
      <c r="AN381">
        <f>IF(ABS(AK380) &gt; ABS(AM380),AK380,AM380)</f>
        <v>0.15426562499998298</v>
      </c>
    </row>
    <row r="382" spans="1:41" x14ac:dyDescent="0.35">
      <c r="A382" t="s">
        <v>243</v>
      </c>
      <c r="B382" t="s">
        <v>231</v>
      </c>
      <c r="C382" t="s">
        <v>350</v>
      </c>
      <c r="D382">
        <v>25</v>
      </c>
      <c r="E382">
        <v>25</v>
      </c>
      <c r="F382">
        <v>0</v>
      </c>
      <c r="G382">
        <v>-2.33E-4</v>
      </c>
      <c r="H382">
        <v>50.145312500000003</v>
      </c>
      <c r="J382">
        <v>-6248</v>
      </c>
      <c r="N382" t="s">
        <v>177</v>
      </c>
      <c r="O382">
        <f t="shared" si="15"/>
        <v>49.990679999999998</v>
      </c>
      <c r="P382">
        <f t="shared" si="16"/>
        <v>0.1932906250000066</v>
      </c>
      <c r="Q382">
        <f t="shared" si="17"/>
        <v>0.1932906250000066</v>
      </c>
      <c r="Y382">
        <f>TREND(H380:H384,G380:G384,G382)</f>
        <v>50.17257842344727</v>
      </c>
      <c r="Z382">
        <f>ABS((Y382-H382)/80*100)</f>
        <v>3.4082404309083714E-2</v>
      </c>
      <c r="AD382">
        <f>ABS(P380-P386)</f>
        <v>4.7565625000005607E-2</v>
      </c>
      <c r="AE382">
        <f>ABS(P409-P381)</f>
        <v>1.5753124999995372E-2</v>
      </c>
      <c r="AH382">
        <f>H382-AG380</f>
        <v>49.990679999999998</v>
      </c>
      <c r="AI382">
        <f>100*(AH382-O382)/80</f>
        <v>0</v>
      </c>
    </row>
    <row r="383" spans="1:41" x14ac:dyDescent="0.35">
      <c r="A383" t="s">
        <v>243</v>
      </c>
      <c r="B383" t="s">
        <v>231</v>
      </c>
      <c r="C383" t="s">
        <v>386</v>
      </c>
      <c r="D383">
        <v>25</v>
      </c>
      <c r="E383">
        <v>25</v>
      </c>
      <c r="F383">
        <v>0.5</v>
      </c>
      <c r="G383">
        <v>0.49999500000000002</v>
      </c>
      <c r="H383">
        <v>70.264062499999994</v>
      </c>
      <c r="J383">
        <v>-6256</v>
      </c>
      <c r="N383" t="s">
        <v>177</v>
      </c>
      <c r="O383">
        <f t="shared" si="15"/>
        <v>69.999799999999993</v>
      </c>
      <c r="P383">
        <f t="shared" si="16"/>
        <v>0.33032812500000119</v>
      </c>
      <c r="Q383">
        <f t="shared" si="17"/>
        <v>0.33032812500000119</v>
      </c>
      <c r="Y383">
        <f>TREND(H380:H384,G380:G384,G383)</f>
        <v>70.232799312194587</v>
      </c>
      <c r="Z383">
        <f>ABS((Y383-H383)/80*100)</f>
        <v>3.9078984756759638E-2</v>
      </c>
      <c r="AE383">
        <f>ABS(P410-P382)</f>
        <v>2.3893750000008041E-2</v>
      </c>
      <c r="AH383">
        <f>H383-AG380</f>
        <v>70.109429999999989</v>
      </c>
      <c r="AI383">
        <f>100*(AH383-O383)/80</f>
        <v>0.13703749999999459</v>
      </c>
    </row>
    <row r="384" spans="1:41" x14ac:dyDescent="0.35">
      <c r="A384" t="s">
        <v>243</v>
      </c>
      <c r="B384" t="s">
        <v>231</v>
      </c>
      <c r="C384" t="s">
        <v>424</v>
      </c>
      <c r="D384">
        <v>25</v>
      </c>
      <c r="E384">
        <v>25</v>
      </c>
      <c r="F384">
        <v>1</v>
      </c>
      <c r="G384">
        <v>1.0000020000000001</v>
      </c>
      <c r="H384">
        <v>90.278125000000003</v>
      </c>
      <c r="J384">
        <v>-6252</v>
      </c>
      <c r="N384" t="s">
        <v>177</v>
      </c>
      <c r="O384">
        <f t="shared" si="15"/>
        <v>90.000080000000011</v>
      </c>
      <c r="P384">
        <f t="shared" si="16"/>
        <v>0.34755624999998957</v>
      </c>
      <c r="Q384">
        <f t="shared" si="17"/>
        <v>0.34755624999998957</v>
      </c>
      <c r="Y384">
        <f>TREND(H380:H384,G380:G384,G384)</f>
        <v>90.284157624643882</v>
      </c>
      <c r="Z384">
        <f>ABS((Y384-H384)/80*100)</f>
        <v>7.5407808048488789E-3</v>
      </c>
      <c r="AE384">
        <f>ABS(P411-P383)</f>
        <v>7.2159374999998249E-2</v>
      </c>
      <c r="AH384">
        <f>H384-AG380</f>
        <v>90.123492499999998</v>
      </c>
      <c r="AI384">
        <f>100*(AH384-O384)/80</f>
        <v>0.15426562499998298</v>
      </c>
    </row>
    <row r="385" spans="1:41" x14ac:dyDescent="0.35">
      <c r="A385" t="s">
        <v>243</v>
      </c>
      <c r="B385" t="s">
        <v>231</v>
      </c>
      <c r="C385" t="s">
        <v>460</v>
      </c>
      <c r="D385">
        <v>25</v>
      </c>
      <c r="E385">
        <v>25</v>
      </c>
      <c r="F385">
        <v>0</v>
      </c>
      <c r="G385">
        <v>1.9100000000000001E-4</v>
      </c>
      <c r="H385">
        <v>50.129687500000003</v>
      </c>
      <c r="J385">
        <v>-6261</v>
      </c>
      <c r="N385" t="s">
        <v>177</v>
      </c>
      <c r="O385">
        <f t="shared" si="15"/>
        <v>50.007640000000002</v>
      </c>
      <c r="P385">
        <f t="shared" si="16"/>
        <v>0.15255937500000094</v>
      </c>
      <c r="Q385">
        <f t="shared" si="17"/>
        <v>0.15255937500000094</v>
      </c>
      <c r="Y385">
        <f>TREND(H380:H384,G380:G384,G385)</f>
        <v>50.189581737249839</v>
      </c>
      <c r="Z385">
        <f>ABS((Y385-H385)/80*100)</f>
        <v>7.4867796562294586E-2</v>
      </c>
      <c r="AE385">
        <f>ABS(P412-P384)</f>
        <v>2.8312499999927354E-3</v>
      </c>
      <c r="AH385">
        <f>H385-AG380</f>
        <v>49.975054999999998</v>
      </c>
      <c r="AI385">
        <f>100*(AH385-O385)/80</f>
        <v>-4.0731250000005659E-2</v>
      </c>
    </row>
    <row r="386" spans="1:41" x14ac:dyDescent="0.35">
      <c r="A386" t="s">
        <v>243</v>
      </c>
      <c r="B386" t="s">
        <v>231</v>
      </c>
      <c r="C386" t="s">
        <v>498</v>
      </c>
      <c r="D386">
        <v>25</v>
      </c>
      <c r="E386">
        <v>25</v>
      </c>
      <c r="F386">
        <v>-1</v>
      </c>
      <c r="G386">
        <v>-0.99994899999999998</v>
      </c>
      <c r="H386">
        <v>10.0609375</v>
      </c>
      <c r="J386">
        <v>-6255</v>
      </c>
      <c r="N386" t="s">
        <v>177</v>
      </c>
      <c r="O386">
        <f t="shared" si="15"/>
        <v>10.002040000000001</v>
      </c>
      <c r="P386">
        <f t="shared" si="16"/>
        <v>7.3621874999998393E-2</v>
      </c>
      <c r="Q386">
        <f t="shared" si="17"/>
        <v>7.3621874999998393E-2</v>
      </c>
      <c r="Y386">
        <f>TREND(H380:H384,G380:G384,G386)</f>
        <v>10.081812240796737</v>
      </c>
      <c r="Z386">
        <f>ABS((Y386-H386)/80*100)</f>
        <v>2.6093425995921127E-2</v>
      </c>
      <c r="AE386">
        <f>ABS(P413-P385)</f>
        <v>8.6028124999995015E-2</v>
      </c>
      <c r="AH386">
        <f>H386-AG380</f>
        <v>9.9063049999999944</v>
      </c>
      <c r="AI386">
        <f>100*(AH386-O386)/80</f>
        <v>-0.11966875000000821</v>
      </c>
    </row>
    <row r="387" spans="1:41" x14ac:dyDescent="0.35">
      <c r="A387" t="s">
        <v>243</v>
      </c>
      <c r="B387" t="s">
        <v>231</v>
      </c>
      <c r="C387" t="s">
        <v>535</v>
      </c>
      <c r="D387">
        <v>-20</v>
      </c>
      <c r="E387">
        <v>-20</v>
      </c>
      <c r="F387">
        <v>-1</v>
      </c>
      <c r="G387">
        <v>-1.0001660000000001</v>
      </c>
      <c r="H387">
        <v>10.2125</v>
      </c>
      <c r="J387">
        <v>-23684</v>
      </c>
      <c r="N387" t="s">
        <v>177</v>
      </c>
      <c r="O387">
        <f t="shared" si="15"/>
        <v>9.9933599999999956</v>
      </c>
      <c r="P387">
        <f t="shared" si="16"/>
        <v>0.27392500000000597</v>
      </c>
      <c r="Q387">
        <f t="shared" si="17"/>
        <v>0.27392500000000597</v>
      </c>
      <c r="S387">
        <v>50.282812499999999</v>
      </c>
      <c r="T387">
        <v>0.3669656249999953</v>
      </c>
      <c r="U387">
        <v>90.385937499999997</v>
      </c>
      <c r="V387">
        <v>0.48627187500001057</v>
      </c>
      <c r="W387">
        <v>80.173440551757807</v>
      </c>
      <c r="X387">
        <f>(W387-80)/80*100</f>
        <v>0.21680068969725852</v>
      </c>
      <c r="Y387">
        <f>TREND(H387:H391,G387:G391,G387)</f>
        <v>10.238501582482435</v>
      </c>
      <c r="Z387">
        <f>ABS((Y387-H387)/80*100)</f>
        <v>3.2501978103043339E-2</v>
      </c>
      <c r="AA387">
        <f>MAX(Z387:Z391)</f>
        <v>0.10804834507869288</v>
      </c>
      <c r="AB387">
        <f>IF(ABS(MAX(P387:P393)) &gt; ABS(MIN(P387:P393)),MAX(P387:P393), MIN(P387:P393))</f>
        <v>0.59634687500000894</v>
      </c>
      <c r="AC387">
        <f>IF(ABS(AB388)&gt;ABS(AB387),AB388,AB387)</f>
        <v>0.59634687500000894</v>
      </c>
      <c r="AE387">
        <f>ABS(P414-P386)</f>
        <v>0.10610625000000429</v>
      </c>
      <c r="AH387">
        <f>H387-AG380</f>
        <v>10.057867499999995</v>
      </c>
      <c r="AI387">
        <f>100*(AH387-O387)/80</f>
        <v>8.063437499999937E-2</v>
      </c>
      <c r="AJ387">
        <v>50.128179999999993</v>
      </c>
      <c r="AK387">
        <v>0.1736749999999887</v>
      </c>
      <c r="AL387">
        <v>90.231304999999992</v>
      </c>
      <c r="AM387">
        <v>0.29298125000000397</v>
      </c>
      <c r="AN387">
        <f>IF(ABS(MAX(AI387:AI393)) &gt; ABS(MIN(AI387:AI393)),MAX(AI387:AI393), MIN(AI387:AI393))</f>
        <v>0.40305625000000234</v>
      </c>
      <c r="AO387">
        <f>IF(ABS(AN388)&gt;ABS(AN387),AN388,AN387)</f>
        <v>0.40305625000000234</v>
      </c>
    </row>
    <row r="388" spans="1:41" x14ac:dyDescent="0.35">
      <c r="A388" t="s">
        <v>243</v>
      </c>
      <c r="B388" t="s">
        <v>231</v>
      </c>
      <c r="C388" t="s">
        <v>572</v>
      </c>
      <c r="D388">
        <v>-20</v>
      </c>
      <c r="E388">
        <v>-20</v>
      </c>
      <c r="F388">
        <v>-0.5</v>
      </c>
      <c r="G388">
        <v>-0.49993799999999999</v>
      </c>
      <c r="H388">
        <v>30.334375000000001</v>
      </c>
      <c r="J388">
        <v>-23742</v>
      </c>
      <c r="N388" t="s">
        <v>177</v>
      </c>
      <c r="O388">
        <f t="shared" si="15"/>
        <v>30.002479999999998</v>
      </c>
      <c r="P388">
        <f t="shared" si="16"/>
        <v>0.41486875000000367</v>
      </c>
      <c r="Q388">
        <f t="shared" si="17"/>
        <v>0.41486875000000367</v>
      </c>
      <c r="Y388">
        <f>TREND(H387:H391,G387:G391,G388)</f>
        <v>30.296140352609502</v>
      </c>
      <c r="Z388">
        <f>ABS((Y388-H388)/80*100)</f>
        <v>4.7793309238124415E-2</v>
      </c>
      <c r="AB388">
        <f>IF(ABS(T387) &gt; ABS(V387),T387,V387)</f>
        <v>0.48627187500001057</v>
      </c>
      <c r="AE388">
        <f>ABS(P436-P380)</f>
        <v>0.21194062500000443</v>
      </c>
      <c r="AH388">
        <f>H388-AG380</f>
        <v>30.179742499999996</v>
      </c>
      <c r="AI388">
        <f>100*(AH388-O388)/80</f>
        <v>0.22157812499999707</v>
      </c>
      <c r="AN388">
        <f>IF(ABS(AK387) &gt; ABS(AM387),AK387,AM387)</f>
        <v>0.29298125000000397</v>
      </c>
    </row>
    <row r="389" spans="1:41" x14ac:dyDescent="0.35">
      <c r="A389" t="s">
        <v>243</v>
      </c>
      <c r="B389" t="s">
        <v>231</v>
      </c>
      <c r="C389" t="s">
        <v>608</v>
      </c>
      <c r="D389">
        <v>-20</v>
      </c>
      <c r="E389">
        <v>-19.899999999999999</v>
      </c>
      <c r="F389">
        <v>0</v>
      </c>
      <c r="G389">
        <v>-2.6899999999999998E-4</v>
      </c>
      <c r="H389">
        <v>50.282812499999999</v>
      </c>
      <c r="J389">
        <v>-23765</v>
      </c>
      <c r="N389" t="s">
        <v>177</v>
      </c>
      <c r="O389">
        <f t="shared" si="15"/>
        <v>49.989240000000002</v>
      </c>
      <c r="P389">
        <f t="shared" si="16"/>
        <v>0.3669656249999953</v>
      </c>
      <c r="Q389">
        <f t="shared" si="17"/>
        <v>0.3669656249999953</v>
      </c>
      <c r="Y389">
        <f>TREND(H387:H391,G387:G391,G389)</f>
        <v>50.331364903475546</v>
      </c>
      <c r="Z389">
        <f>ABS((Y389-H389)/80*100)</f>
        <v>6.0690504344433911E-2</v>
      </c>
      <c r="AE389">
        <f>ABS(P437-P381)</f>
        <v>0.2030156249999937</v>
      </c>
      <c r="AH389">
        <f>H389-AG380</f>
        <v>50.128179999999993</v>
      </c>
      <c r="AI389">
        <f>100*(AH389-O389)/80</f>
        <v>0.1736749999999887</v>
      </c>
    </row>
    <row r="390" spans="1:41" x14ac:dyDescent="0.35">
      <c r="A390" t="s">
        <v>243</v>
      </c>
      <c r="B390" t="s">
        <v>231</v>
      </c>
      <c r="C390" t="s">
        <v>644</v>
      </c>
      <c r="D390">
        <v>-20</v>
      </c>
      <c r="E390">
        <v>-20</v>
      </c>
      <c r="F390">
        <v>0.5</v>
      </c>
      <c r="G390">
        <v>0.49990899999999999</v>
      </c>
      <c r="H390">
        <v>70.473437500000003</v>
      </c>
      <c r="J390">
        <v>-23795</v>
      </c>
      <c r="N390" t="s">
        <v>177</v>
      </c>
      <c r="O390">
        <f t="shared" si="15"/>
        <v>69.996359999999996</v>
      </c>
      <c r="P390">
        <f t="shared" si="16"/>
        <v>0.59634687500000894</v>
      </c>
      <c r="Q390">
        <f t="shared" si="17"/>
        <v>0.59634687500000894</v>
      </c>
      <c r="Y390">
        <f>TREND(H387:H391,G387:G391,G390)</f>
        <v>70.386998823937049</v>
      </c>
      <c r="Z390">
        <f>ABS((Y390-H390)/80*100)</f>
        <v>0.10804834507869288</v>
      </c>
      <c r="AE390">
        <f>ABS(P438-P382)</f>
        <v>0.15777500000001332</v>
      </c>
      <c r="AH390">
        <f>H390-AG380</f>
        <v>70.318804999999998</v>
      </c>
      <c r="AI390">
        <f>100*(AH390-O390)/80</f>
        <v>0.40305625000000234</v>
      </c>
    </row>
    <row r="391" spans="1:41" x14ac:dyDescent="0.35">
      <c r="A391" t="s">
        <v>243</v>
      </c>
      <c r="B391" t="s">
        <v>231</v>
      </c>
      <c r="C391" t="s">
        <v>680</v>
      </c>
      <c r="D391">
        <v>-20</v>
      </c>
      <c r="E391">
        <v>-19.899999999999999</v>
      </c>
      <c r="F391">
        <v>1</v>
      </c>
      <c r="G391">
        <v>0.99992300000000001</v>
      </c>
      <c r="H391">
        <v>90.385937499999997</v>
      </c>
      <c r="J391">
        <v>-23823</v>
      </c>
      <c r="N391" t="s">
        <v>177</v>
      </c>
      <c r="O391">
        <f t="shared" si="15"/>
        <v>89.996919999999989</v>
      </c>
      <c r="P391">
        <f t="shared" si="16"/>
        <v>0.48627187500001057</v>
      </c>
      <c r="Q391">
        <f t="shared" si="17"/>
        <v>0.48627187500001057</v>
      </c>
      <c r="Y391">
        <f>TREND(H387:H391,G387:G391,G391)</f>
        <v>90.436056837495499</v>
      </c>
      <c r="Z391">
        <f>ABS((Y391-H391)/80*100)</f>
        <v>6.2649171869377795E-2</v>
      </c>
      <c r="AE391">
        <f>ABS(P439-P383)</f>
        <v>9.5771875000014717E-2</v>
      </c>
      <c r="AH391">
        <f>H391-AG380</f>
        <v>90.231304999999992</v>
      </c>
      <c r="AI391">
        <f>100*(AH391-O391)/80</f>
        <v>0.29298125000000397</v>
      </c>
    </row>
    <row r="392" spans="1:41" x14ac:dyDescent="0.35">
      <c r="A392" t="s">
        <v>243</v>
      </c>
      <c r="B392" t="s">
        <v>231</v>
      </c>
      <c r="C392" t="s">
        <v>717</v>
      </c>
      <c r="D392">
        <v>-20</v>
      </c>
      <c r="E392">
        <v>-20</v>
      </c>
      <c r="F392">
        <v>0</v>
      </c>
      <c r="G392">
        <v>-3.5500000000000001E-4</v>
      </c>
      <c r="H392">
        <v>50.442187500000003</v>
      </c>
      <c r="J392">
        <v>-23844</v>
      </c>
      <c r="N392" t="s">
        <v>177</v>
      </c>
      <c r="O392">
        <f t="shared" si="15"/>
        <v>49.985799999999998</v>
      </c>
      <c r="P392">
        <f t="shared" si="16"/>
        <v>0.57048437500000659</v>
      </c>
      <c r="Q392">
        <f t="shared" si="17"/>
        <v>0.57048437500000659</v>
      </c>
      <c r="Y392">
        <f>TREND(H387:H391,G387:G391,G392)</f>
        <v>50.327916562050774</v>
      </c>
      <c r="Z392">
        <f>ABS((Y392-H392)/80*100)</f>
        <v>0.14283867243653603</v>
      </c>
      <c r="AE392">
        <f>ABS(P440-P384)</f>
        <v>0.1402624999999702</v>
      </c>
      <c r="AH392">
        <f>H392-AG380</f>
        <v>50.287554999999998</v>
      </c>
      <c r="AI392">
        <f>100*(AH392-O392)/80</f>
        <v>0.37719374999999999</v>
      </c>
    </row>
    <row r="393" spans="1:41" x14ac:dyDescent="0.35">
      <c r="A393" t="s">
        <v>243</v>
      </c>
      <c r="B393" t="s">
        <v>231</v>
      </c>
      <c r="C393" t="s">
        <v>753</v>
      </c>
      <c r="D393">
        <v>-20</v>
      </c>
      <c r="E393">
        <v>-20</v>
      </c>
      <c r="F393">
        <v>-1</v>
      </c>
      <c r="G393">
        <v>-0.99988900000000003</v>
      </c>
      <c r="H393">
        <v>10.239062499999999</v>
      </c>
      <c r="J393">
        <v>-23872</v>
      </c>
      <c r="N393" t="s">
        <v>177</v>
      </c>
      <c r="O393">
        <f t="shared" ref="O393:O456" si="18">(((G393--1)*(40))+10)</f>
        <v>10.004439999999999</v>
      </c>
      <c r="P393">
        <f t="shared" ref="P393:P456" si="19">100*(H393-O393)/80</f>
        <v>0.2932781250000005</v>
      </c>
      <c r="Q393">
        <f t="shared" ref="Q393:Q456" si="20">ABS(P393)</f>
        <v>0.2932781250000005</v>
      </c>
      <c r="Y393">
        <f>TREND(H387:H391,G387:G391,G393)</f>
        <v>10.249608449629669</v>
      </c>
      <c r="Z393">
        <f>ABS((Y393-H393)/80*100)</f>
        <v>1.3182437037086991E-2</v>
      </c>
      <c r="AE393">
        <f>ABS(P441-P385)</f>
        <v>0.13568124999999931</v>
      </c>
      <c r="AH393">
        <f>H393-AG380</f>
        <v>10.084429999999994</v>
      </c>
      <c r="AI393">
        <f>100*(AH393-O393)/80</f>
        <v>9.9987499999993901E-2</v>
      </c>
    </row>
    <row r="394" spans="1:41" x14ac:dyDescent="0.35">
      <c r="A394" t="s">
        <v>243</v>
      </c>
      <c r="B394" t="s">
        <v>231</v>
      </c>
      <c r="C394" t="s">
        <v>790</v>
      </c>
      <c r="D394">
        <v>0</v>
      </c>
      <c r="E394">
        <v>0</v>
      </c>
      <c r="F394">
        <v>-1</v>
      </c>
      <c r="G394">
        <v>-1.0000739999999999</v>
      </c>
      <c r="H394">
        <v>10.2109375</v>
      </c>
      <c r="J394">
        <v>-16771</v>
      </c>
      <c r="N394" t="s">
        <v>177</v>
      </c>
      <c r="O394">
        <f t="shared" si="18"/>
        <v>9.9970400000000037</v>
      </c>
      <c r="P394">
        <f t="shared" si="19"/>
        <v>0.26737187499999537</v>
      </c>
      <c r="Q394">
        <f t="shared" si="20"/>
        <v>0.26737187499999537</v>
      </c>
      <c r="S394">
        <v>50.290624999999999</v>
      </c>
      <c r="T394">
        <v>0.37668124999999719</v>
      </c>
      <c r="U394">
        <v>90.296875</v>
      </c>
      <c r="V394">
        <v>0.35214375000002462</v>
      </c>
      <c r="W394">
        <v>80.0859375</v>
      </c>
      <c r="X394">
        <f>(W394-80)/80*100</f>
        <v>0.10742187500000001</v>
      </c>
      <c r="Y394">
        <f>TREND(H394:H398,G394:G398,G394)</f>
        <v>10.18798872392621</v>
      </c>
      <c r="Z394">
        <f>ABS((Y394-H394)/80*100)</f>
        <v>2.868597009223706E-2</v>
      </c>
      <c r="AA394">
        <f>MAX(Z394:Z398)</f>
        <v>0.12951132577063262</v>
      </c>
      <c r="AB394">
        <f>IF(ABS(MAX(P394:P400)) &gt; ABS(MIN(P394:P400)),MAX(P394:P400), MIN(P394:P400))</f>
        <v>0.51994062500000382</v>
      </c>
      <c r="AC394">
        <f>IF(ABS(AB395)&gt;ABS(AB394),AB395,AB394)</f>
        <v>0.51994062500000382</v>
      </c>
      <c r="AE394">
        <f>ABS(P442-P386)</f>
        <v>0.16853124999999691</v>
      </c>
      <c r="AH394">
        <f>H394-AG380</f>
        <v>10.056304999999995</v>
      </c>
      <c r="AI394">
        <f>100*(AH394-O394)/80</f>
        <v>7.4081249999988774E-2</v>
      </c>
      <c r="AJ394">
        <v>50.135992499999993</v>
      </c>
      <c r="AK394">
        <v>0.18339062499999059</v>
      </c>
      <c r="AL394">
        <v>90.142242499999995</v>
      </c>
      <c r="AM394">
        <v>0.15885312500001803</v>
      </c>
      <c r="AN394">
        <f>IF(ABS(MAX(AI394:AI400)) &gt; ABS(MIN(AI394:AI400)),MAX(AI394:AI400), MIN(AI394:AI400))</f>
        <v>0.32664999999999722</v>
      </c>
      <c r="AO394">
        <f>IF(ABS(AN395)&gt;ABS(AN394),AN395,AN394)</f>
        <v>0.32664999999999722</v>
      </c>
    </row>
    <row r="395" spans="1:41" x14ac:dyDescent="0.35">
      <c r="A395" t="s">
        <v>243</v>
      </c>
      <c r="B395" t="s">
        <v>231</v>
      </c>
      <c r="C395" t="s">
        <v>826</v>
      </c>
      <c r="D395">
        <v>0</v>
      </c>
      <c r="E395">
        <v>0.1</v>
      </c>
      <c r="F395">
        <v>-0.5</v>
      </c>
      <c r="G395">
        <v>-0.499915</v>
      </c>
      <c r="H395">
        <v>30.15</v>
      </c>
      <c r="J395">
        <v>-16771</v>
      </c>
      <c r="N395" t="s">
        <v>177</v>
      </c>
      <c r="O395">
        <f t="shared" si="18"/>
        <v>30.003399999999999</v>
      </c>
      <c r="P395">
        <f t="shared" si="19"/>
        <v>0.18324999999999925</v>
      </c>
      <c r="Q395">
        <f t="shared" si="20"/>
        <v>0.18324999999999925</v>
      </c>
      <c r="Y395">
        <f>TREND(H394:H398,G394:G398,G395)</f>
        <v>30.234838427884576</v>
      </c>
      <c r="Z395">
        <f>ABS((Y395-H395)/80*100)</f>
        <v>0.10604803485572134</v>
      </c>
      <c r="AB395">
        <f>IF(ABS(T394) &gt; ABS(V394),T394,V394)</f>
        <v>0.37668124999999719</v>
      </c>
      <c r="AE395">
        <f>ABS(P436-P408)</f>
        <v>0.27199374999999915</v>
      </c>
      <c r="AH395">
        <f>H395-AG380</f>
        <v>29.995367499999993</v>
      </c>
      <c r="AI395">
        <f>100*(AH395-O395)/80</f>
        <v>-1.0040625000007353E-2</v>
      </c>
      <c r="AN395">
        <f>IF(ABS(AK394) &gt; ABS(AM394),AK394,AM394)</f>
        <v>0.18339062499999059</v>
      </c>
    </row>
    <row r="396" spans="1:41" x14ac:dyDescent="0.35">
      <c r="A396" t="s">
        <v>243</v>
      </c>
      <c r="B396" t="s">
        <v>231</v>
      </c>
      <c r="C396" t="s">
        <v>862</v>
      </c>
      <c r="D396">
        <v>0</v>
      </c>
      <c r="E396">
        <v>0</v>
      </c>
      <c r="F396">
        <v>0</v>
      </c>
      <c r="G396">
        <v>-2.6800000000000001E-4</v>
      </c>
      <c r="H396">
        <v>50.290624999999999</v>
      </c>
      <c r="J396">
        <v>-16752</v>
      </c>
      <c r="N396" t="s">
        <v>177</v>
      </c>
      <c r="O396">
        <f t="shared" si="18"/>
        <v>49.989280000000001</v>
      </c>
      <c r="P396">
        <f t="shared" si="19"/>
        <v>0.37668124999999719</v>
      </c>
      <c r="Q396">
        <f t="shared" si="20"/>
        <v>0.37668124999999719</v>
      </c>
      <c r="Y396">
        <f>TREND(H394:H398,G394:G398,G396)</f>
        <v>50.261166683566643</v>
      </c>
      <c r="Z396">
        <f>ABS((Y396-H396)/80*100)</f>
        <v>3.6822895541694933E-2</v>
      </c>
      <c r="AE396">
        <f>ABS(P437-P409)</f>
        <v>0.18726249999999833</v>
      </c>
      <c r="AH396">
        <f>H396-AG380</f>
        <v>50.135992499999993</v>
      </c>
      <c r="AI396">
        <f>100*(AH396-O396)/80</f>
        <v>0.18339062499999059</v>
      </c>
    </row>
    <row r="397" spans="1:41" x14ac:dyDescent="0.35">
      <c r="A397" t="s">
        <v>243</v>
      </c>
      <c r="B397" t="s">
        <v>231</v>
      </c>
      <c r="C397" t="s">
        <v>899</v>
      </c>
      <c r="D397">
        <v>0</v>
      </c>
      <c r="E397">
        <v>0</v>
      </c>
      <c r="F397">
        <v>0.5</v>
      </c>
      <c r="G397">
        <v>0.49948399999999998</v>
      </c>
      <c r="H397">
        <v>70.395312500000003</v>
      </c>
      <c r="J397">
        <v>-16744</v>
      </c>
      <c r="N397" t="s">
        <v>177</v>
      </c>
      <c r="O397">
        <f t="shared" si="18"/>
        <v>69.97936</v>
      </c>
      <c r="P397">
        <f t="shared" si="19"/>
        <v>0.51994062500000382</v>
      </c>
      <c r="Q397">
        <f t="shared" si="20"/>
        <v>0.51994062500000382</v>
      </c>
      <c r="Y397">
        <f>TREND(H394:H398,G394:G398,G397)</f>
        <v>70.291703439383497</v>
      </c>
      <c r="Z397">
        <f>ABS((Y397-H397)/80*100)</f>
        <v>0.12951132577063262</v>
      </c>
      <c r="AE397">
        <f>ABS(P438-P410)</f>
        <v>0.13388125000000528</v>
      </c>
      <c r="AH397">
        <f>H397-AG380</f>
        <v>70.240679999999998</v>
      </c>
      <c r="AI397">
        <f>100*(AH397-O397)/80</f>
        <v>0.32664999999999722</v>
      </c>
    </row>
    <row r="398" spans="1:41" x14ac:dyDescent="0.35">
      <c r="A398" t="s">
        <v>243</v>
      </c>
      <c r="B398" t="s">
        <v>231</v>
      </c>
      <c r="C398" t="s">
        <v>936</v>
      </c>
      <c r="D398">
        <v>0</v>
      </c>
      <c r="E398">
        <v>0.1</v>
      </c>
      <c r="F398">
        <v>1</v>
      </c>
      <c r="G398">
        <v>1.0003789999999999</v>
      </c>
      <c r="H398">
        <v>90.296875</v>
      </c>
      <c r="J398">
        <v>-16731</v>
      </c>
      <c r="N398" t="s">
        <v>177</v>
      </c>
      <c r="O398">
        <f t="shared" si="18"/>
        <v>90.01515999999998</v>
      </c>
      <c r="P398">
        <f t="shared" si="19"/>
        <v>0.35214375000002462</v>
      </c>
      <c r="Q398">
        <f t="shared" si="20"/>
        <v>0.35214375000002462</v>
      </c>
      <c r="Y398">
        <f>TREND(H394:H398,G394:G398,G398)</f>
        <v>90.368052725239039</v>
      </c>
      <c r="Z398">
        <f>ABS((Y398-H398)/80*100)</f>
        <v>8.8972156548798864E-2</v>
      </c>
      <c r="AE398">
        <f>ABS(P439-P411)</f>
        <v>0.16793125000001297</v>
      </c>
      <c r="AH398">
        <f>H398-AG380</f>
        <v>90.142242499999995</v>
      </c>
      <c r="AI398">
        <f>100*(AH398-O398)/80</f>
        <v>0.15885312500001803</v>
      </c>
    </row>
    <row r="399" spans="1:41" x14ac:dyDescent="0.35">
      <c r="A399" t="s">
        <v>243</v>
      </c>
      <c r="B399" t="s">
        <v>231</v>
      </c>
      <c r="C399" t="s">
        <v>972</v>
      </c>
      <c r="D399">
        <v>0</v>
      </c>
      <c r="E399">
        <v>-0.1</v>
      </c>
      <c r="F399">
        <v>0</v>
      </c>
      <c r="G399">
        <v>-3.57E-4</v>
      </c>
      <c r="H399">
        <v>50.274999999999999</v>
      </c>
      <c r="J399">
        <v>-16697</v>
      </c>
      <c r="N399" t="s">
        <v>177</v>
      </c>
      <c r="O399">
        <f t="shared" si="18"/>
        <v>49.985720000000001</v>
      </c>
      <c r="P399">
        <f t="shared" si="19"/>
        <v>0.36159999999999748</v>
      </c>
      <c r="Q399">
        <f t="shared" si="20"/>
        <v>0.36159999999999748</v>
      </c>
      <c r="Y399">
        <f>TREND(H394:H398,G394:G398,G399)</f>
        <v>50.257599478690487</v>
      </c>
      <c r="Z399">
        <f>ABS((Y399-H399)/80*100)</f>
        <v>2.1750651636889273E-2</v>
      </c>
      <c r="AE399">
        <f>ABS(P440-P412)</f>
        <v>0.13743124999997747</v>
      </c>
      <c r="AH399">
        <f>H399-AG380</f>
        <v>50.120367499999993</v>
      </c>
      <c r="AI399">
        <f>100*(AH399-O399)/80</f>
        <v>0.16830937499999088</v>
      </c>
    </row>
    <row r="400" spans="1:41" x14ac:dyDescent="0.35">
      <c r="A400" t="s">
        <v>243</v>
      </c>
      <c r="B400" t="s">
        <v>231</v>
      </c>
      <c r="C400" t="s">
        <v>1008</v>
      </c>
      <c r="D400">
        <v>0</v>
      </c>
      <c r="E400">
        <v>0</v>
      </c>
      <c r="F400">
        <v>-1</v>
      </c>
      <c r="G400">
        <v>-1.000248</v>
      </c>
      <c r="H400">
        <v>10.143750000000001</v>
      </c>
      <c r="J400">
        <v>-16669</v>
      </c>
      <c r="N400" t="s">
        <v>177</v>
      </c>
      <c r="O400">
        <f t="shared" si="18"/>
        <v>9.990079999999999</v>
      </c>
      <c r="P400">
        <f t="shared" si="19"/>
        <v>0.19208750000000219</v>
      </c>
      <c r="Q400">
        <f t="shared" si="20"/>
        <v>0.19208750000000219</v>
      </c>
      <c r="Y400">
        <f>TREND(H394:H398,G394:G398,G400)</f>
        <v>10.181014637988561</v>
      </c>
      <c r="Z400">
        <f>ABS((Y400-H400)/80*100)</f>
        <v>4.6580797485700209E-2</v>
      </c>
      <c r="AE400">
        <f>ABS(P441-P413)</f>
        <v>0.22170937499999432</v>
      </c>
      <c r="AH400">
        <f>H400-AG380</f>
        <v>9.9891174999999954</v>
      </c>
      <c r="AI400">
        <f>100*(AH400-O400)/80</f>
        <v>-1.2031250000044125E-3</v>
      </c>
    </row>
    <row r="401" spans="1:41" x14ac:dyDescent="0.35">
      <c r="A401" t="s">
        <v>243</v>
      </c>
      <c r="B401" t="s">
        <v>231</v>
      </c>
      <c r="C401" t="s">
        <v>1044</v>
      </c>
      <c r="D401">
        <v>10</v>
      </c>
      <c r="E401">
        <v>10</v>
      </c>
      <c r="F401">
        <v>-1</v>
      </c>
      <c r="G401">
        <v>-1.000186</v>
      </c>
      <c r="H401">
        <v>10.171875</v>
      </c>
      <c r="J401">
        <v>-12406</v>
      </c>
      <c r="N401" t="s">
        <v>177</v>
      </c>
      <c r="O401">
        <f t="shared" si="18"/>
        <v>9.9925599999999992</v>
      </c>
      <c r="P401">
        <f t="shared" si="19"/>
        <v>0.22414375000000097</v>
      </c>
      <c r="Q401">
        <f t="shared" si="20"/>
        <v>0.22414375000000097</v>
      </c>
      <c r="S401">
        <v>50.223437500000003</v>
      </c>
      <c r="T401">
        <v>0.28224687500000734</v>
      </c>
      <c r="U401">
        <v>90.185937499999994</v>
      </c>
      <c r="V401">
        <v>0.25322187499998705</v>
      </c>
      <c r="W401">
        <v>80.014060974121094</v>
      </c>
      <c r="X401">
        <f>(W401-80)/80*100</f>
        <v>1.7576217651367188E-2</v>
      </c>
      <c r="Y401">
        <f>TREND(H401:H405,G401:G405,G401)</f>
        <v>10.169728820028077</v>
      </c>
      <c r="Z401">
        <f>ABS((Y401-H401)/80*100)</f>
        <v>2.6827249649041818E-3</v>
      </c>
      <c r="AA401">
        <f>MAX(Z401:Z405)</f>
        <v>0.13657534033502117</v>
      </c>
      <c r="AB401">
        <f>IF(ABS(MAX(P401:P407)) &gt; ABS(MIN(P401:P407)),MAX(P401:P407), MIN(P401:P407))</f>
        <v>0.44945937499999644</v>
      </c>
      <c r="AC401">
        <f>IF(ABS(AB402)&gt;ABS(AB401),AB402,AB401)</f>
        <v>0.44945937499999644</v>
      </c>
      <c r="AE401">
        <f>ABS(P442-P414)</f>
        <v>0.2746375000000012</v>
      </c>
      <c r="AH401">
        <f>H401-AG380</f>
        <v>10.017242499999995</v>
      </c>
      <c r="AI401">
        <f>100*(AH401-O401)/80</f>
        <v>3.0853124999994375E-2</v>
      </c>
      <c r="AJ401">
        <v>50.068804999999998</v>
      </c>
      <c r="AK401">
        <v>8.8956250000000736E-2</v>
      </c>
      <c r="AL401">
        <v>90.031304999999989</v>
      </c>
      <c r="AM401">
        <v>5.9931249999980452E-2</v>
      </c>
      <c r="AN401">
        <f>IF(ABS(MAX(AI401:AI407)) &gt; ABS(MIN(AI401:AI407)),MAX(AI401:AI407), MIN(AI401:AI407))</f>
        <v>0.25616874999998984</v>
      </c>
      <c r="AO401">
        <f>IF(ABS(AN402)&gt;ABS(AN401),AN402,AN401)</f>
        <v>0.25616874999998984</v>
      </c>
    </row>
    <row r="402" spans="1:41" x14ac:dyDescent="0.35">
      <c r="A402" t="s">
        <v>243</v>
      </c>
      <c r="B402" t="s">
        <v>231</v>
      </c>
      <c r="C402" t="s">
        <v>1080</v>
      </c>
      <c r="D402">
        <v>10</v>
      </c>
      <c r="E402">
        <v>10</v>
      </c>
      <c r="F402">
        <v>-0.5</v>
      </c>
      <c r="G402">
        <v>-0.50011399999999995</v>
      </c>
      <c r="H402">
        <v>30.157812499999999</v>
      </c>
      <c r="J402">
        <v>-12391</v>
      </c>
      <c r="N402" t="s">
        <v>177</v>
      </c>
      <c r="O402">
        <f t="shared" si="18"/>
        <v>29.995440000000002</v>
      </c>
      <c r="P402">
        <f t="shared" si="19"/>
        <v>0.2029656249999956</v>
      </c>
      <c r="Q402">
        <f t="shared" si="20"/>
        <v>0.2029656249999956</v>
      </c>
      <c r="Y402">
        <f>TREND(H401:H405,G401:G405,G402)</f>
        <v>30.196990759610195</v>
      </c>
      <c r="Z402">
        <f>ABS((Y402-H402)/80*100)</f>
        <v>4.8972824512745199E-2</v>
      </c>
      <c r="AB402">
        <f>IF(ABS(T401) &gt; ABS(V401),T401,V401)</f>
        <v>0.28224687500000734</v>
      </c>
      <c r="AH402">
        <f>H402-AG380</f>
        <v>30.003179999999993</v>
      </c>
      <c r="AI402">
        <f>100*(AH402-O402)/80</f>
        <v>9.674999999988998E-3</v>
      </c>
      <c r="AN402">
        <f>IF(ABS(AK401) &gt; ABS(AM401),AK401,AM401)</f>
        <v>8.8956250000000736E-2</v>
      </c>
    </row>
    <row r="403" spans="1:41" x14ac:dyDescent="0.35">
      <c r="A403" t="s">
        <v>243</v>
      </c>
      <c r="B403" t="s">
        <v>1111</v>
      </c>
      <c r="C403" t="s">
        <v>1117</v>
      </c>
      <c r="D403">
        <v>10</v>
      </c>
      <c r="E403">
        <v>10</v>
      </c>
      <c r="F403">
        <v>0</v>
      </c>
      <c r="G403">
        <v>-5.8999999999999998E-5</v>
      </c>
      <c r="H403">
        <v>50.223437500000003</v>
      </c>
      <c r="J403">
        <v>-12378</v>
      </c>
      <c r="N403" t="s">
        <v>177</v>
      </c>
      <c r="O403">
        <f t="shared" si="18"/>
        <v>49.997639999999997</v>
      </c>
      <c r="P403">
        <f t="shared" si="19"/>
        <v>0.28224687500000734</v>
      </c>
      <c r="Q403">
        <f t="shared" si="20"/>
        <v>0.28224687500000734</v>
      </c>
      <c r="Y403">
        <f>TREND(H401:H405,G401:G405,G403)</f>
        <v>50.223571870325721</v>
      </c>
      <c r="Z403">
        <f>ABS((Y403-H403)/80*100)</f>
        <v>1.6796290714715667E-4</v>
      </c>
      <c r="AH403">
        <f>H403-AG380</f>
        <v>50.068804999999998</v>
      </c>
      <c r="AI403">
        <f>100*(AH403-O403)/80</f>
        <v>8.8956250000000736E-2</v>
      </c>
    </row>
    <row r="404" spans="1:41" x14ac:dyDescent="0.35">
      <c r="A404" t="s">
        <v>243</v>
      </c>
      <c r="B404" t="s">
        <v>1111</v>
      </c>
      <c r="C404" t="s">
        <v>1154</v>
      </c>
      <c r="D404">
        <v>10</v>
      </c>
      <c r="E404">
        <v>10</v>
      </c>
      <c r="F404">
        <v>0.5</v>
      </c>
      <c r="G404">
        <v>0.49987799999999999</v>
      </c>
      <c r="H404">
        <v>70.354687499999997</v>
      </c>
      <c r="J404">
        <v>-12363</v>
      </c>
      <c r="N404" t="s">
        <v>177</v>
      </c>
      <c r="O404">
        <f t="shared" si="18"/>
        <v>69.99512</v>
      </c>
      <c r="P404">
        <f t="shared" si="19"/>
        <v>0.44945937499999644</v>
      </c>
      <c r="Q404">
        <f t="shared" si="20"/>
        <v>0.44945937499999644</v>
      </c>
      <c r="Y404">
        <f>TREND(H401:H405,G401:G405,G404)</f>
        <v>70.24542722773198</v>
      </c>
      <c r="Z404">
        <f>ABS((Y404-H404)/80*100)</f>
        <v>0.13657534033502117</v>
      </c>
      <c r="AH404">
        <f>H404-AG380</f>
        <v>70.200054999999992</v>
      </c>
      <c r="AI404">
        <f>100*(AH404-O404)/80</f>
        <v>0.25616874999998984</v>
      </c>
    </row>
    <row r="405" spans="1:41" x14ac:dyDescent="0.35">
      <c r="A405" t="s">
        <v>243</v>
      </c>
      <c r="B405" t="s">
        <v>1111</v>
      </c>
      <c r="C405" t="s">
        <v>1192</v>
      </c>
      <c r="D405">
        <v>10</v>
      </c>
      <c r="E405">
        <v>10</v>
      </c>
      <c r="F405">
        <v>1</v>
      </c>
      <c r="G405">
        <v>0.99958400000000003</v>
      </c>
      <c r="H405">
        <v>90.185937499999994</v>
      </c>
      <c r="J405">
        <v>-12352</v>
      </c>
      <c r="N405" t="s">
        <v>177</v>
      </c>
      <c r="O405">
        <f t="shared" si="18"/>
        <v>89.983360000000005</v>
      </c>
      <c r="P405">
        <f t="shared" si="19"/>
        <v>0.25322187499998705</v>
      </c>
      <c r="Q405">
        <f t="shared" si="20"/>
        <v>0.25322187499998705</v>
      </c>
      <c r="Y405">
        <f>TREND(H401:H405,G401:G405,G405)</f>
        <v>90.258031322303992</v>
      </c>
      <c r="Z405">
        <f>ABS((Y405-H405)/80*100)</f>
        <v>9.0117277879997459E-2</v>
      </c>
      <c r="AH405">
        <f>H405-AG380</f>
        <v>90.031304999999989</v>
      </c>
      <c r="AI405">
        <f>100*(AH405-O405)/80</f>
        <v>5.9931249999980452E-2</v>
      </c>
    </row>
    <row r="406" spans="1:41" x14ac:dyDescent="0.35">
      <c r="A406" t="s">
        <v>243</v>
      </c>
      <c r="B406" t="s">
        <v>1111</v>
      </c>
      <c r="C406" t="s">
        <v>1228</v>
      </c>
      <c r="D406">
        <v>10</v>
      </c>
      <c r="E406">
        <v>10</v>
      </c>
      <c r="F406">
        <v>0</v>
      </c>
      <c r="G406">
        <v>1.2400000000000001E-4</v>
      </c>
      <c r="H406">
        <v>50.143749999999997</v>
      </c>
      <c r="J406">
        <v>-12348</v>
      </c>
      <c r="N406" t="s">
        <v>177</v>
      </c>
      <c r="O406">
        <f t="shared" si="18"/>
        <v>50.004959999999997</v>
      </c>
      <c r="P406">
        <f t="shared" si="19"/>
        <v>0.17348750000000024</v>
      </c>
      <c r="Q406">
        <f t="shared" si="20"/>
        <v>0.17348750000000024</v>
      </c>
      <c r="Y406">
        <f>TREND(H401:H405,G401:G405,G406)</f>
        <v>50.230900792830766</v>
      </c>
      <c r="Z406">
        <f>ABS((Y406-H406)/80*100)</f>
        <v>0.10893849103846165</v>
      </c>
      <c r="AH406">
        <f>H406-AG380</f>
        <v>49.989117499999992</v>
      </c>
      <c r="AI406">
        <f>100*(AH406-O406)/80</f>
        <v>-1.9803125000006361E-2</v>
      </c>
    </row>
    <row r="407" spans="1:41" x14ac:dyDescent="0.35">
      <c r="A407" t="s">
        <v>243</v>
      </c>
      <c r="B407" t="s">
        <v>1111</v>
      </c>
      <c r="C407" t="s">
        <v>1264</v>
      </c>
      <c r="D407">
        <v>10</v>
      </c>
      <c r="E407">
        <v>10</v>
      </c>
      <c r="F407">
        <v>-1</v>
      </c>
      <c r="G407">
        <v>-0.999834</v>
      </c>
      <c r="H407">
        <v>10.234375</v>
      </c>
      <c r="J407">
        <v>-12335</v>
      </c>
      <c r="N407" t="s">
        <v>177</v>
      </c>
      <c r="O407">
        <f t="shared" si="18"/>
        <v>10.006640000000001</v>
      </c>
      <c r="P407">
        <f t="shared" si="19"/>
        <v>0.28466874999999892</v>
      </c>
      <c r="Q407">
        <f t="shared" si="20"/>
        <v>0.28466874999999892</v>
      </c>
      <c r="Y407">
        <f>TREND(H401:H405,G401:G405,G407)</f>
        <v>10.183825982442158</v>
      </c>
      <c r="Z407">
        <f>ABS((Y407-H407)/80*100)</f>
        <v>6.3186271947301975E-2</v>
      </c>
      <c r="AH407">
        <f>H407-AG380</f>
        <v>10.079742499999995</v>
      </c>
      <c r="AI407">
        <f>100*(AH407-O407)/80</f>
        <v>9.1378124999992316E-2</v>
      </c>
    </row>
    <row r="408" spans="1:41" x14ac:dyDescent="0.35">
      <c r="A408" t="s">
        <v>243</v>
      </c>
      <c r="B408" t="s">
        <v>1111</v>
      </c>
      <c r="C408" t="s">
        <v>1301</v>
      </c>
      <c r="D408">
        <v>25</v>
      </c>
      <c r="E408">
        <v>25</v>
      </c>
      <c r="F408">
        <v>-1</v>
      </c>
      <c r="G408">
        <v>-0.99999199999999999</v>
      </c>
      <c r="H408">
        <v>10.145312499999999</v>
      </c>
      <c r="J408">
        <v>-6562</v>
      </c>
      <c r="N408" t="s">
        <v>177</v>
      </c>
      <c r="O408">
        <f t="shared" si="18"/>
        <v>10.00032</v>
      </c>
      <c r="P408">
        <f t="shared" si="19"/>
        <v>0.18124062499999871</v>
      </c>
      <c r="Q408">
        <f t="shared" si="20"/>
        <v>0.18124062499999871</v>
      </c>
      <c r="S408">
        <v>50.123437500000001</v>
      </c>
      <c r="T408">
        <v>0.16939687499999856</v>
      </c>
      <c r="U408">
        <v>90.262500000000003</v>
      </c>
      <c r="V408">
        <v>0.34472499999999684</v>
      </c>
      <c r="W408">
        <v>80.117184448242185</v>
      </c>
      <c r="X408">
        <f>(W408-80)/80*100</f>
        <v>0.14648056030273082</v>
      </c>
      <c r="Y408">
        <f>TREND(H408:H412,G408:G412,G408)</f>
        <v>10.100471677677724</v>
      </c>
      <c r="Z408">
        <f>ABS((Y408-H408)/80*100)</f>
        <v>5.6051027902843657E-2</v>
      </c>
      <c r="AA408">
        <f>MAX(Z408:Z412)</f>
        <v>9.7065046112856379E-2</v>
      </c>
      <c r="AB408">
        <f>IF(ABS(MAX(P408:P414)) &gt; ABS(MIN(P408:P414)),MAX(P408:P414), MIN(P408:P414))</f>
        <v>0.40248749999999944</v>
      </c>
      <c r="AC408">
        <f>IF(ABS(AB409)&gt;ABS(AB408),AB409,AB408)</f>
        <v>0.40248749999999944</v>
      </c>
      <c r="AH408">
        <f>H408-AG380</f>
        <v>9.990679999999994</v>
      </c>
      <c r="AI408">
        <f>100*(AH408-O408)/80</f>
        <v>-1.2050000000007888E-2</v>
      </c>
      <c r="AJ408">
        <v>49.968804999999996</v>
      </c>
      <c r="AK408">
        <v>-2.3893750000008041E-2</v>
      </c>
      <c r="AL408">
        <v>90.107867499999998</v>
      </c>
      <c r="AM408">
        <v>0.15143437499999024</v>
      </c>
      <c r="AN408">
        <f>IF(ABS(MAX(AI408:AI414)) &gt; ABS(MIN(AI408:AI414)),MAX(AI408:AI414), MIN(AI408:AI414))</f>
        <v>0.20919687499999284</v>
      </c>
      <c r="AO408">
        <f>IF(ABS(AN409)&gt;ABS(AN408),AN409,AN408)</f>
        <v>0.20919687499999284</v>
      </c>
    </row>
    <row r="409" spans="1:41" x14ac:dyDescent="0.35">
      <c r="A409" t="s">
        <v>243</v>
      </c>
      <c r="B409" t="s">
        <v>1111</v>
      </c>
      <c r="C409" t="s">
        <v>1337</v>
      </c>
      <c r="D409">
        <v>25</v>
      </c>
      <c r="E409">
        <v>25</v>
      </c>
      <c r="F409">
        <v>-0.5</v>
      </c>
      <c r="G409">
        <v>-0.50034900000000004</v>
      </c>
      <c r="H409">
        <v>30.089062500000001</v>
      </c>
      <c r="J409">
        <v>-6542</v>
      </c>
      <c r="N409" t="s">
        <v>177</v>
      </c>
      <c r="O409">
        <f t="shared" si="18"/>
        <v>29.986039999999999</v>
      </c>
      <c r="P409">
        <f t="shared" si="19"/>
        <v>0.12877812500000196</v>
      </c>
      <c r="Q409">
        <f t="shared" si="20"/>
        <v>0.12877812500000196</v>
      </c>
      <c r="Y409">
        <f>TREND(H408:H412,G408:G412,G409)</f>
        <v>30.134222306303087</v>
      </c>
      <c r="Z409">
        <f>ABS((Y409-H409)/80*100)</f>
        <v>5.644975787885808E-2</v>
      </c>
      <c r="AB409">
        <f>IF(ABS(T408) &gt; ABS(V408),T408,V408)</f>
        <v>0.34472499999999684</v>
      </c>
      <c r="AH409">
        <f>H409-AG380</f>
        <v>29.934429999999995</v>
      </c>
      <c r="AI409">
        <f>100*(AH409-O409)/80</f>
        <v>-6.4512500000004636E-2</v>
      </c>
      <c r="AN409">
        <f>IF(ABS(AK408) &gt; ABS(AM408),AK408,AM408)</f>
        <v>0.15143437499999024</v>
      </c>
    </row>
    <row r="410" spans="1:41" x14ac:dyDescent="0.35">
      <c r="A410" t="s">
        <v>243</v>
      </c>
      <c r="B410" t="s">
        <v>1111</v>
      </c>
      <c r="C410" t="s">
        <v>1373</v>
      </c>
      <c r="D410">
        <v>25</v>
      </c>
      <c r="E410">
        <v>25</v>
      </c>
      <c r="F410">
        <v>0</v>
      </c>
      <c r="G410">
        <v>-3.0200000000000002E-4</v>
      </c>
      <c r="H410">
        <v>50.123437500000001</v>
      </c>
      <c r="J410">
        <v>-6528</v>
      </c>
      <c r="N410" t="s">
        <v>177</v>
      </c>
      <c r="O410">
        <f t="shared" si="18"/>
        <v>49.987920000000003</v>
      </c>
      <c r="P410">
        <f t="shared" si="19"/>
        <v>0.16939687499999856</v>
      </c>
      <c r="Q410">
        <f t="shared" si="20"/>
        <v>0.16939687499999856</v>
      </c>
      <c r="Y410">
        <f>TREND(H408:H412,G408:G412,G410)</f>
        <v>50.184171771405623</v>
      </c>
      <c r="Z410">
        <f>ABS((Y410-H410)/80*100)</f>
        <v>7.5917839257026998E-2</v>
      </c>
      <c r="AH410">
        <f>H410-AG380</f>
        <v>49.968804999999996</v>
      </c>
      <c r="AI410">
        <f>100*(AH410-O410)/80</f>
        <v>-2.3893750000008041E-2</v>
      </c>
    </row>
    <row r="411" spans="1:41" x14ac:dyDescent="0.35">
      <c r="A411" t="s">
        <v>243</v>
      </c>
      <c r="B411" t="s">
        <v>1111</v>
      </c>
      <c r="C411" t="s">
        <v>1411</v>
      </c>
      <c r="D411">
        <v>25</v>
      </c>
      <c r="E411">
        <v>25</v>
      </c>
      <c r="F411">
        <v>0.5</v>
      </c>
      <c r="G411">
        <v>0.499919</v>
      </c>
      <c r="H411">
        <v>70.318749999999994</v>
      </c>
      <c r="J411">
        <v>-6502</v>
      </c>
      <c r="N411" t="s">
        <v>177</v>
      </c>
      <c r="O411">
        <f t="shared" si="18"/>
        <v>69.996759999999995</v>
      </c>
      <c r="P411">
        <f t="shared" si="19"/>
        <v>0.40248749999999944</v>
      </c>
      <c r="Q411">
        <f t="shared" si="20"/>
        <v>0.40248749999999944</v>
      </c>
      <c r="Y411">
        <f>TREND(H408:H412,G408:G412,G411)</f>
        <v>70.241097963109709</v>
      </c>
      <c r="Z411">
        <f>ABS((Y411-H411)/80*100)</f>
        <v>9.7065046112856379E-2</v>
      </c>
      <c r="AH411">
        <f>H411-AG380</f>
        <v>70.164117499999989</v>
      </c>
      <c r="AI411">
        <f>100*(AH411-O411)/80</f>
        <v>0.20919687499999284</v>
      </c>
    </row>
    <row r="412" spans="1:41" x14ac:dyDescent="0.35">
      <c r="A412" t="s">
        <v>243</v>
      </c>
      <c r="B412" t="s">
        <v>1111</v>
      </c>
      <c r="C412" t="s">
        <v>1447</v>
      </c>
      <c r="D412">
        <v>25</v>
      </c>
      <c r="E412">
        <v>25</v>
      </c>
      <c r="F412">
        <v>1</v>
      </c>
      <c r="G412">
        <v>0.999668</v>
      </c>
      <c r="H412">
        <v>90.262500000000003</v>
      </c>
      <c r="J412">
        <v>-6487</v>
      </c>
      <c r="N412" t="s">
        <v>177</v>
      </c>
      <c r="O412">
        <f t="shared" si="18"/>
        <v>89.986720000000005</v>
      </c>
      <c r="P412">
        <f t="shared" si="19"/>
        <v>0.34472499999999684</v>
      </c>
      <c r="Q412">
        <f t="shared" si="20"/>
        <v>0.34472499999999684</v>
      </c>
      <c r="Y412">
        <f>TREND(H408:H412,G408:G412,G412)</f>
        <v>90.279098781503833</v>
      </c>
      <c r="Z412">
        <f>ABS((Y412-H412)/80*100)</f>
        <v>2.0748476879788313E-2</v>
      </c>
      <c r="AH412">
        <f>H412-AG380</f>
        <v>90.107867499999998</v>
      </c>
      <c r="AI412">
        <f>100*(AH412-O412)/80</f>
        <v>0.15143437499999024</v>
      </c>
    </row>
    <row r="413" spans="1:41" x14ac:dyDescent="0.35">
      <c r="A413" t="s">
        <v>243</v>
      </c>
      <c r="B413" t="s">
        <v>1111</v>
      </c>
      <c r="C413" t="s">
        <v>1484</v>
      </c>
      <c r="D413">
        <v>25</v>
      </c>
      <c r="E413">
        <v>25</v>
      </c>
      <c r="F413">
        <v>0</v>
      </c>
      <c r="G413">
        <v>7.2000000000000002E-5</v>
      </c>
      <c r="H413">
        <v>50.193750000000001</v>
      </c>
      <c r="J413">
        <v>-6472</v>
      </c>
      <c r="N413" t="s">
        <v>177</v>
      </c>
      <c r="O413">
        <f t="shared" si="18"/>
        <v>50.002880000000005</v>
      </c>
      <c r="P413">
        <f t="shared" si="19"/>
        <v>0.23858749999999596</v>
      </c>
      <c r="Q413">
        <f t="shared" si="20"/>
        <v>0.23858749999999596</v>
      </c>
      <c r="Y413">
        <f>TREND(H408:H412,G408:G412,G413)</f>
        <v>50.19916772398598</v>
      </c>
      <c r="Z413">
        <f>ABS((Y413-H413)/80*100)</f>
        <v>6.7721549824728547E-3</v>
      </c>
      <c r="AH413">
        <f>H413-AG380</f>
        <v>50.039117499999996</v>
      </c>
      <c r="AI413">
        <f>100*(AH413-O413)/80</f>
        <v>4.5296874999989356E-2</v>
      </c>
    </row>
    <row r="414" spans="1:41" x14ac:dyDescent="0.35">
      <c r="A414" t="s">
        <v>243</v>
      </c>
      <c r="B414" t="s">
        <v>1111</v>
      </c>
      <c r="C414" t="s">
        <v>1520</v>
      </c>
      <c r="D414">
        <v>25</v>
      </c>
      <c r="E414">
        <v>25</v>
      </c>
      <c r="F414">
        <v>-1</v>
      </c>
      <c r="G414">
        <v>-1.0001180000000001</v>
      </c>
      <c r="H414">
        <v>10.1390625</v>
      </c>
      <c r="J414">
        <v>-6455</v>
      </c>
      <c r="N414" t="s">
        <v>177</v>
      </c>
      <c r="O414">
        <f t="shared" si="18"/>
        <v>9.9952799999999975</v>
      </c>
      <c r="P414">
        <f t="shared" si="19"/>
        <v>0.17972812500000268</v>
      </c>
      <c r="Q414">
        <f t="shared" si="20"/>
        <v>0.17972812500000268</v>
      </c>
      <c r="Y414">
        <f>TREND(H408:H412,G408:G412,G414)</f>
        <v>10.095419565311083</v>
      </c>
      <c r="Z414">
        <f>ABS((Y414-H414)/80*100)</f>
        <v>5.4553668361145835E-2</v>
      </c>
      <c r="AH414">
        <f>H414-AG380</f>
        <v>9.9844299999999944</v>
      </c>
      <c r="AI414">
        <f>100*(AH414-O414)/80</f>
        <v>-1.3562500000003919E-2</v>
      </c>
    </row>
    <row r="415" spans="1:41" x14ac:dyDescent="0.35">
      <c r="A415" t="s">
        <v>243</v>
      </c>
      <c r="B415" t="s">
        <v>1111</v>
      </c>
      <c r="C415" t="s">
        <v>1557</v>
      </c>
      <c r="D415">
        <v>50</v>
      </c>
      <c r="E415">
        <v>50</v>
      </c>
      <c r="F415">
        <v>-1</v>
      </c>
      <c r="G415">
        <v>-0.99982800000000005</v>
      </c>
      <c r="H415">
        <v>10.128125000000001</v>
      </c>
      <c r="J415">
        <v>3066</v>
      </c>
      <c r="N415" t="s">
        <v>177</v>
      </c>
      <c r="O415">
        <f t="shared" si="18"/>
        <v>10.006879999999999</v>
      </c>
      <c r="P415">
        <f t="shared" si="19"/>
        <v>0.15155625000000228</v>
      </c>
      <c r="Q415">
        <f t="shared" si="20"/>
        <v>0.15155625000000228</v>
      </c>
      <c r="S415">
        <v>50.107812500000001</v>
      </c>
      <c r="T415">
        <v>0.13241562500000192</v>
      </c>
      <c r="U415">
        <v>90.1953125</v>
      </c>
      <c r="V415">
        <v>0.24934062499999854</v>
      </c>
      <c r="W415">
        <v>80.067187500000003</v>
      </c>
      <c r="X415">
        <f>(W415-80)/80*100</f>
        <v>8.3984375000003553E-2</v>
      </c>
      <c r="Y415">
        <f>TREND(H415:H419,G415:G419,G415)</f>
        <v>10.079117963766357</v>
      </c>
      <c r="Z415">
        <f>ABS((Y415-H415)/80*100)</f>
        <v>6.1258795292054025E-2</v>
      </c>
      <c r="AA415">
        <f>MAX(Z415:Z419)</f>
        <v>6.9437544610453372E-2</v>
      </c>
      <c r="AB415">
        <f>IF(ABS(MAX(P415:P421)) &gt; ABS(MIN(P415:P421)),MAX(P415:P421), MIN(P415:P421))</f>
        <v>0.24934062499999854</v>
      </c>
      <c r="AC415">
        <f>IF(ABS(AB416)&gt;ABS(AB415),AB416,AB415)</f>
        <v>0.24934062499999854</v>
      </c>
      <c r="AH415">
        <f>H415-AG380</f>
        <v>9.9734924999999954</v>
      </c>
      <c r="AI415">
        <f>100*(AH415-O415)/80</f>
        <v>-4.173437500000432E-2</v>
      </c>
      <c r="AJ415">
        <v>49.953179999999996</v>
      </c>
      <c r="AK415">
        <v>-6.0875000000004675E-2</v>
      </c>
      <c r="AL415">
        <v>90.040679999999995</v>
      </c>
      <c r="AM415">
        <v>5.604999999999194E-2</v>
      </c>
      <c r="AN415">
        <f>IF(ABS(MAX(AI415:AI421)) &gt; ABS(MIN(AI415:AI421)),MAX(AI415:AI421), MIN(AI415:AI421))</f>
        <v>-0.13641562500001037</v>
      </c>
      <c r="AO415">
        <f>IF(ABS(AN416)&gt;ABS(AN415),AN416,AN415)</f>
        <v>-0.13641562500001037</v>
      </c>
    </row>
    <row r="416" spans="1:41" x14ac:dyDescent="0.35">
      <c r="A416" t="s">
        <v>243</v>
      </c>
      <c r="B416" t="s">
        <v>1111</v>
      </c>
      <c r="C416" t="s">
        <v>1593</v>
      </c>
      <c r="D416">
        <v>50</v>
      </c>
      <c r="E416">
        <v>50</v>
      </c>
      <c r="F416">
        <v>-0.5</v>
      </c>
      <c r="G416">
        <v>-0.50082499999999996</v>
      </c>
      <c r="H416">
        <v>30.012499999999999</v>
      </c>
      <c r="J416">
        <v>3109</v>
      </c>
      <c r="N416" t="s">
        <v>177</v>
      </c>
      <c r="O416">
        <f t="shared" si="18"/>
        <v>29.967000000000002</v>
      </c>
      <c r="P416">
        <f t="shared" si="19"/>
        <v>5.6874999999996234E-2</v>
      </c>
      <c r="Q416">
        <f t="shared" si="20"/>
        <v>5.6874999999996234E-2</v>
      </c>
      <c r="Y416">
        <f>TREND(H415:H419,G415:G419,G416)</f>
        <v>30.068050035688362</v>
      </c>
      <c r="Z416">
        <f>ABS((Y416-H416)/80*100)</f>
        <v>6.9437544610453372E-2</v>
      </c>
      <c r="AB416">
        <f>IF(ABS(T415) &gt; ABS(V415),T415,V415)</f>
        <v>0.24934062499999854</v>
      </c>
      <c r="AH416">
        <f>H416-AG380</f>
        <v>29.857867499999994</v>
      </c>
      <c r="AI416">
        <f>100*(AH416-O416)/80</f>
        <v>-0.13641562500001037</v>
      </c>
      <c r="AN416">
        <f>IF(ABS(AK415) &gt; ABS(AM415),AK415,AM415)</f>
        <v>-6.0875000000004675E-2</v>
      </c>
    </row>
    <row r="417" spans="1:41" x14ac:dyDescent="0.35">
      <c r="A417" t="s">
        <v>243</v>
      </c>
      <c r="B417" t="s">
        <v>1111</v>
      </c>
      <c r="C417" t="s">
        <v>1631</v>
      </c>
      <c r="D417">
        <v>50</v>
      </c>
      <c r="E417">
        <v>50</v>
      </c>
      <c r="F417">
        <v>0</v>
      </c>
      <c r="G417">
        <v>4.6999999999999997E-5</v>
      </c>
      <c r="H417">
        <v>50.107812500000001</v>
      </c>
      <c r="J417">
        <v>3143</v>
      </c>
      <c r="N417" t="s">
        <v>177</v>
      </c>
      <c r="O417">
        <f t="shared" si="18"/>
        <v>50.00188</v>
      </c>
      <c r="P417">
        <f t="shared" si="19"/>
        <v>0.13241562500000192</v>
      </c>
      <c r="Q417">
        <f t="shared" si="20"/>
        <v>0.13241562500000192</v>
      </c>
      <c r="Y417">
        <f>TREND(H415:H419,G415:G419,G417)</f>
        <v>50.131850022317131</v>
      </c>
      <c r="Z417">
        <f>ABS((Y417-H417)/80*100)</f>
        <v>3.004690289641232E-2</v>
      </c>
      <c r="AH417">
        <f>H417-AG380</f>
        <v>49.953179999999996</v>
      </c>
      <c r="AI417">
        <f>100*(AH417-O417)/80</f>
        <v>-6.0875000000004675E-2</v>
      </c>
    </row>
    <row r="418" spans="1:41" x14ac:dyDescent="0.35">
      <c r="A418" t="s">
        <v>243</v>
      </c>
      <c r="B418" t="s">
        <v>1111</v>
      </c>
      <c r="C418" t="s">
        <v>1667</v>
      </c>
      <c r="D418">
        <v>50</v>
      </c>
      <c r="E418">
        <v>50</v>
      </c>
      <c r="F418">
        <v>0.5</v>
      </c>
      <c r="G418">
        <v>0.50020699999999996</v>
      </c>
      <c r="H418">
        <v>70.185937499999994</v>
      </c>
      <c r="J418">
        <v>3171</v>
      </c>
      <c r="N418" t="s">
        <v>177</v>
      </c>
      <c r="O418">
        <f t="shared" si="18"/>
        <v>70.008279999999999</v>
      </c>
      <c r="P418">
        <f t="shared" si="19"/>
        <v>0.22207187499999392</v>
      </c>
      <c r="Q418">
        <f t="shared" si="20"/>
        <v>0.22207187499999392</v>
      </c>
      <c r="Y418">
        <f>TREND(H415:H419,G415:G419,G418)</f>
        <v>70.16712889858141</v>
      </c>
      <c r="Z418">
        <f>ABS((Y418-H418)/80*100)</f>
        <v>2.3510751773230254E-2</v>
      </c>
      <c r="AH418">
        <f>H418-AG380</f>
        <v>70.031304999999989</v>
      </c>
      <c r="AI418">
        <f>100*(AH418-O418)/80</f>
        <v>2.8781249999987324E-2</v>
      </c>
    </row>
    <row r="419" spans="1:41" x14ac:dyDescent="0.35">
      <c r="A419" t="s">
        <v>243</v>
      </c>
      <c r="B419" t="s">
        <v>1111</v>
      </c>
      <c r="C419" t="s">
        <v>1704</v>
      </c>
      <c r="D419">
        <v>50</v>
      </c>
      <c r="E419">
        <v>50</v>
      </c>
      <c r="F419">
        <v>1</v>
      </c>
      <c r="G419">
        <v>0.99989600000000001</v>
      </c>
      <c r="H419">
        <v>90.1953125</v>
      </c>
      <c r="J419">
        <v>3203</v>
      </c>
      <c r="N419" t="s">
        <v>177</v>
      </c>
      <c r="O419">
        <f t="shared" si="18"/>
        <v>89.995840000000001</v>
      </c>
      <c r="P419">
        <f t="shared" si="19"/>
        <v>0.24934062499999854</v>
      </c>
      <c r="Q419">
        <f t="shared" si="20"/>
        <v>0.24934062499999854</v>
      </c>
      <c r="Y419">
        <f>TREND(H415:H419,G415:G419,G419)</f>
        <v>90.183540579646717</v>
      </c>
      <c r="Z419">
        <f>ABS((Y419-H419)/80*100)</f>
        <v>1.4714900441603618E-2</v>
      </c>
      <c r="AH419">
        <f>H419-AG380</f>
        <v>90.040679999999995</v>
      </c>
      <c r="AI419">
        <f>100*(AH419-O419)/80</f>
        <v>5.604999999999194E-2</v>
      </c>
    </row>
    <row r="420" spans="1:41" x14ac:dyDescent="0.35">
      <c r="A420" t="s">
        <v>243</v>
      </c>
      <c r="B420" t="s">
        <v>1111</v>
      </c>
      <c r="C420" t="s">
        <v>1741</v>
      </c>
      <c r="D420">
        <v>50</v>
      </c>
      <c r="E420">
        <v>50</v>
      </c>
      <c r="F420">
        <v>0</v>
      </c>
      <c r="G420">
        <v>1.0000000000000001E-5</v>
      </c>
      <c r="H420">
        <v>50.125</v>
      </c>
      <c r="J420">
        <v>3224</v>
      </c>
      <c r="N420" t="s">
        <v>177</v>
      </c>
      <c r="O420">
        <f t="shared" si="18"/>
        <v>50.000399999999999</v>
      </c>
      <c r="P420">
        <f t="shared" si="19"/>
        <v>0.15575000000000117</v>
      </c>
      <c r="Q420">
        <f t="shared" si="20"/>
        <v>0.15575000000000117</v>
      </c>
      <c r="Y420">
        <f>TREND(H415:H419,G415:G419,G420)</f>
        <v>50.130367885963921</v>
      </c>
      <c r="Z420">
        <f>ABS((Y420-H420)/80*100)</f>
        <v>6.7098574549007139E-3</v>
      </c>
      <c r="AH420">
        <f>H420-AG380</f>
        <v>49.970367499999995</v>
      </c>
      <c r="AI420">
        <f>100*(AH420-O420)/80</f>
        <v>-3.7540625000005434E-2</v>
      </c>
    </row>
    <row r="421" spans="1:41" x14ac:dyDescent="0.35">
      <c r="A421" t="s">
        <v>243</v>
      </c>
      <c r="B421" t="s">
        <v>1111</v>
      </c>
      <c r="C421" t="s">
        <v>1777</v>
      </c>
      <c r="D421">
        <v>50</v>
      </c>
      <c r="E421">
        <v>50</v>
      </c>
      <c r="F421">
        <v>-1</v>
      </c>
      <c r="G421">
        <v>-1.000294</v>
      </c>
      <c r="H421">
        <v>10.035937499999999</v>
      </c>
      <c r="J421">
        <v>3260</v>
      </c>
      <c r="N421" t="s">
        <v>177</v>
      </c>
      <c r="O421">
        <f t="shared" si="18"/>
        <v>9.9882399999999993</v>
      </c>
      <c r="P421">
        <f t="shared" si="19"/>
        <v>5.9621874999999935E-2</v>
      </c>
      <c r="Q421">
        <f t="shared" si="20"/>
        <v>5.9621874999999935E-2</v>
      </c>
      <c r="Y421">
        <f>TREND(H415:H419,G415:G419,G421)</f>
        <v>10.060451057263762</v>
      </c>
      <c r="Z421">
        <f>ABS((Y421-H421)/80*100)</f>
        <v>3.0641946579703653E-2</v>
      </c>
      <c r="AH421">
        <f>H421-AG380</f>
        <v>9.881304999999994</v>
      </c>
      <c r="AI421">
        <f>100*(AH421-O421)/80</f>
        <v>-0.13366875000000666</v>
      </c>
    </row>
    <row r="422" spans="1:41" x14ac:dyDescent="0.35">
      <c r="A422" t="s">
        <v>243</v>
      </c>
      <c r="B422" t="s">
        <v>1111</v>
      </c>
      <c r="C422" t="s">
        <v>1815</v>
      </c>
      <c r="D422">
        <v>70</v>
      </c>
      <c r="E422">
        <v>70</v>
      </c>
      <c r="F422">
        <v>-1</v>
      </c>
      <c r="G422">
        <v>-0.99991600000000003</v>
      </c>
      <c r="H422">
        <v>9.8843750000000004</v>
      </c>
      <c r="J422">
        <v>11026</v>
      </c>
      <c r="N422" t="s">
        <v>177</v>
      </c>
      <c r="O422">
        <f t="shared" si="18"/>
        <v>10.003359999999999</v>
      </c>
      <c r="P422">
        <f t="shared" si="19"/>
        <v>-0.14873124999999821</v>
      </c>
      <c r="Q422">
        <f t="shared" si="20"/>
        <v>0.14873124999999821</v>
      </c>
      <c r="S422">
        <v>49.875</v>
      </c>
      <c r="T422">
        <v>-0.15105000000000146</v>
      </c>
      <c r="U422">
        <v>90.017187500000006</v>
      </c>
      <c r="V422">
        <v>4.4434375000008686E-2</v>
      </c>
      <c r="W422">
        <v>80.132814025878901</v>
      </c>
      <c r="X422">
        <f>(W422-80)/80*100</f>
        <v>0.16601753234862571</v>
      </c>
      <c r="Y422">
        <f>TREND(H422:H426,G422:G426,G422)</f>
        <v>9.849502240812626</v>
      </c>
      <c r="Z422">
        <f>ABS((Y422-H422)/80*100)</f>
        <v>4.3590948984217892E-2</v>
      </c>
      <c r="AA422">
        <f>MAX(Z422:Z426)</f>
        <v>7.4152720629685476E-2</v>
      </c>
      <c r="AB422">
        <f>IF(ABS(MAX(P422:P428)) &gt; ABS(MIN(P422:P428)),MAX(P422:P428), MIN(P422:P428))</f>
        <v>-0.1761968749999987</v>
      </c>
      <c r="AC422">
        <f>IF(ABS(AB423)&gt;ABS(AB422),AB423,AB422)</f>
        <v>-0.1761968749999987</v>
      </c>
      <c r="AH422">
        <f>H422-AG380</f>
        <v>9.7297424999999951</v>
      </c>
      <c r="AI422">
        <f>100*(AH422-O422)/80</f>
        <v>-0.3420218750000048</v>
      </c>
      <c r="AJ422">
        <v>49.720367499999995</v>
      </c>
      <c r="AK422">
        <v>-0.34434062500000806</v>
      </c>
      <c r="AL422">
        <v>89.862555</v>
      </c>
      <c r="AM422">
        <v>-0.14885624999999791</v>
      </c>
      <c r="AN422">
        <f>IF(ABS(MAX(AI422:AI428)) &gt; ABS(MIN(AI422:AI428)),MAX(AI422:AI428), MIN(AI422:AI428))</f>
        <v>-0.3694875000000053</v>
      </c>
      <c r="AO422">
        <f>IF(ABS(AN423)&gt;ABS(AN422),AN423,AN422)</f>
        <v>-0.3694875000000053</v>
      </c>
    </row>
    <row r="423" spans="1:41" x14ac:dyDescent="0.35">
      <c r="A423" t="s">
        <v>243</v>
      </c>
      <c r="B423" t="s">
        <v>1111</v>
      </c>
      <c r="C423" t="s">
        <v>1852</v>
      </c>
      <c r="D423">
        <v>70</v>
      </c>
      <c r="E423">
        <v>70</v>
      </c>
      <c r="F423">
        <v>-0.5</v>
      </c>
      <c r="G423">
        <v>-0.50055000000000005</v>
      </c>
      <c r="H423">
        <v>29.85</v>
      </c>
      <c r="J423">
        <v>11067</v>
      </c>
      <c r="N423" t="s">
        <v>177</v>
      </c>
      <c r="O423">
        <f t="shared" si="18"/>
        <v>29.977999999999998</v>
      </c>
      <c r="P423">
        <f t="shared" si="19"/>
        <v>-0.1599999999999957</v>
      </c>
      <c r="Q423">
        <f t="shared" si="20"/>
        <v>0.1599999999999957</v>
      </c>
      <c r="Y423">
        <f>TREND(H422:H426,G422:G426,G423)</f>
        <v>29.870262335716799</v>
      </c>
      <c r="Z423">
        <f>ABS((Y423-H423)/80*100)</f>
        <v>2.5327919645996566E-2</v>
      </c>
      <c r="AB423">
        <f>IF(ABS(T422) &gt; ABS(V422),T422,V422)</f>
        <v>-0.15105000000000146</v>
      </c>
      <c r="AH423">
        <f>H423-AG380</f>
        <v>29.695367499999996</v>
      </c>
      <c r="AI423">
        <f>100*(AH423-O423)/80</f>
        <v>-0.3532906250000023</v>
      </c>
      <c r="AN423">
        <f>IF(ABS(AK422) &gt; ABS(AM422),AK422,AM422)</f>
        <v>-0.34434062500000806</v>
      </c>
    </row>
    <row r="424" spans="1:41" x14ac:dyDescent="0.35">
      <c r="A424" t="s">
        <v>243</v>
      </c>
      <c r="B424" t="s">
        <v>1111</v>
      </c>
      <c r="C424" t="s">
        <v>1888</v>
      </c>
      <c r="D424">
        <v>70</v>
      </c>
      <c r="E424">
        <v>70</v>
      </c>
      <c r="F424">
        <v>0</v>
      </c>
      <c r="G424">
        <v>-1.0399999999999999E-4</v>
      </c>
      <c r="H424">
        <v>49.875</v>
      </c>
      <c r="J424">
        <v>11092</v>
      </c>
      <c r="N424" t="s">
        <v>177</v>
      </c>
      <c r="O424">
        <f t="shared" si="18"/>
        <v>49.995840000000001</v>
      </c>
      <c r="P424">
        <f t="shared" si="19"/>
        <v>-0.15105000000000146</v>
      </c>
      <c r="Q424">
        <f t="shared" si="20"/>
        <v>0.15105000000000146</v>
      </c>
      <c r="Y424">
        <f>TREND(H422:H426,G422:G426,G424)</f>
        <v>49.934322176503748</v>
      </c>
      <c r="Z424">
        <f>ABS((Y424-H424)/80*100)</f>
        <v>7.4152720629685476E-2</v>
      </c>
      <c r="AH424">
        <f>H424-AG380</f>
        <v>49.720367499999995</v>
      </c>
      <c r="AI424">
        <f>100*(AH424-O424)/80</f>
        <v>-0.34434062500000806</v>
      </c>
    </row>
    <row r="425" spans="1:41" x14ac:dyDescent="0.35">
      <c r="A425" t="s">
        <v>243</v>
      </c>
      <c r="B425" t="s">
        <v>1111</v>
      </c>
      <c r="C425" t="s">
        <v>1925</v>
      </c>
      <c r="D425">
        <v>70</v>
      </c>
      <c r="E425">
        <v>70</v>
      </c>
      <c r="F425">
        <v>0.5</v>
      </c>
      <c r="G425">
        <v>0.49993100000000001</v>
      </c>
      <c r="H425">
        <v>70.021874999999994</v>
      </c>
      <c r="J425">
        <v>11126</v>
      </c>
      <c r="N425" t="s">
        <v>177</v>
      </c>
      <c r="O425">
        <f t="shared" si="18"/>
        <v>69.997240000000005</v>
      </c>
      <c r="P425">
        <f t="shared" si="19"/>
        <v>3.079374999998663E-2</v>
      </c>
      <c r="Q425">
        <f t="shared" si="20"/>
        <v>3.079374999998663E-2</v>
      </c>
      <c r="Y425">
        <f>TREND(H422:H426,G422:G426,G425)</f>
        <v>69.981904058440875</v>
      </c>
      <c r="Z425">
        <f>ABS((Y425-H425)/80*100)</f>
        <v>4.9963676948898701E-2</v>
      </c>
      <c r="AH425">
        <f>H425-AG380</f>
        <v>69.867242499999989</v>
      </c>
      <c r="AI425">
        <f>100*(AH425-O425)/80</f>
        <v>-0.16249687500001997</v>
      </c>
    </row>
    <row r="426" spans="1:41" x14ac:dyDescent="0.35">
      <c r="A426" t="s">
        <v>243</v>
      </c>
      <c r="B426" t="s">
        <v>1111</v>
      </c>
      <c r="C426" t="s">
        <v>1961</v>
      </c>
      <c r="D426">
        <v>70</v>
      </c>
      <c r="E426">
        <v>70</v>
      </c>
      <c r="F426">
        <v>1</v>
      </c>
      <c r="G426">
        <v>0.99954100000000001</v>
      </c>
      <c r="H426">
        <v>90.017187500000006</v>
      </c>
      <c r="J426">
        <v>11158</v>
      </c>
      <c r="N426" t="s">
        <v>177</v>
      </c>
      <c r="O426">
        <f t="shared" si="18"/>
        <v>89.981639999999999</v>
      </c>
      <c r="P426">
        <f t="shared" si="19"/>
        <v>4.4434375000008686E-2</v>
      </c>
      <c r="Q426">
        <f t="shared" si="20"/>
        <v>4.4434375000008686E-2</v>
      </c>
      <c r="Y426">
        <f>TREND(H422:H426,G422:G426,G426)</f>
        <v>90.012446688525969</v>
      </c>
      <c r="Z426">
        <f>ABS((Y426-H426)/80*100)</f>
        <v>5.9260143425454714E-3</v>
      </c>
      <c r="AH426">
        <f>H426-AG380</f>
        <v>89.862555</v>
      </c>
      <c r="AI426">
        <f>100*(AH426-O426)/80</f>
        <v>-0.14885624999999791</v>
      </c>
    </row>
    <row r="427" spans="1:41" x14ac:dyDescent="0.35">
      <c r="A427" t="s">
        <v>243</v>
      </c>
      <c r="B427" t="s">
        <v>1111</v>
      </c>
      <c r="C427" t="s">
        <v>1997</v>
      </c>
      <c r="D427">
        <v>70</v>
      </c>
      <c r="E427">
        <v>70</v>
      </c>
      <c r="F427">
        <v>0</v>
      </c>
      <c r="G427">
        <v>-1.8699999999999999E-4</v>
      </c>
      <c r="H427">
        <v>49.8515625</v>
      </c>
      <c r="J427">
        <v>11178</v>
      </c>
      <c r="N427" t="s">
        <v>177</v>
      </c>
      <c r="O427">
        <f t="shared" si="18"/>
        <v>49.992519999999999</v>
      </c>
      <c r="P427">
        <f t="shared" si="19"/>
        <v>-0.1761968749999987</v>
      </c>
      <c r="Q427">
        <f t="shared" si="20"/>
        <v>0.1761968749999987</v>
      </c>
      <c r="Y427">
        <f>TREND(H422:H426,G422:G426,G427)</f>
        <v>49.930994510847945</v>
      </c>
      <c r="Z427">
        <f>ABS((Y427-H427)/80*100)</f>
        <v>9.9290013559931722E-2</v>
      </c>
      <c r="AH427">
        <f>H427-AG380</f>
        <v>49.696929999999995</v>
      </c>
      <c r="AI427">
        <f>100*(AH427-O427)/80</f>
        <v>-0.3694875000000053</v>
      </c>
    </row>
    <row r="428" spans="1:41" x14ac:dyDescent="0.35">
      <c r="A428" t="s">
        <v>243</v>
      </c>
      <c r="B428" t="s">
        <v>1111</v>
      </c>
      <c r="C428" t="s">
        <v>2034</v>
      </c>
      <c r="D428">
        <v>70</v>
      </c>
      <c r="E428">
        <v>70</v>
      </c>
      <c r="F428">
        <v>-1</v>
      </c>
      <c r="G428">
        <v>-1.000143</v>
      </c>
      <c r="H428">
        <v>9.9109374999999993</v>
      </c>
      <c r="J428">
        <v>11192</v>
      </c>
      <c r="N428" t="s">
        <v>177</v>
      </c>
      <c r="O428">
        <f t="shared" si="18"/>
        <v>9.9942799999999998</v>
      </c>
      <c r="P428">
        <f t="shared" si="19"/>
        <v>-0.10417812500000068</v>
      </c>
      <c r="Q428">
        <f t="shared" si="20"/>
        <v>0.10417812500000068</v>
      </c>
      <c r="Y428">
        <f>TREND(H422:H426,G422:G426,G428)</f>
        <v>9.8404012757057799</v>
      </c>
      <c r="Z428">
        <f>ABS((Y428-H428)/80*100)</f>
        <v>8.817028036777419E-2</v>
      </c>
      <c r="AH428">
        <f>H428-AG380</f>
        <v>9.756304999999994</v>
      </c>
      <c r="AI428">
        <f>100*(AH428-O428)/80</f>
        <v>-0.29746875000000728</v>
      </c>
    </row>
    <row r="429" spans="1:41" x14ac:dyDescent="0.35">
      <c r="A429" t="s">
        <v>243</v>
      </c>
      <c r="B429" t="s">
        <v>1111</v>
      </c>
      <c r="C429" t="s">
        <v>2070</v>
      </c>
      <c r="D429">
        <v>85</v>
      </c>
      <c r="E429">
        <v>85</v>
      </c>
      <c r="F429">
        <v>-1</v>
      </c>
      <c r="G429">
        <v>-1.000316</v>
      </c>
      <c r="H429">
        <v>9.6359375000000007</v>
      </c>
      <c r="J429">
        <v>17049</v>
      </c>
      <c r="N429" t="s">
        <v>177</v>
      </c>
      <c r="O429">
        <f t="shared" si="18"/>
        <v>9.9873600000000007</v>
      </c>
      <c r="P429">
        <f t="shared" si="19"/>
        <v>-0.43927812499999996</v>
      </c>
      <c r="Q429">
        <f t="shared" si="20"/>
        <v>0.43927812499999996</v>
      </c>
      <c r="S429">
        <v>49.5625</v>
      </c>
      <c r="T429">
        <v>-0.53862500000000146</v>
      </c>
      <c r="U429">
        <v>89.842187499999994</v>
      </c>
      <c r="V429">
        <v>-0.19916562500000623</v>
      </c>
      <c r="W429">
        <v>80.206248474121097</v>
      </c>
      <c r="X429">
        <f>(W429-80)/80*100</f>
        <v>0.25781059265137074</v>
      </c>
      <c r="Y429">
        <f>TREND(H429:H433,G429:G433,G429)</f>
        <v>9.5306361509030211</v>
      </c>
      <c r="Z429">
        <f>ABS((Y429-H429)/80*100)</f>
        <v>0.13162668637122454</v>
      </c>
      <c r="AA429">
        <f>MAX(Z429:Z433)</f>
        <v>0.13162668637122454</v>
      </c>
      <c r="AB429">
        <f>IF(ABS(MAX(P429:P435)) &gt; ABS(MIN(P429:P435)),MAX(P429:P435), MIN(P429:P435))</f>
        <v>-0.59860312500000123</v>
      </c>
      <c r="AC429">
        <f>IF(ABS(AB430)&gt;ABS(AB429),AB430,AB429)</f>
        <v>-0.59860312500000123</v>
      </c>
      <c r="AH429">
        <f>H429-AG380</f>
        <v>9.4813049999999954</v>
      </c>
      <c r="AI429">
        <f>100*(AH429-O429)/80</f>
        <v>-0.63256875000000656</v>
      </c>
      <c r="AJ429">
        <v>49.407867499999995</v>
      </c>
      <c r="AK429">
        <v>-0.73191562500000806</v>
      </c>
      <c r="AL429">
        <v>89.687554999999989</v>
      </c>
      <c r="AM429">
        <v>-0.39245625000001283</v>
      </c>
      <c r="AN429">
        <f>IF(ABS(MAX(AI429:AI435)) &gt; ABS(MIN(AI429:AI435)),MAX(AI429:AI435), MIN(AI429:AI435))</f>
        <v>-0.79189375000000783</v>
      </c>
      <c r="AO429">
        <f>IF(ABS(AN430)&gt;ABS(AN429),AN430,AN429)</f>
        <v>-0.79189375000000783</v>
      </c>
    </row>
    <row r="430" spans="1:41" x14ac:dyDescent="0.35">
      <c r="A430" t="s">
        <v>243</v>
      </c>
      <c r="B430" t="s">
        <v>1111</v>
      </c>
      <c r="C430" t="s">
        <v>2106</v>
      </c>
      <c r="D430">
        <v>85</v>
      </c>
      <c r="E430">
        <v>85</v>
      </c>
      <c r="F430">
        <v>-0.5</v>
      </c>
      <c r="G430">
        <v>-0.499942</v>
      </c>
      <c r="H430">
        <v>29.5234375</v>
      </c>
      <c r="J430">
        <v>17075</v>
      </c>
      <c r="N430" t="s">
        <v>177</v>
      </c>
      <c r="O430">
        <f t="shared" si="18"/>
        <v>30.002320000000001</v>
      </c>
      <c r="P430">
        <f t="shared" si="19"/>
        <v>-0.59860312500000123</v>
      </c>
      <c r="Q430">
        <f t="shared" si="20"/>
        <v>0.59860312500000123</v>
      </c>
      <c r="Y430">
        <f>TREND(H429:H433,G429:G433,G430)</f>
        <v>29.609950703680507</v>
      </c>
      <c r="Z430">
        <f>ABS((Y430-H430)/80*100)</f>
        <v>0.10814150460063399</v>
      </c>
      <c r="AB430">
        <f>IF(ABS(T429) &gt; ABS(V429),T429,V429)</f>
        <v>-0.53862500000000146</v>
      </c>
      <c r="AH430">
        <f>H430-AG380</f>
        <v>29.368804999999995</v>
      </c>
      <c r="AI430">
        <f>100*(AH430-O430)/80</f>
        <v>-0.79189375000000783</v>
      </c>
      <c r="AN430">
        <f>IF(ABS(AK429) &gt; ABS(AM429),AK429,AM429)</f>
        <v>-0.73191562500000806</v>
      </c>
    </row>
    <row r="431" spans="1:41" x14ac:dyDescent="0.35">
      <c r="A431" t="s">
        <v>243</v>
      </c>
      <c r="B431" t="s">
        <v>1111</v>
      </c>
      <c r="C431" t="s">
        <v>2142</v>
      </c>
      <c r="D431">
        <v>85</v>
      </c>
      <c r="E431">
        <v>85</v>
      </c>
      <c r="F431">
        <v>0</v>
      </c>
      <c r="G431">
        <v>-1.65E-4</v>
      </c>
      <c r="H431">
        <v>49.5625</v>
      </c>
      <c r="J431">
        <v>17103</v>
      </c>
      <c r="N431" t="s">
        <v>177</v>
      </c>
      <c r="O431">
        <f t="shared" si="18"/>
        <v>49.993400000000001</v>
      </c>
      <c r="P431">
        <f t="shared" si="19"/>
        <v>-0.53862500000000146</v>
      </c>
      <c r="Q431">
        <f t="shared" si="20"/>
        <v>0.53862500000000146</v>
      </c>
      <c r="Y431">
        <f>TREND(H429:H433,G429:G433,G431)</f>
        <v>49.665308474554848</v>
      </c>
      <c r="Z431">
        <f>ABS((Y431-H431)/80*100)</f>
        <v>0.1285105931935604</v>
      </c>
      <c r="AH431">
        <f>H431-AG380</f>
        <v>49.407867499999995</v>
      </c>
      <c r="AI431">
        <f>100*(AH431-O431)/80</f>
        <v>-0.73191562500000806</v>
      </c>
    </row>
    <row r="432" spans="1:41" x14ac:dyDescent="0.35">
      <c r="A432" t="s">
        <v>243</v>
      </c>
      <c r="B432" t="s">
        <v>1111</v>
      </c>
      <c r="C432" t="s">
        <v>2180</v>
      </c>
      <c r="D432">
        <v>85</v>
      </c>
      <c r="E432">
        <v>85</v>
      </c>
      <c r="F432">
        <v>0.5</v>
      </c>
      <c r="G432">
        <v>0.49987199999999998</v>
      </c>
      <c r="H432">
        <v>69.775000000000006</v>
      </c>
      <c r="J432">
        <v>17124</v>
      </c>
      <c r="N432" t="s">
        <v>177</v>
      </c>
      <c r="O432">
        <f t="shared" si="18"/>
        <v>69.994879999999995</v>
      </c>
      <c r="P432">
        <f t="shared" si="19"/>
        <v>-0.27484999999998649</v>
      </c>
      <c r="Q432">
        <f t="shared" si="20"/>
        <v>0.27484999999998649</v>
      </c>
      <c r="Y432">
        <f>TREND(H429:H433,G429:G433,G432)</f>
        <v>69.731099684783985</v>
      </c>
      <c r="Z432">
        <f>ABS((Y432-H432)/80*100)</f>
        <v>5.4875394020026391E-2</v>
      </c>
      <c r="AH432">
        <f>H432-AG380</f>
        <v>69.6203675</v>
      </c>
      <c r="AI432">
        <f>100*(AH432-O432)/80</f>
        <v>-0.46814062499999309</v>
      </c>
    </row>
    <row r="433" spans="1:41" x14ac:dyDescent="0.35">
      <c r="A433" t="s">
        <v>243</v>
      </c>
      <c r="B433" t="s">
        <v>1111</v>
      </c>
      <c r="C433" t="s">
        <v>2216</v>
      </c>
      <c r="D433">
        <v>85</v>
      </c>
      <c r="E433">
        <v>85</v>
      </c>
      <c r="F433">
        <v>1</v>
      </c>
      <c r="G433">
        <v>1.000038</v>
      </c>
      <c r="H433">
        <v>89.842187499999994</v>
      </c>
      <c r="J433">
        <v>17145</v>
      </c>
      <c r="N433" t="s">
        <v>177</v>
      </c>
      <c r="O433">
        <f t="shared" si="18"/>
        <v>90.001519999999999</v>
      </c>
      <c r="P433">
        <f t="shared" si="19"/>
        <v>-0.19916562500000623</v>
      </c>
      <c r="Q433">
        <f t="shared" si="20"/>
        <v>0.19916562500000623</v>
      </c>
      <c r="Y433">
        <f>TREND(H429:H433,G429:G433,G433)</f>
        <v>89.802067486077632</v>
      </c>
      <c r="Z433">
        <f>ABS((Y433-H433)/80*100)</f>
        <v>5.0150017402952329E-2</v>
      </c>
      <c r="AH433">
        <f>H433-AG380</f>
        <v>89.687554999999989</v>
      </c>
      <c r="AI433">
        <f>100*(AH433-O433)/80</f>
        <v>-0.39245625000001283</v>
      </c>
    </row>
    <row r="434" spans="1:41" x14ac:dyDescent="0.35">
      <c r="A434" t="s">
        <v>243</v>
      </c>
      <c r="B434" t="s">
        <v>1111</v>
      </c>
      <c r="C434" t="s">
        <v>2252</v>
      </c>
      <c r="D434">
        <v>85</v>
      </c>
      <c r="E434">
        <v>85</v>
      </c>
      <c r="F434">
        <v>0</v>
      </c>
      <c r="G434">
        <v>1.34E-4</v>
      </c>
      <c r="H434">
        <v>49.662500000000001</v>
      </c>
      <c r="J434">
        <v>17167</v>
      </c>
      <c r="N434" t="s">
        <v>177</v>
      </c>
      <c r="O434">
        <f t="shared" si="18"/>
        <v>50.005360000000003</v>
      </c>
      <c r="P434">
        <f t="shared" si="19"/>
        <v>-0.42857500000000215</v>
      </c>
      <c r="Q434">
        <f t="shared" si="20"/>
        <v>0.42857500000000215</v>
      </c>
      <c r="Y434">
        <f>TREND(H429:H433,G429:G433,G434)</f>
        <v>49.677306929812872</v>
      </c>
      <c r="Z434">
        <f>ABS((Y434-H434)/80*100)</f>
        <v>1.8508662266087939E-2</v>
      </c>
      <c r="AH434">
        <f>H434-AG380</f>
        <v>49.507867499999996</v>
      </c>
      <c r="AI434">
        <f>100*(AH434-O434)/80</f>
        <v>-0.62186562500000875</v>
      </c>
    </row>
    <row r="435" spans="1:41" x14ac:dyDescent="0.35">
      <c r="A435" t="s">
        <v>243</v>
      </c>
      <c r="B435" t="s">
        <v>1111</v>
      </c>
      <c r="C435" t="s">
        <v>2289</v>
      </c>
      <c r="D435">
        <v>85</v>
      </c>
      <c r="E435">
        <v>85</v>
      </c>
      <c r="F435">
        <v>-1</v>
      </c>
      <c r="G435">
        <v>-1.000051</v>
      </c>
      <c r="H435">
        <v>9.65</v>
      </c>
      <c r="J435">
        <v>17179</v>
      </c>
      <c r="N435" t="s">
        <v>177</v>
      </c>
      <c r="O435">
        <f t="shared" si="18"/>
        <v>9.9979599999999991</v>
      </c>
      <c r="P435">
        <f t="shared" si="19"/>
        <v>-0.43494999999999839</v>
      </c>
      <c r="Q435">
        <f t="shared" si="20"/>
        <v>0.43494999999999839</v>
      </c>
      <c r="Y435">
        <f>TREND(H429:H433,G429:G433,G435)</f>
        <v>9.5412702333223365</v>
      </c>
      <c r="Z435">
        <f>ABS((Y435-H435)/80*100)</f>
        <v>0.13591220834707984</v>
      </c>
      <c r="AH435">
        <f>H435-AG380</f>
        <v>9.4953674999999951</v>
      </c>
      <c r="AI435">
        <f>100*(AH435-O435)/80</f>
        <v>-0.62824062500000499</v>
      </c>
    </row>
    <row r="436" spans="1:41" x14ac:dyDescent="0.35">
      <c r="A436" t="s">
        <v>243</v>
      </c>
      <c r="B436" t="s">
        <v>1111</v>
      </c>
      <c r="C436" t="s">
        <v>2327</v>
      </c>
      <c r="D436">
        <v>25</v>
      </c>
      <c r="E436">
        <v>25</v>
      </c>
      <c r="F436">
        <v>-1</v>
      </c>
      <c r="G436">
        <v>-0.99947399999999997</v>
      </c>
      <c r="H436">
        <v>9.9484375000000007</v>
      </c>
      <c r="J436">
        <v>-5325</v>
      </c>
      <c r="N436" t="s">
        <v>177</v>
      </c>
      <c r="O436">
        <f t="shared" si="18"/>
        <v>10.021040000000001</v>
      </c>
      <c r="P436">
        <f t="shared" si="19"/>
        <v>-9.0753125000000434E-2</v>
      </c>
      <c r="Q436">
        <f t="shared" si="20"/>
        <v>9.0753125000000434E-2</v>
      </c>
      <c r="S436">
        <v>50.032812499999999</v>
      </c>
      <c r="T436">
        <v>3.5515624999993278E-2</v>
      </c>
      <c r="U436">
        <v>90.171875</v>
      </c>
      <c r="V436">
        <v>0.20729375000001937</v>
      </c>
      <c r="W436">
        <v>80.223437500000003</v>
      </c>
      <c r="X436">
        <f>(W436-80)/80*100</f>
        <v>0.27929687500000355</v>
      </c>
      <c r="Y436">
        <f>TREND(H436:H440,G436:G440,G436)</f>
        <v>9.9313387069794743</v>
      </c>
      <c r="Z436">
        <f>ABS((Y436-H436)/80*100)</f>
        <v>2.1373491275658019E-2</v>
      </c>
      <c r="AA436">
        <f>MAX(Z436:Z440)</f>
        <v>8.0052139031643321E-2</v>
      </c>
      <c r="AB436">
        <f>IF(ABS(MAX(P436:P442)) &gt; ABS(MIN(P436:P442)),MAX(P436:P442), MIN(P436:P442))</f>
        <v>0.23455624999998648</v>
      </c>
      <c r="AC436">
        <f>IF(ABS(AB437)&gt;ABS(AB436),AB437,AB436)</f>
        <v>0.23455624999998648</v>
      </c>
      <c r="AH436">
        <f>H436-AG380</f>
        <v>9.7938049999999954</v>
      </c>
      <c r="AI436">
        <f>100*(AH436-O436)/80</f>
        <v>-0.28404375000000703</v>
      </c>
      <c r="AJ436">
        <v>49.878179999999993</v>
      </c>
      <c r="AK436">
        <v>-0.15777500000001332</v>
      </c>
      <c r="AL436">
        <v>90.017242499999995</v>
      </c>
      <c r="AM436">
        <v>1.4003125000012773E-2</v>
      </c>
      <c r="AN436">
        <f>IF(ABS(MAX(AI436:AI442)) &gt; ABS(MIN(AI436:AI442)),MAX(AI436:AI442), MIN(AI436:AI442))</f>
        <v>-0.28820000000000512</v>
      </c>
      <c r="AO436">
        <f>IF(ABS(AN437)&gt;ABS(AN436),AN437,AN436)</f>
        <v>-0.28820000000000512</v>
      </c>
    </row>
    <row r="437" spans="1:41" x14ac:dyDescent="0.35">
      <c r="A437" t="s">
        <v>243</v>
      </c>
      <c r="B437" t="s">
        <v>1111</v>
      </c>
      <c r="C437" t="s">
        <v>2363</v>
      </c>
      <c r="D437">
        <v>25</v>
      </c>
      <c r="E437">
        <v>25</v>
      </c>
      <c r="F437">
        <v>-0.5</v>
      </c>
      <c r="G437">
        <v>-0.50051000000000001</v>
      </c>
      <c r="H437">
        <v>29.932812500000001</v>
      </c>
      <c r="J437">
        <v>-5397</v>
      </c>
      <c r="N437" t="s">
        <v>177</v>
      </c>
      <c r="O437">
        <f t="shared" si="18"/>
        <v>29.979599999999998</v>
      </c>
      <c r="P437">
        <f t="shared" si="19"/>
        <v>-5.8484374999996369E-2</v>
      </c>
      <c r="Q437">
        <f t="shared" si="20"/>
        <v>5.8484374999996369E-2</v>
      </c>
      <c r="Y437">
        <f>TREND(H436:H440,G436:G440,G437)</f>
        <v>29.960889069638096</v>
      </c>
      <c r="Z437">
        <f>ABS((Y437-H437)/80*100)</f>
        <v>3.5095712047619188E-2</v>
      </c>
      <c r="AB437">
        <f>IF(ABS(T436) &gt; ABS(V436),T436,V436)</f>
        <v>0.20729375000001937</v>
      </c>
      <c r="AH437">
        <f>H437-AG380</f>
        <v>29.778179999999995</v>
      </c>
      <c r="AI437">
        <f>100*(AH437-O437)/80</f>
        <v>-0.25177500000000297</v>
      </c>
      <c r="AN437">
        <f>IF(ABS(AK436) &gt; ABS(AM436),AK436,AM436)</f>
        <v>-0.15777500000001332</v>
      </c>
    </row>
    <row r="438" spans="1:41" x14ac:dyDescent="0.35">
      <c r="A438" t="s">
        <v>243</v>
      </c>
      <c r="B438" t="s">
        <v>1111</v>
      </c>
      <c r="C438" t="s">
        <v>2399</v>
      </c>
      <c r="D438">
        <v>25</v>
      </c>
      <c r="E438">
        <v>25</v>
      </c>
      <c r="F438">
        <v>0</v>
      </c>
      <c r="G438">
        <v>1.1E-4</v>
      </c>
      <c r="H438">
        <v>50.032812499999999</v>
      </c>
      <c r="J438">
        <v>-5463</v>
      </c>
      <c r="N438" t="s">
        <v>177</v>
      </c>
      <c r="O438">
        <f t="shared" si="18"/>
        <v>50.004400000000004</v>
      </c>
      <c r="P438">
        <f t="shared" si="19"/>
        <v>3.5515624999993278E-2</v>
      </c>
      <c r="Q438">
        <f t="shared" si="20"/>
        <v>3.5515624999993278E-2</v>
      </c>
      <c r="Y438">
        <f>TREND(H436:H440,G436:G440,G438)</f>
        <v>50.056915040558167</v>
      </c>
      <c r="Z438">
        <f>ABS((Y438-H438)/80*100)</f>
        <v>3.0128175697710095E-2</v>
      </c>
      <c r="AH438">
        <f>H438-AG380</f>
        <v>49.878179999999993</v>
      </c>
      <c r="AI438">
        <f>100*(AH438-O438)/80</f>
        <v>-0.15777500000001332</v>
      </c>
    </row>
    <row r="439" spans="1:41" x14ac:dyDescent="0.35">
      <c r="A439" t="s">
        <v>243</v>
      </c>
      <c r="B439" t="s">
        <v>1111</v>
      </c>
      <c r="C439" t="s">
        <v>2436</v>
      </c>
      <c r="D439">
        <v>25</v>
      </c>
      <c r="E439">
        <v>25</v>
      </c>
      <c r="F439">
        <v>0.5</v>
      </c>
      <c r="G439">
        <v>0.49976199999999998</v>
      </c>
      <c r="H439">
        <v>70.178124999999994</v>
      </c>
      <c r="J439">
        <v>-5514</v>
      </c>
      <c r="N439" t="s">
        <v>177</v>
      </c>
      <c r="O439">
        <f t="shared" si="18"/>
        <v>69.990480000000005</v>
      </c>
      <c r="P439">
        <f t="shared" si="19"/>
        <v>0.23455624999998648</v>
      </c>
      <c r="Q439">
        <f t="shared" si="20"/>
        <v>0.23455624999998648</v>
      </c>
      <c r="Y439">
        <f>TREND(H436:H440,G436:G440,G439)</f>
        <v>70.11408328877468</v>
      </c>
      <c r="Z439">
        <f>ABS((Y439-H439)/80*100)</f>
        <v>8.0052139031643321E-2</v>
      </c>
      <c r="AH439">
        <f>H439-AG380</f>
        <v>70.023492499999989</v>
      </c>
      <c r="AI439">
        <f>100*(AH439-O439)/80</f>
        <v>4.1265624999979877E-2</v>
      </c>
    </row>
    <row r="440" spans="1:41" x14ac:dyDescent="0.35">
      <c r="A440" t="s">
        <v>243</v>
      </c>
      <c r="B440" t="s">
        <v>1111</v>
      </c>
      <c r="C440" t="s">
        <v>2474</v>
      </c>
      <c r="D440">
        <v>25</v>
      </c>
      <c r="E440">
        <v>25</v>
      </c>
      <c r="F440">
        <v>1</v>
      </c>
      <c r="G440">
        <v>1.000151</v>
      </c>
      <c r="H440">
        <v>90.171875</v>
      </c>
      <c r="J440">
        <v>-5568</v>
      </c>
      <c r="N440" t="s">
        <v>177</v>
      </c>
      <c r="O440">
        <f t="shared" si="18"/>
        <v>90.006039999999985</v>
      </c>
      <c r="P440">
        <f t="shared" si="19"/>
        <v>0.20729375000001937</v>
      </c>
      <c r="Q440">
        <f t="shared" si="20"/>
        <v>0.20729375000001937</v>
      </c>
      <c r="Y440">
        <f>TREND(H436:H440,G436:G440,G440)</f>
        <v>90.200836394049588</v>
      </c>
      <c r="Z440">
        <f>ABS((Y440-H440)/80*100)</f>
        <v>3.6201742561985384E-2</v>
      </c>
      <c r="AH440">
        <f>H440-AG380</f>
        <v>90.017242499999995</v>
      </c>
      <c r="AI440">
        <f>100*(AH440-O440)/80</f>
        <v>1.4003125000012773E-2</v>
      </c>
    </row>
    <row r="441" spans="1:41" x14ac:dyDescent="0.35">
      <c r="A441" t="s">
        <v>243</v>
      </c>
      <c r="B441" t="s">
        <v>1111</v>
      </c>
      <c r="C441" t="s">
        <v>2510</v>
      </c>
      <c r="D441">
        <v>25</v>
      </c>
      <c r="E441">
        <v>25</v>
      </c>
      <c r="F441">
        <v>0</v>
      </c>
      <c r="G441">
        <v>1.4E-5</v>
      </c>
      <c r="H441">
        <v>50.014062500000001</v>
      </c>
      <c r="J441">
        <v>-5617</v>
      </c>
      <c r="N441" t="s">
        <v>177</v>
      </c>
      <c r="O441">
        <f t="shared" si="18"/>
        <v>50.00056</v>
      </c>
      <c r="P441">
        <f t="shared" si="19"/>
        <v>1.6878125000001631E-2</v>
      </c>
      <c r="Q441">
        <f t="shared" si="20"/>
        <v>1.6878125000001631E-2</v>
      </c>
      <c r="Y441">
        <f>TREND(H436:H440,G436:G440,G441)</f>
        <v>50.053061382108226</v>
      </c>
      <c r="Z441">
        <f>ABS((Y441-H441)/80*100)</f>
        <v>4.8748602635280136E-2</v>
      </c>
      <c r="AH441">
        <f>H441-AG380</f>
        <v>49.859429999999996</v>
      </c>
      <c r="AI441">
        <f>100*(AH441-O441)/80</f>
        <v>-0.17641250000000497</v>
      </c>
    </row>
    <row r="442" spans="1:41" x14ac:dyDescent="0.35">
      <c r="A442" t="s">
        <v>243</v>
      </c>
      <c r="B442" t="s">
        <v>1111</v>
      </c>
      <c r="C442" t="s">
        <v>2545</v>
      </c>
      <c r="D442">
        <v>25</v>
      </c>
      <c r="E442">
        <v>25</v>
      </c>
      <c r="F442">
        <v>-1</v>
      </c>
      <c r="G442">
        <v>-1.000094</v>
      </c>
      <c r="H442">
        <v>9.9203124999999996</v>
      </c>
      <c r="J442">
        <v>-5657</v>
      </c>
      <c r="N442" t="s">
        <v>177</v>
      </c>
      <c r="O442">
        <f t="shared" si="18"/>
        <v>9.9962399999999985</v>
      </c>
      <c r="P442">
        <f t="shared" si="19"/>
        <v>-9.4909374999998519E-2</v>
      </c>
      <c r="Q442">
        <f t="shared" si="20"/>
        <v>9.4909374999998519E-2</v>
      </c>
      <c r="Y442">
        <f>TREND(H436:H440,G436:G440,G442)</f>
        <v>9.9064504961569497</v>
      </c>
      <c r="Z442">
        <f>ABS((Y442-H442)/80*100)</f>
        <v>1.7327504803812399E-2</v>
      </c>
      <c r="AH442">
        <f>H442-AG380</f>
        <v>9.7656799999999944</v>
      </c>
      <c r="AI442">
        <f>100*(AH442-O442)/80</f>
        <v>-0.28820000000000512</v>
      </c>
    </row>
    <row r="443" spans="1:41" x14ac:dyDescent="0.35">
      <c r="A443" t="s">
        <v>245</v>
      </c>
      <c r="B443" t="s">
        <v>231</v>
      </c>
      <c r="C443" t="s">
        <v>246</v>
      </c>
      <c r="D443">
        <v>25</v>
      </c>
      <c r="E443">
        <v>25</v>
      </c>
      <c r="F443">
        <v>-1</v>
      </c>
      <c r="G443">
        <v>-1.0000519999999999</v>
      </c>
      <c r="H443">
        <v>-1.2</v>
      </c>
      <c r="J443">
        <v>-6251</v>
      </c>
      <c r="N443" t="s">
        <v>178</v>
      </c>
      <c r="O443">
        <f t="shared" si="18"/>
        <v>9.9979200000000024</v>
      </c>
      <c r="P443">
        <f t="shared" si="19"/>
        <v>-13.997400000000003</v>
      </c>
      <c r="Q443">
        <f t="shared" si="20"/>
        <v>13.997400000000003</v>
      </c>
      <c r="S443">
        <v>-1.2</v>
      </c>
      <c r="T443">
        <v>-63.993000000000009</v>
      </c>
      <c r="U443">
        <v>11.0171875</v>
      </c>
      <c r="V443">
        <v>-98.734865624999983</v>
      </c>
      <c r="W443">
        <v>12.217187118530273</v>
      </c>
      <c r="X443">
        <f>(W443-80)/80*100</f>
        <v>-84.728516101837158</v>
      </c>
      <c r="Y443">
        <f>TREND(H443:H447,G443:G447,G443)</f>
        <v>-3.6425254212854501</v>
      </c>
      <c r="Z443">
        <f>ABS((Y443-H443)/80*100)</f>
        <v>3.0531567766068126</v>
      </c>
      <c r="AA443">
        <f>MAX(Z443:Z447)</f>
        <v>6.1091444734663369</v>
      </c>
      <c r="AB443">
        <f>IF(ABS(MAX(P443:P449)) &gt; ABS(MIN(P443:P449)),MAX(P443:P449), MIN(P443:P449))</f>
        <v>-98.734865624999983</v>
      </c>
      <c r="AC443">
        <f>IF(ABS(AB444)&gt;ABS(AB443),AB444,AB443)</f>
        <v>-98.734865624999983</v>
      </c>
      <c r="AD443">
        <f>MAX(AD444:AD445)</f>
        <v>1.3249999999985107E-2</v>
      </c>
      <c r="AE443">
        <f>MAX(AE444:AE464)</f>
        <v>128.01394687499999</v>
      </c>
      <c r="AF443">
        <f>MAX(AD443,AA443)</f>
        <v>6.1091444734663369</v>
      </c>
      <c r="AG443">
        <f>H445-O445</f>
        <v>-51.194400000000002</v>
      </c>
      <c r="AH443">
        <f>H443-AG443</f>
        <v>49.994399999999999</v>
      </c>
      <c r="AI443">
        <f>100*(AH443-O443)/80</f>
        <v>49.995599999999996</v>
      </c>
      <c r="AJ443">
        <v>49.994399999999999</v>
      </c>
      <c r="AK443">
        <v>0</v>
      </c>
      <c r="AL443">
        <v>62.2115875</v>
      </c>
      <c r="AM443">
        <v>-34.741865624999988</v>
      </c>
      <c r="AN443">
        <f>IF(ABS(MAX(AI443:AI449)) &gt; ABS(MIN(AI443:AI449)),MAX(AI443:AI449), MIN(AI443:AI449))</f>
        <v>49.995599999999996</v>
      </c>
      <c r="AO443">
        <f>IF(ABS(AN444)&gt;ABS(AN443),AN444,AN443)</f>
        <v>49.995599999999996</v>
      </c>
    </row>
    <row r="444" spans="1:41" x14ac:dyDescent="0.35">
      <c r="A444" t="s">
        <v>245</v>
      </c>
      <c r="B444" t="s">
        <v>231</v>
      </c>
      <c r="C444" t="s">
        <v>314</v>
      </c>
      <c r="D444">
        <v>25</v>
      </c>
      <c r="E444">
        <v>25</v>
      </c>
      <c r="F444">
        <v>-0.5</v>
      </c>
      <c r="G444">
        <v>-0.500498</v>
      </c>
      <c r="H444">
        <v>-1.2</v>
      </c>
      <c r="J444">
        <v>-6255</v>
      </c>
      <c r="N444" t="s">
        <v>178</v>
      </c>
      <c r="O444">
        <f t="shared" si="18"/>
        <v>29.980080000000001</v>
      </c>
      <c r="P444">
        <f t="shared" si="19"/>
        <v>-38.975099999999998</v>
      </c>
      <c r="Q444">
        <f t="shared" si="20"/>
        <v>38.975099999999998</v>
      </c>
      <c r="Y444">
        <f>TREND(H443:H447,G443:G447,G444)</f>
        <v>-1.2016034949312269</v>
      </c>
      <c r="Z444">
        <f>ABS((Y444-H444)/80*100)</f>
        <v>2.00436866403364E-3</v>
      </c>
      <c r="AB444">
        <f>IF(ABS(T443) &gt; ABS(V443),T443,V443)</f>
        <v>-98.734865624999983</v>
      </c>
      <c r="AD444">
        <f>ABS(P445-P448)</f>
        <v>1.3249999999985107E-2</v>
      </c>
      <c r="AE444">
        <f>ABS(P471-P443)</f>
        <v>8.0000000000168825E-4</v>
      </c>
      <c r="AH444">
        <f>H444-AG443</f>
        <v>49.994399999999999</v>
      </c>
      <c r="AI444">
        <f>100*(AH444-O444)/80</f>
        <v>25.017899999999997</v>
      </c>
      <c r="AN444">
        <f>IF(ABS(AK443) &gt; ABS(AM443),AK443,AM443)</f>
        <v>-34.741865624999988</v>
      </c>
    </row>
    <row r="445" spans="1:41" x14ac:dyDescent="0.35">
      <c r="A445" t="s">
        <v>245</v>
      </c>
      <c r="B445" t="s">
        <v>231</v>
      </c>
      <c r="C445" t="s">
        <v>351</v>
      </c>
      <c r="D445">
        <v>25</v>
      </c>
      <c r="E445">
        <v>25</v>
      </c>
      <c r="F445">
        <v>0</v>
      </c>
      <c r="G445">
        <v>-1.3999999999999999E-4</v>
      </c>
      <c r="H445">
        <v>-1.2</v>
      </c>
      <c r="J445">
        <v>-6266</v>
      </c>
      <c r="N445" t="s">
        <v>178</v>
      </c>
      <c r="O445">
        <f t="shared" si="18"/>
        <v>49.994399999999999</v>
      </c>
      <c r="P445">
        <f t="shared" si="19"/>
        <v>-63.993000000000009</v>
      </c>
      <c r="Q445">
        <f t="shared" si="20"/>
        <v>63.993000000000009</v>
      </c>
      <c r="Y445">
        <f>TREND(H443:H447,G443:G447,G445)</f>
        <v>1.2432469381085374</v>
      </c>
      <c r="Z445">
        <f>ABS((Y445-H445)/80*100)</f>
        <v>3.0540586726356715</v>
      </c>
      <c r="AD445">
        <f>ABS(P443-P449)</f>
        <v>5.7999999999953644E-3</v>
      </c>
      <c r="AE445">
        <f>ABS(P472-P444)</f>
        <v>9.7499999999968168E-3</v>
      </c>
      <c r="AH445">
        <f>H445-AG443</f>
        <v>49.994399999999999</v>
      </c>
      <c r="AI445">
        <f>100*(AH445-O445)/80</f>
        <v>0</v>
      </c>
    </row>
    <row r="446" spans="1:41" x14ac:dyDescent="0.35">
      <c r="A446" t="s">
        <v>245</v>
      </c>
      <c r="B446" t="s">
        <v>231</v>
      </c>
      <c r="C446" t="s">
        <v>387</v>
      </c>
      <c r="D446">
        <v>25</v>
      </c>
      <c r="E446">
        <v>25</v>
      </c>
      <c r="F446">
        <v>0.5</v>
      </c>
      <c r="G446">
        <v>0.500058</v>
      </c>
      <c r="H446">
        <v>-1.2</v>
      </c>
      <c r="J446">
        <v>-6261</v>
      </c>
      <c r="N446" t="s">
        <v>178</v>
      </c>
      <c r="O446">
        <f t="shared" si="18"/>
        <v>70.002319999999997</v>
      </c>
      <c r="P446">
        <f t="shared" si="19"/>
        <v>-89.002899999999997</v>
      </c>
      <c r="Q446">
        <f t="shared" si="20"/>
        <v>89.002899999999997</v>
      </c>
      <c r="Y446">
        <f>TREND(H443:H447,G443:G447,G446)</f>
        <v>3.6873155787730694</v>
      </c>
      <c r="Z446">
        <f>ABS((Y446-H446)/80*100)</f>
        <v>6.1091444734663369</v>
      </c>
      <c r="AE446">
        <f>ABS(P473-P445)</f>
        <v>1.1650000000003047E-2</v>
      </c>
      <c r="AH446">
        <f>H446-AG443</f>
        <v>49.994399999999999</v>
      </c>
      <c r="AI446">
        <f>100*(AH446-O446)/80</f>
        <v>-25.009899999999998</v>
      </c>
    </row>
    <row r="447" spans="1:41" x14ac:dyDescent="0.35">
      <c r="A447" t="s">
        <v>245</v>
      </c>
      <c r="B447" t="s">
        <v>231</v>
      </c>
      <c r="C447" t="s">
        <v>425</v>
      </c>
      <c r="D447">
        <v>25</v>
      </c>
      <c r="E447">
        <v>25</v>
      </c>
      <c r="F447">
        <v>1</v>
      </c>
      <c r="G447">
        <v>1.000127</v>
      </c>
      <c r="H447">
        <v>11.0171875</v>
      </c>
      <c r="J447">
        <v>-6257</v>
      </c>
      <c r="N447" t="s">
        <v>178</v>
      </c>
      <c r="O447">
        <f t="shared" si="18"/>
        <v>90.005079999999992</v>
      </c>
      <c r="P447">
        <f t="shared" si="19"/>
        <v>-98.734865624999983</v>
      </c>
      <c r="Q447">
        <f t="shared" si="20"/>
        <v>98.734865624999983</v>
      </c>
      <c r="Y447">
        <f>TREND(H443:H447,G443:G447,G447)</f>
        <v>6.1307538993350708</v>
      </c>
      <c r="Z447">
        <f>ABS((Y447-H447)/80*100)</f>
        <v>6.108042000831162</v>
      </c>
      <c r="AE447">
        <f>ABS(P474-P446)</f>
        <v>5.0000000000096634E-3</v>
      </c>
      <c r="AH447">
        <f>H447-AG443</f>
        <v>62.2115875</v>
      </c>
      <c r="AI447">
        <f>100*(AH447-O447)/80</f>
        <v>-34.741865624999988</v>
      </c>
    </row>
    <row r="448" spans="1:41" x14ac:dyDescent="0.35">
      <c r="A448" t="s">
        <v>245</v>
      </c>
      <c r="B448" t="s">
        <v>231</v>
      </c>
      <c r="C448" t="s">
        <v>461</v>
      </c>
      <c r="D448">
        <v>25</v>
      </c>
      <c r="E448">
        <v>25</v>
      </c>
      <c r="F448">
        <v>0</v>
      </c>
      <c r="G448">
        <v>1.25E-4</v>
      </c>
      <c r="H448">
        <v>-1.2</v>
      </c>
      <c r="J448">
        <v>-6261</v>
      </c>
      <c r="N448" t="s">
        <v>178</v>
      </c>
      <c r="O448">
        <f t="shared" si="18"/>
        <v>50.004999999999995</v>
      </c>
      <c r="P448">
        <f t="shared" si="19"/>
        <v>-64.006249999999994</v>
      </c>
      <c r="Q448">
        <f t="shared" si="20"/>
        <v>64.006249999999994</v>
      </c>
      <c r="Y448">
        <f>TREND(H443:H447,G443:G447,G448)</f>
        <v>1.2445417817300155</v>
      </c>
      <c r="Z448">
        <f>ABS((Y448-H448)/80*100)</f>
        <v>3.0556772271625192</v>
      </c>
      <c r="AE448">
        <f>ABS(P475-P447)</f>
        <v>15.254384375000015</v>
      </c>
      <c r="AH448">
        <f>H448-AG443</f>
        <v>49.994399999999999</v>
      </c>
      <c r="AI448">
        <f>100*(AH448-O448)/80</f>
        <v>-1.3249999999995765E-2</v>
      </c>
    </row>
    <row r="449" spans="1:41" x14ac:dyDescent="0.35">
      <c r="A449" t="s">
        <v>245</v>
      </c>
      <c r="B449" t="s">
        <v>231</v>
      </c>
      <c r="C449" t="s">
        <v>499</v>
      </c>
      <c r="D449">
        <v>25</v>
      </c>
      <c r="E449">
        <v>25</v>
      </c>
      <c r="F449">
        <v>-1</v>
      </c>
      <c r="G449">
        <v>-0.99993600000000005</v>
      </c>
      <c r="H449">
        <v>-1.2</v>
      </c>
      <c r="J449">
        <v>-6251</v>
      </c>
      <c r="N449" t="s">
        <v>178</v>
      </c>
      <c r="O449">
        <f t="shared" si="18"/>
        <v>10.002559999999999</v>
      </c>
      <c r="P449">
        <f t="shared" si="19"/>
        <v>-14.003199999999998</v>
      </c>
      <c r="Q449">
        <f t="shared" si="20"/>
        <v>14.003199999999998</v>
      </c>
      <c r="Y449">
        <f>TREND(H443:H447,G443:G447,G449)</f>
        <v>-3.6419586218134077</v>
      </c>
      <c r="Z449">
        <f>ABS((Y449-H449)/80*100)</f>
        <v>3.0524482772667594</v>
      </c>
      <c r="AE449">
        <f>ABS(P476-P448)</f>
        <v>1.9999999999242846E-4</v>
      </c>
      <c r="AH449">
        <f>H449-AG443</f>
        <v>49.994399999999999</v>
      </c>
      <c r="AI449">
        <f>100*(AH449-O449)/80</f>
        <v>49.989799999999995</v>
      </c>
    </row>
    <row r="450" spans="1:41" x14ac:dyDescent="0.35">
      <c r="A450" t="s">
        <v>245</v>
      </c>
      <c r="B450" t="s">
        <v>231</v>
      </c>
      <c r="C450" t="s">
        <v>536</v>
      </c>
      <c r="D450">
        <v>-20</v>
      </c>
      <c r="E450">
        <v>-20.100000000000001</v>
      </c>
      <c r="F450">
        <v>-1</v>
      </c>
      <c r="G450">
        <v>-1.000265</v>
      </c>
      <c r="H450">
        <v>101.1984375</v>
      </c>
      <c r="J450">
        <v>-23711</v>
      </c>
      <c r="N450" t="s">
        <v>178</v>
      </c>
      <c r="O450">
        <f t="shared" si="18"/>
        <v>9.9894000000000016</v>
      </c>
      <c r="P450">
        <f t="shared" si="19"/>
        <v>114.011296875</v>
      </c>
      <c r="Q450">
        <f t="shared" si="20"/>
        <v>114.011296875</v>
      </c>
      <c r="S450">
        <v>101.1984375</v>
      </c>
      <c r="T450">
        <v>64.028346874999997</v>
      </c>
      <c r="U450">
        <v>101.1984375</v>
      </c>
      <c r="V450">
        <v>13.999246875000006</v>
      </c>
      <c r="W450">
        <v>3.0517578153421709E-6</v>
      </c>
      <c r="X450">
        <f>(W450-80)/80*100</f>
        <v>-99.999996185302734</v>
      </c>
      <c r="Y450">
        <f>TREND(H450:H454,G450:G454,G450)</f>
        <v>101.1984375</v>
      </c>
      <c r="Z450">
        <f>ABS((Y450-H450)/80*100)</f>
        <v>0</v>
      </c>
      <c r="AA450">
        <f>MAX(Z450:Z454)</f>
        <v>0</v>
      </c>
      <c r="AB450">
        <f>IF(ABS(MAX(P450:P456)) &gt; ABS(MIN(P450:P456)),MAX(P450:P456), MIN(P450:P456))</f>
        <v>114.011296875</v>
      </c>
      <c r="AC450">
        <f>IF(ABS(AB451)&gt;ABS(AB450),AB451,AB450)</f>
        <v>114.011296875</v>
      </c>
      <c r="AE450">
        <f>ABS(P477-P449)</f>
        <v>5.3000000000054115E-3</v>
      </c>
      <c r="AH450">
        <f>H450-AG443</f>
        <v>152.39283749999998</v>
      </c>
      <c r="AI450">
        <f>100*(AH450-O450)/80</f>
        <v>178.00429687499999</v>
      </c>
      <c r="AJ450">
        <v>152.39283749999998</v>
      </c>
      <c r="AK450">
        <v>128.02134687499998</v>
      </c>
      <c r="AL450">
        <v>152.39283749999998</v>
      </c>
      <c r="AM450">
        <v>77.992246874999992</v>
      </c>
      <c r="AN450">
        <f>IF(ABS(MAX(AI450:AI456)) &gt; ABS(MIN(AI450:AI456)),MAX(AI450:AI456), MIN(AI450:AI456))</f>
        <v>178.00429687499999</v>
      </c>
      <c r="AO450">
        <f>IF(ABS(AN451)&gt;ABS(AN450),AN451,AN450)</f>
        <v>178.00429687499999</v>
      </c>
    </row>
    <row r="451" spans="1:41" x14ac:dyDescent="0.35">
      <c r="A451" t="s">
        <v>245</v>
      </c>
      <c r="B451" t="s">
        <v>231</v>
      </c>
      <c r="C451" t="s">
        <v>573</v>
      </c>
      <c r="D451">
        <v>-20</v>
      </c>
      <c r="E451">
        <v>-20</v>
      </c>
      <c r="F451">
        <v>-0.5</v>
      </c>
      <c r="G451">
        <v>-0.499942</v>
      </c>
      <c r="H451">
        <v>101.1984375</v>
      </c>
      <c r="J451">
        <v>-23747</v>
      </c>
      <c r="N451" t="s">
        <v>178</v>
      </c>
      <c r="O451">
        <f t="shared" si="18"/>
        <v>30.002320000000001</v>
      </c>
      <c r="P451">
        <f t="shared" si="19"/>
        <v>88.995146875000003</v>
      </c>
      <c r="Q451">
        <f t="shared" si="20"/>
        <v>88.995146875000003</v>
      </c>
      <c r="Y451">
        <f>TREND(H450:H454,G450:G454,G451)</f>
        <v>101.1984375</v>
      </c>
      <c r="Z451">
        <f>ABS((Y451-H451)/80*100)</f>
        <v>0</v>
      </c>
      <c r="AB451">
        <f>IF(ABS(T450) &gt; ABS(V450),T450,V450)</f>
        <v>64.028346874999997</v>
      </c>
      <c r="AE451">
        <f>ABS(P499-P443)</f>
        <v>127.975646875</v>
      </c>
      <c r="AH451">
        <f>H451-AG443</f>
        <v>152.39283749999998</v>
      </c>
      <c r="AI451">
        <f>100*(AH451-O451)/80</f>
        <v>152.98814687499998</v>
      </c>
      <c r="AN451">
        <f>IF(ABS(AK450) &gt; ABS(AM450),AK450,AM450)</f>
        <v>128.02134687499998</v>
      </c>
    </row>
    <row r="452" spans="1:41" x14ac:dyDescent="0.35">
      <c r="A452" t="s">
        <v>245</v>
      </c>
      <c r="B452" t="s">
        <v>231</v>
      </c>
      <c r="C452" t="s">
        <v>609</v>
      </c>
      <c r="D452">
        <v>-20</v>
      </c>
      <c r="E452">
        <v>-20</v>
      </c>
      <c r="F452">
        <v>0</v>
      </c>
      <c r="G452">
        <v>-6.0599999999999998E-4</v>
      </c>
      <c r="H452">
        <v>101.1984375</v>
      </c>
      <c r="J452">
        <v>-23777</v>
      </c>
      <c r="N452" t="s">
        <v>178</v>
      </c>
      <c r="O452">
        <f t="shared" si="18"/>
        <v>49.975760000000001</v>
      </c>
      <c r="P452">
        <f t="shared" si="19"/>
        <v>64.028346874999997</v>
      </c>
      <c r="Q452">
        <f t="shared" si="20"/>
        <v>64.028346874999997</v>
      </c>
      <c r="Y452">
        <f>TREND(H450:H454,G450:G454,G452)</f>
        <v>101.1984375</v>
      </c>
      <c r="Z452">
        <f>ABS((Y452-H452)/80*100)</f>
        <v>0</v>
      </c>
      <c r="AE452">
        <f>ABS(P500-P444)</f>
        <v>128.00024687499999</v>
      </c>
      <c r="AH452">
        <f>H452-AG443</f>
        <v>152.39283749999998</v>
      </c>
      <c r="AI452">
        <f>100*(AH452-O452)/80</f>
        <v>128.02134687499998</v>
      </c>
    </row>
    <row r="453" spans="1:41" x14ac:dyDescent="0.35">
      <c r="A453" t="s">
        <v>245</v>
      </c>
      <c r="B453" t="s">
        <v>231</v>
      </c>
      <c r="C453" t="s">
        <v>645</v>
      </c>
      <c r="D453">
        <v>-20</v>
      </c>
      <c r="E453">
        <v>-20</v>
      </c>
      <c r="F453">
        <v>0.5</v>
      </c>
      <c r="G453">
        <v>0.49988100000000002</v>
      </c>
      <c r="H453">
        <v>101.1984375</v>
      </c>
      <c r="J453">
        <v>-23819</v>
      </c>
      <c r="N453" t="s">
        <v>178</v>
      </c>
      <c r="O453">
        <f t="shared" si="18"/>
        <v>69.995239999999995</v>
      </c>
      <c r="P453">
        <f t="shared" si="19"/>
        <v>39.003996874999999</v>
      </c>
      <c r="Q453">
        <f t="shared" si="20"/>
        <v>39.003996874999999</v>
      </c>
      <c r="Y453">
        <f>TREND(H450:H454,G450:G454,G453)</f>
        <v>101.1984375</v>
      </c>
      <c r="Z453">
        <f>ABS((Y453-H453)/80*100)</f>
        <v>0</v>
      </c>
      <c r="AE453">
        <f>ABS(P501-P445)</f>
        <v>127.98714687500001</v>
      </c>
      <c r="AH453">
        <f>H453-AG443</f>
        <v>152.39283749999998</v>
      </c>
      <c r="AI453">
        <f>100*(AH453-O453)/80</f>
        <v>102.99699687499999</v>
      </c>
    </row>
    <row r="454" spans="1:41" x14ac:dyDescent="0.35">
      <c r="A454" t="s">
        <v>245</v>
      </c>
      <c r="B454" t="s">
        <v>231</v>
      </c>
      <c r="C454" t="s">
        <v>681</v>
      </c>
      <c r="D454">
        <v>-20</v>
      </c>
      <c r="E454">
        <v>-19.899999999999999</v>
      </c>
      <c r="F454">
        <v>1</v>
      </c>
      <c r="G454">
        <v>0.99997599999999998</v>
      </c>
      <c r="H454">
        <v>101.1984375</v>
      </c>
      <c r="J454">
        <v>-23838</v>
      </c>
      <c r="N454" t="s">
        <v>178</v>
      </c>
      <c r="O454">
        <f t="shared" si="18"/>
        <v>89.999039999999994</v>
      </c>
      <c r="P454">
        <f t="shared" si="19"/>
        <v>13.999246875000006</v>
      </c>
      <c r="Q454">
        <f t="shared" si="20"/>
        <v>13.999246875000006</v>
      </c>
      <c r="Y454">
        <f>TREND(H450:H454,G450:G454,G454)</f>
        <v>101.1984375</v>
      </c>
      <c r="Z454">
        <f>ABS((Y454-H454)/80*100)</f>
        <v>0</v>
      </c>
      <c r="AE454">
        <f>ABS(P502-P446)</f>
        <v>128.01394687499999</v>
      </c>
      <c r="AH454">
        <f>H454-AG443</f>
        <v>152.39283749999998</v>
      </c>
      <c r="AI454">
        <f>100*(AH454-O454)/80</f>
        <v>77.992246874999992</v>
      </c>
    </row>
    <row r="455" spans="1:41" x14ac:dyDescent="0.35">
      <c r="A455" t="s">
        <v>245</v>
      </c>
      <c r="B455" t="s">
        <v>231</v>
      </c>
      <c r="C455" t="s">
        <v>718</v>
      </c>
      <c r="D455">
        <v>-20</v>
      </c>
      <c r="E455">
        <v>-20.100000000000001</v>
      </c>
      <c r="F455">
        <v>0</v>
      </c>
      <c r="G455">
        <v>-2.7099999999999997E-4</v>
      </c>
      <c r="H455">
        <v>101.1984375</v>
      </c>
      <c r="J455">
        <v>-23874</v>
      </c>
      <c r="N455" t="s">
        <v>178</v>
      </c>
      <c r="O455">
        <f t="shared" si="18"/>
        <v>49.989159999999998</v>
      </c>
      <c r="P455">
        <f t="shared" si="19"/>
        <v>64.011596874999995</v>
      </c>
      <c r="Q455">
        <f t="shared" si="20"/>
        <v>64.011596874999995</v>
      </c>
      <c r="Y455">
        <f>TREND(H450:H454,G450:G454,G455)</f>
        <v>101.1984375</v>
      </c>
      <c r="Z455">
        <f>ABS((Y455-H455)/80*100)</f>
        <v>0</v>
      </c>
      <c r="AE455">
        <f>ABS(P503-P447)</f>
        <v>112.72816249999998</v>
      </c>
      <c r="AH455">
        <f>H455-AG443</f>
        <v>152.39283749999998</v>
      </c>
      <c r="AI455">
        <f>100*(AH455-O455)/80</f>
        <v>128.004596875</v>
      </c>
    </row>
    <row r="456" spans="1:41" x14ac:dyDescent="0.35">
      <c r="A456" t="s">
        <v>245</v>
      </c>
      <c r="B456" t="s">
        <v>231</v>
      </c>
      <c r="C456" t="s">
        <v>754</v>
      </c>
      <c r="D456">
        <v>-20</v>
      </c>
      <c r="E456">
        <v>-20</v>
      </c>
      <c r="F456">
        <v>-1</v>
      </c>
      <c r="G456">
        <v>-0.99993500000000002</v>
      </c>
      <c r="H456">
        <v>101.1984375</v>
      </c>
      <c r="J456">
        <v>-23891</v>
      </c>
      <c r="N456" t="s">
        <v>178</v>
      </c>
      <c r="O456">
        <f t="shared" si="18"/>
        <v>10.002599999999999</v>
      </c>
      <c r="P456">
        <f t="shared" si="19"/>
        <v>113.99479687499999</v>
      </c>
      <c r="Q456">
        <f t="shared" si="20"/>
        <v>113.99479687499999</v>
      </c>
      <c r="Y456">
        <f>TREND(H450:H454,G450:G454,G456)</f>
        <v>101.1984375</v>
      </c>
      <c r="Z456">
        <f>ABS((Y456-H456)/80*100)</f>
        <v>0</v>
      </c>
      <c r="AE456">
        <f>ABS(P504-P448)</f>
        <v>128.00589687499999</v>
      </c>
      <c r="AH456">
        <f>H456-AG443</f>
        <v>152.39283749999998</v>
      </c>
      <c r="AI456">
        <f>100*(AH456-O456)/80</f>
        <v>177.98779687499999</v>
      </c>
    </row>
    <row r="457" spans="1:41" x14ac:dyDescent="0.35">
      <c r="A457" t="s">
        <v>245</v>
      </c>
      <c r="B457" t="s">
        <v>231</v>
      </c>
      <c r="C457" t="s">
        <v>791</v>
      </c>
      <c r="D457">
        <v>0</v>
      </c>
      <c r="E457">
        <v>0</v>
      </c>
      <c r="F457">
        <v>-1</v>
      </c>
      <c r="G457">
        <v>-1.0000450000000001</v>
      </c>
      <c r="H457">
        <v>101.1984375</v>
      </c>
      <c r="J457">
        <v>-16766</v>
      </c>
      <c r="N457" t="s">
        <v>178</v>
      </c>
      <c r="O457">
        <f t="shared" ref="O457:O520" si="21">(((G457--1)*(40))+10)</f>
        <v>9.9981999999999971</v>
      </c>
      <c r="P457">
        <f t="shared" ref="P457:P520" si="22">100*(H457-O457)/80</f>
        <v>114.000296875</v>
      </c>
      <c r="Q457">
        <f t="shared" ref="Q457:Q520" si="23">ABS(P457)</f>
        <v>114.000296875</v>
      </c>
      <c r="S457">
        <v>101.1984375</v>
      </c>
      <c r="T457">
        <v>64.006396874999993</v>
      </c>
      <c r="U457">
        <v>101.1984375</v>
      </c>
      <c r="V457">
        <v>13.983046874999996</v>
      </c>
      <c r="W457">
        <v>3.0517578153421709E-6</v>
      </c>
      <c r="X457">
        <f>(W457-80)/80*100</f>
        <v>-99.999996185302734</v>
      </c>
      <c r="Y457">
        <f>TREND(H457:H461,G457:G461,G457)</f>
        <v>101.1984375</v>
      </c>
      <c r="Z457">
        <f>ABS((Y457-H457)/80*100)</f>
        <v>0</v>
      </c>
      <c r="AA457">
        <f>MAX(Z457:Z461)</f>
        <v>0</v>
      </c>
      <c r="AB457">
        <f>IF(ABS(MAX(P457:P463)) &gt; ABS(MIN(P457:P463)),MAX(P457:P463), MIN(P457:P463))</f>
        <v>114.01339687500001</v>
      </c>
      <c r="AC457">
        <f>IF(ABS(AB458)&gt;ABS(AB457),AB458,AB457)</f>
        <v>114.01339687500001</v>
      </c>
      <c r="AE457">
        <f>ABS(P505-P449)</f>
        <v>128.01054687500002</v>
      </c>
      <c r="AH457">
        <f>H457-AG443</f>
        <v>152.39283749999998</v>
      </c>
      <c r="AI457">
        <f>100*(AH457-O457)/80</f>
        <v>177.993296875</v>
      </c>
      <c r="AJ457">
        <v>152.39283749999998</v>
      </c>
      <c r="AK457">
        <v>127.99939687499997</v>
      </c>
      <c r="AL457">
        <v>152.39283749999998</v>
      </c>
      <c r="AM457">
        <v>77.97604687499998</v>
      </c>
      <c r="AN457">
        <f>IF(ABS(MAX(AI457:AI463)) &gt; ABS(MIN(AI457:AI463)),MAX(AI457:AI463), MIN(AI457:AI463))</f>
        <v>178.00639687500001</v>
      </c>
      <c r="AO457">
        <f>IF(ABS(AN458)&gt;ABS(AN457),AN458,AN457)</f>
        <v>178.00639687500001</v>
      </c>
    </row>
    <row r="458" spans="1:41" x14ac:dyDescent="0.35">
      <c r="A458" t="s">
        <v>245</v>
      </c>
      <c r="B458" t="s">
        <v>231</v>
      </c>
      <c r="C458" t="s">
        <v>827</v>
      </c>
      <c r="D458">
        <v>0</v>
      </c>
      <c r="E458">
        <v>0.1</v>
      </c>
      <c r="F458">
        <v>-0.5</v>
      </c>
      <c r="G458">
        <v>-0.50003699999999995</v>
      </c>
      <c r="H458">
        <v>101.1984375</v>
      </c>
      <c r="J458">
        <v>-16761</v>
      </c>
      <c r="N458" t="s">
        <v>178</v>
      </c>
      <c r="O458">
        <f t="shared" si="21"/>
        <v>29.998520000000003</v>
      </c>
      <c r="P458">
        <f t="shared" si="22"/>
        <v>88.999896875000005</v>
      </c>
      <c r="Q458">
        <f t="shared" si="23"/>
        <v>88.999896875000005</v>
      </c>
      <c r="Y458">
        <f>TREND(H457:H461,G457:G461,G458)</f>
        <v>101.1984375</v>
      </c>
      <c r="Z458">
        <f>ABS((Y458-H458)/80*100)</f>
        <v>0</v>
      </c>
      <c r="AB458">
        <f>IF(ABS(T457) &gt; ABS(V457),T457,V457)</f>
        <v>64.006396874999993</v>
      </c>
      <c r="AE458">
        <f>ABS(P499-P471)</f>
        <v>127.974846875</v>
      </c>
      <c r="AH458">
        <f>H458-AG443</f>
        <v>152.39283749999998</v>
      </c>
      <c r="AI458">
        <f>100*(AH458-O458)/80</f>
        <v>152.99289687499999</v>
      </c>
      <c r="AN458">
        <f>IF(ABS(AK457) &gt; ABS(AM457),AK457,AM457)</f>
        <v>127.99939687499997</v>
      </c>
    </row>
    <row r="459" spans="1:41" x14ac:dyDescent="0.35">
      <c r="A459" t="s">
        <v>245</v>
      </c>
      <c r="B459" t="s">
        <v>231</v>
      </c>
      <c r="C459" t="s">
        <v>863</v>
      </c>
      <c r="D459">
        <v>0</v>
      </c>
      <c r="E459">
        <v>0</v>
      </c>
      <c r="F459">
        <v>0</v>
      </c>
      <c r="G459">
        <v>-1.6699999999999999E-4</v>
      </c>
      <c r="H459">
        <v>101.1984375</v>
      </c>
      <c r="J459">
        <v>-16753</v>
      </c>
      <c r="N459" t="s">
        <v>178</v>
      </c>
      <c r="O459">
        <f t="shared" si="21"/>
        <v>49.993319999999997</v>
      </c>
      <c r="P459">
        <f t="shared" si="22"/>
        <v>64.006396874999993</v>
      </c>
      <c r="Q459">
        <f t="shared" si="23"/>
        <v>64.006396874999993</v>
      </c>
      <c r="Y459">
        <f>TREND(H457:H461,G457:G461,G459)</f>
        <v>101.1984375</v>
      </c>
      <c r="Z459">
        <f>ABS((Y459-H459)/80*100)</f>
        <v>0</v>
      </c>
      <c r="AE459">
        <f>ABS(P500-P472)</f>
        <v>128.00999687499998</v>
      </c>
      <c r="AH459">
        <f>H459-AG443</f>
        <v>152.39283749999998</v>
      </c>
      <c r="AI459">
        <f>100*(AH459-O459)/80</f>
        <v>127.99939687499997</v>
      </c>
    </row>
    <row r="460" spans="1:41" x14ac:dyDescent="0.35">
      <c r="A460" t="s">
        <v>245</v>
      </c>
      <c r="B460" t="s">
        <v>231</v>
      </c>
      <c r="C460" t="s">
        <v>900</v>
      </c>
      <c r="D460">
        <v>0</v>
      </c>
      <c r="E460">
        <v>0</v>
      </c>
      <c r="F460">
        <v>0.5</v>
      </c>
      <c r="G460">
        <v>0.49956699999999998</v>
      </c>
      <c r="H460">
        <v>101.1984375</v>
      </c>
      <c r="J460">
        <v>-16749</v>
      </c>
      <c r="N460" t="s">
        <v>178</v>
      </c>
      <c r="O460">
        <f t="shared" si="21"/>
        <v>69.982679999999988</v>
      </c>
      <c r="P460">
        <f t="shared" si="22"/>
        <v>39.019696875000008</v>
      </c>
      <c r="Q460">
        <f t="shared" si="23"/>
        <v>39.019696875000008</v>
      </c>
      <c r="Y460">
        <f>TREND(H457:H461,G457:G461,G460)</f>
        <v>101.1984375</v>
      </c>
      <c r="Z460">
        <f>ABS((Y460-H460)/80*100)</f>
        <v>0</v>
      </c>
      <c r="AE460">
        <f>ABS(P501-P473)</f>
        <v>127.975496875</v>
      </c>
      <c r="AH460">
        <f>H460-AG443</f>
        <v>152.39283749999998</v>
      </c>
      <c r="AI460">
        <f>100*(AH460-O460)/80</f>
        <v>103.012696875</v>
      </c>
    </row>
    <row r="461" spans="1:41" x14ac:dyDescent="0.35">
      <c r="A461" t="s">
        <v>245</v>
      </c>
      <c r="B461" t="s">
        <v>231</v>
      </c>
      <c r="C461" t="s">
        <v>937</v>
      </c>
      <c r="D461">
        <v>0</v>
      </c>
      <c r="E461">
        <v>0.1</v>
      </c>
      <c r="F461">
        <v>1</v>
      </c>
      <c r="G461">
        <v>1.0003</v>
      </c>
      <c r="H461">
        <v>101.1984375</v>
      </c>
      <c r="J461">
        <v>-16736</v>
      </c>
      <c r="N461" t="s">
        <v>178</v>
      </c>
      <c r="O461">
        <f t="shared" si="21"/>
        <v>90.012</v>
      </c>
      <c r="P461">
        <f t="shared" si="22"/>
        <v>13.983046874999996</v>
      </c>
      <c r="Q461">
        <f t="shared" si="23"/>
        <v>13.983046874999996</v>
      </c>
      <c r="Y461">
        <f>TREND(H457:H461,G457:G461,G461)</f>
        <v>101.1984375</v>
      </c>
      <c r="Z461">
        <f>ABS((Y461-H461)/80*100)</f>
        <v>0</v>
      </c>
      <c r="AE461">
        <f>ABS(P502-P474)</f>
        <v>128.00894687499999</v>
      </c>
      <c r="AH461">
        <f>H461-AG443</f>
        <v>152.39283749999998</v>
      </c>
      <c r="AI461">
        <f>100*(AH461-O461)/80</f>
        <v>77.97604687499998</v>
      </c>
    </row>
    <row r="462" spans="1:41" x14ac:dyDescent="0.35">
      <c r="A462" t="s">
        <v>245</v>
      </c>
      <c r="B462" t="s">
        <v>231</v>
      </c>
      <c r="C462" t="s">
        <v>973</v>
      </c>
      <c r="D462">
        <v>0</v>
      </c>
      <c r="E462">
        <v>-0.1</v>
      </c>
      <c r="F462">
        <v>0</v>
      </c>
      <c r="G462">
        <v>-3.39E-4</v>
      </c>
      <c r="H462">
        <v>101.1984375</v>
      </c>
      <c r="J462">
        <v>-16717</v>
      </c>
      <c r="N462" t="s">
        <v>178</v>
      </c>
      <c r="O462">
        <f t="shared" si="21"/>
        <v>49.986440000000002</v>
      </c>
      <c r="P462">
        <f t="shared" si="22"/>
        <v>64.014996874999994</v>
      </c>
      <c r="Q462">
        <f t="shared" si="23"/>
        <v>64.014996874999994</v>
      </c>
      <c r="Y462">
        <f>TREND(H457:H461,G457:G461,G462)</f>
        <v>101.1984375</v>
      </c>
      <c r="Z462">
        <f>ABS((Y462-H462)/80*100)</f>
        <v>0</v>
      </c>
      <c r="AE462">
        <f>ABS(P503-P475)</f>
        <v>127.982546875</v>
      </c>
      <c r="AH462">
        <f>H462-AG443</f>
        <v>152.39283749999998</v>
      </c>
      <c r="AI462">
        <f>100*(AH462-O462)/80</f>
        <v>128.00799687499998</v>
      </c>
    </row>
    <row r="463" spans="1:41" x14ac:dyDescent="0.35">
      <c r="A463" t="s">
        <v>245</v>
      </c>
      <c r="B463" t="s">
        <v>231</v>
      </c>
      <c r="C463" t="s">
        <v>1009</v>
      </c>
      <c r="D463">
        <v>0</v>
      </c>
      <c r="E463">
        <v>0</v>
      </c>
      <c r="F463">
        <v>-1</v>
      </c>
      <c r="G463">
        <v>-1.0003070000000001</v>
      </c>
      <c r="H463">
        <v>101.1984375</v>
      </c>
      <c r="J463">
        <v>-16666</v>
      </c>
      <c r="N463" t="s">
        <v>178</v>
      </c>
      <c r="O463">
        <f t="shared" si="21"/>
        <v>9.9877199999999977</v>
      </c>
      <c r="P463">
        <f t="shared" si="22"/>
        <v>114.01339687500001</v>
      </c>
      <c r="Q463">
        <f t="shared" si="23"/>
        <v>114.01339687500001</v>
      </c>
      <c r="Y463">
        <f>TREND(H457:H461,G457:G461,G463)</f>
        <v>101.1984375</v>
      </c>
      <c r="Z463">
        <f>ABS((Y463-H463)/80*100)</f>
        <v>0</v>
      </c>
      <c r="AE463">
        <f>ABS(P504-P476)</f>
        <v>128.00569687500001</v>
      </c>
      <c r="AH463">
        <f>H463-AG443</f>
        <v>152.39283749999998</v>
      </c>
      <c r="AI463">
        <f>100*(AH463-O463)/80</f>
        <v>178.00639687500001</v>
      </c>
    </row>
    <row r="464" spans="1:41" x14ac:dyDescent="0.35">
      <c r="A464" t="s">
        <v>245</v>
      </c>
      <c r="B464" t="s">
        <v>231</v>
      </c>
      <c r="C464" t="s">
        <v>1045</v>
      </c>
      <c r="D464">
        <v>10</v>
      </c>
      <c r="E464">
        <v>10</v>
      </c>
      <c r="F464">
        <v>-1</v>
      </c>
      <c r="G464">
        <v>-1.0001530000000001</v>
      </c>
      <c r="H464">
        <v>101.1984375</v>
      </c>
      <c r="J464">
        <v>-12377</v>
      </c>
      <c r="N464" t="s">
        <v>178</v>
      </c>
      <c r="O464">
        <f t="shared" si="21"/>
        <v>9.9938799999999972</v>
      </c>
      <c r="P464">
        <f t="shared" si="22"/>
        <v>114.00569687499998</v>
      </c>
      <c r="Q464">
        <f t="shared" si="23"/>
        <v>114.00569687499998</v>
      </c>
      <c r="S464">
        <v>101.1984375</v>
      </c>
      <c r="T464">
        <v>64.003496874999996</v>
      </c>
      <c r="U464">
        <v>101.1984375</v>
      </c>
      <c r="V464">
        <v>14.017396874999992</v>
      </c>
      <c r="W464">
        <v>3.0517578153421709E-6</v>
      </c>
      <c r="X464">
        <f>(W464-80)/80*100</f>
        <v>-99.999996185302734</v>
      </c>
      <c r="Y464">
        <f>TREND(H464:H468,G464:G468,G464)</f>
        <v>101.1984375</v>
      </c>
      <c r="Z464">
        <f>ABS((Y464-H464)/80*100)</f>
        <v>0</v>
      </c>
      <c r="AA464">
        <f>MAX(Z464:Z468)</f>
        <v>0</v>
      </c>
      <c r="AB464">
        <f>IF(ABS(MAX(P464:P470)) &gt; ABS(MIN(P464:P470)),MAX(P464:P470), MIN(P464:P470))</f>
        <v>114.00569687499998</v>
      </c>
      <c r="AC464">
        <f>IF(ABS(AB465)&gt;ABS(AB464),AB465,AB464)</f>
        <v>114.00569687499998</v>
      </c>
      <c r="AE464">
        <f>ABS(P505-P477)</f>
        <v>128.00524687500001</v>
      </c>
      <c r="AH464">
        <f>H464-AG443</f>
        <v>152.39283749999998</v>
      </c>
      <c r="AI464">
        <f>100*(AH464-O464)/80</f>
        <v>177.99869687500001</v>
      </c>
      <c r="AJ464">
        <v>152.39283749999998</v>
      </c>
      <c r="AK464">
        <v>127.99649687499998</v>
      </c>
      <c r="AL464">
        <v>152.39283749999998</v>
      </c>
      <c r="AM464">
        <v>78.010396874999984</v>
      </c>
      <c r="AN464">
        <f>IF(ABS(MAX(AI464:AI470)) &gt; ABS(MIN(AI464:AI470)),MAX(AI464:AI470), MIN(AI464:AI470))</f>
        <v>177.99869687500001</v>
      </c>
      <c r="AO464">
        <f>IF(ABS(AN465)&gt;ABS(AN464),AN465,AN464)</f>
        <v>177.99869687500001</v>
      </c>
    </row>
    <row r="465" spans="1:41" x14ac:dyDescent="0.35">
      <c r="A465" t="s">
        <v>245</v>
      </c>
      <c r="B465" t="s">
        <v>231</v>
      </c>
      <c r="C465" t="s">
        <v>1081</v>
      </c>
      <c r="D465">
        <v>10</v>
      </c>
      <c r="E465">
        <v>10</v>
      </c>
      <c r="F465">
        <v>-0.5</v>
      </c>
      <c r="G465">
        <v>-0.50004000000000004</v>
      </c>
      <c r="H465">
        <v>101.1984375</v>
      </c>
      <c r="J465">
        <v>-12362</v>
      </c>
      <c r="N465" t="s">
        <v>178</v>
      </c>
      <c r="O465">
        <f t="shared" si="21"/>
        <v>29.998399999999997</v>
      </c>
      <c r="P465">
        <f t="shared" si="22"/>
        <v>89.00004687500001</v>
      </c>
      <c r="Q465">
        <f t="shared" si="23"/>
        <v>89.00004687500001</v>
      </c>
      <c r="Y465">
        <f>TREND(H464:H468,G464:G468,G465)</f>
        <v>101.1984375</v>
      </c>
      <c r="Z465">
        <f>ABS((Y465-H465)/80*100)</f>
        <v>0</v>
      </c>
      <c r="AB465">
        <f>IF(ABS(T464) &gt; ABS(V464),T464,V464)</f>
        <v>64.003496874999996</v>
      </c>
      <c r="AH465">
        <f>H465-AG443</f>
        <v>152.39283749999998</v>
      </c>
      <c r="AI465">
        <f>100*(AH465-O465)/80</f>
        <v>152.99304687499998</v>
      </c>
      <c r="AN465">
        <f>IF(ABS(AK464) &gt; ABS(AM464),AK464,AM464)</f>
        <v>127.99649687499998</v>
      </c>
    </row>
    <row r="466" spans="1:41" x14ac:dyDescent="0.35">
      <c r="A466" t="s">
        <v>245</v>
      </c>
      <c r="B466" t="s">
        <v>1111</v>
      </c>
      <c r="C466" t="s">
        <v>1118</v>
      </c>
      <c r="D466">
        <v>10</v>
      </c>
      <c r="E466">
        <v>10</v>
      </c>
      <c r="F466">
        <v>0</v>
      </c>
      <c r="G466">
        <v>-1.0900000000000001E-4</v>
      </c>
      <c r="H466">
        <v>101.1984375</v>
      </c>
      <c r="J466">
        <v>-12348</v>
      </c>
      <c r="N466" t="s">
        <v>178</v>
      </c>
      <c r="O466">
        <f t="shared" si="21"/>
        <v>49.995640000000002</v>
      </c>
      <c r="P466">
        <f t="shared" si="22"/>
        <v>64.003496874999996</v>
      </c>
      <c r="Q466">
        <f t="shared" si="23"/>
        <v>64.003496874999996</v>
      </c>
      <c r="Y466">
        <f>TREND(H464:H468,G464:G468,G466)</f>
        <v>101.1984375</v>
      </c>
      <c r="Z466">
        <f>ABS((Y466-H466)/80*100)</f>
        <v>0</v>
      </c>
      <c r="AH466">
        <f>H466-AG443</f>
        <v>152.39283749999998</v>
      </c>
      <c r="AI466">
        <f>100*(AH466-O466)/80</f>
        <v>127.99649687499998</v>
      </c>
    </row>
    <row r="467" spans="1:41" x14ac:dyDescent="0.35">
      <c r="A467" t="s">
        <v>245</v>
      </c>
      <c r="B467" t="s">
        <v>1111</v>
      </c>
      <c r="C467" t="s">
        <v>1155</v>
      </c>
      <c r="D467">
        <v>10</v>
      </c>
      <c r="E467">
        <v>10</v>
      </c>
      <c r="F467">
        <v>0.5</v>
      </c>
      <c r="G467">
        <v>0.49998700000000001</v>
      </c>
      <c r="H467">
        <v>101.1984375</v>
      </c>
      <c r="J467">
        <v>-12339</v>
      </c>
      <c r="N467" t="s">
        <v>178</v>
      </c>
      <c r="O467">
        <f t="shared" si="21"/>
        <v>69.999480000000005</v>
      </c>
      <c r="P467">
        <f t="shared" si="22"/>
        <v>38.998696874999993</v>
      </c>
      <c r="Q467">
        <f t="shared" si="23"/>
        <v>38.998696874999993</v>
      </c>
      <c r="Y467">
        <f>TREND(H464:H468,G464:G468,G467)</f>
        <v>101.1984375</v>
      </c>
      <c r="Z467">
        <f>ABS((Y467-H467)/80*100)</f>
        <v>0</v>
      </c>
      <c r="AH467">
        <f>H467-AG443</f>
        <v>152.39283749999998</v>
      </c>
      <c r="AI467">
        <f>100*(AH467-O467)/80</f>
        <v>102.99169687499997</v>
      </c>
    </row>
    <row r="468" spans="1:41" x14ac:dyDescent="0.35">
      <c r="A468" t="s">
        <v>245</v>
      </c>
      <c r="B468" t="s">
        <v>1111</v>
      </c>
      <c r="C468" t="s">
        <v>1193</v>
      </c>
      <c r="D468">
        <v>10</v>
      </c>
      <c r="E468">
        <v>10</v>
      </c>
      <c r="F468">
        <v>1</v>
      </c>
      <c r="G468">
        <v>0.99961299999999997</v>
      </c>
      <c r="H468">
        <v>101.1984375</v>
      </c>
      <c r="J468">
        <v>-12333</v>
      </c>
      <c r="N468" t="s">
        <v>178</v>
      </c>
      <c r="O468">
        <f t="shared" si="21"/>
        <v>89.984520000000003</v>
      </c>
      <c r="P468">
        <f t="shared" si="22"/>
        <v>14.017396874999992</v>
      </c>
      <c r="Q468">
        <f t="shared" si="23"/>
        <v>14.017396874999992</v>
      </c>
      <c r="Y468">
        <f>TREND(H464:H468,G464:G468,G468)</f>
        <v>101.1984375</v>
      </c>
      <c r="Z468">
        <f>ABS((Y468-H468)/80*100)</f>
        <v>0</v>
      </c>
      <c r="AH468">
        <f>H468-AG443</f>
        <v>152.39283749999998</v>
      </c>
      <c r="AI468">
        <f>100*(AH468-O468)/80</f>
        <v>78.010396874999984</v>
      </c>
    </row>
    <row r="469" spans="1:41" x14ac:dyDescent="0.35">
      <c r="A469" t="s">
        <v>245</v>
      </c>
      <c r="B469" t="s">
        <v>1111</v>
      </c>
      <c r="C469" t="s">
        <v>1229</v>
      </c>
      <c r="D469">
        <v>10</v>
      </c>
      <c r="E469">
        <v>10</v>
      </c>
      <c r="F469">
        <v>0</v>
      </c>
      <c r="G469">
        <v>-1.05E-4</v>
      </c>
      <c r="H469">
        <v>101.1984375</v>
      </c>
      <c r="J469">
        <v>-12322</v>
      </c>
      <c r="N469" t="s">
        <v>178</v>
      </c>
      <c r="O469">
        <f t="shared" si="21"/>
        <v>49.995800000000003</v>
      </c>
      <c r="P469">
        <f t="shared" si="22"/>
        <v>64.00329687499999</v>
      </c>
      <c r="Q469">
        <f t="shared" si="23"/>
        <v>64.00329687499999</v>
      </c>
      <c r="Y469">
        <f>TREND(H464:H468,G464:G468,G469)</f>
        <v>101.1984375</v>
      </c>
      <c r="Z469">
        <f>ABS((Y469-H469)/80*100)</f>
        <v>0</v>
      </c>
      <c r="AH469">
        <f>H469-AG443</f>
        <v>152.39283749999998</v>
      </c>
      <c r="AI469">
        <f>100*(AH469-O469)/80</f>
        <v>127.99629687499998</v>
      </c>
    </row>
    <row r="470" spans="1:41" x14ac:dyDescent="0.35">
      <c r="A470" t="s">
        <v>245</v>
      </c>
      <c r="B470" t="s">
        <v>1111</v>
      </c>
      <c r="C470" t="s">
        <v>1265</v>
      </c>
      <c r="D470">
        <v>10</v>
      </c>
      <c r="E470">
        <v>10</v>
      </c>
      <c r="F470">
        <v>-1</v>
      </c>
      <c r="G470">
        <v>-0.99976200000000004</v>
      </c>
      <c r="H470">
        <v>101.1984375</v>
      </c>
      <c r="J470">
        <v>-12310</v>
      </c>
      <c r="N470" t="s">
        <v>178</v>
      </c>
      <c r="O470">
        <f t="shared" si="21"/>
        <v>10.009519999999998</v>
      </c>
      <c r="P470">
        <f t="shared" si="22"/>
        <v>113.986146875</v>
      </c>
      <c r="Q470">
        <f t="shared" si="23"/>
        <v>113.986146875</v>
      </c>
      <c r="Y470">
        <f>TREND(H464:H468,G464:G468,G470)</f>
        <v>101.1984375</v>
      </c>
      <c r="Z470">
        <f>ABS((Y470-H470)/80*100)</f>
        <v>0</v>
      </c>
      <c r="AH470">
        <f>H470-AG443</f>
        <v>152.39283749999998</v>
      </c>
      <c r="AI470">
        <f>100*(AH470-O470)/80</f>
        <v>177.97914687499997</v>
      </c>
    </row>
    <row r="471" spans="1:41" x14ac:dyDescent="0.35">
      <c r="A471" t="s">
        <v>245</v>
      </c>
      <c r="B471" t="s">
        <v>1111</v>
      </c>
      <c r="C471" t="s">
        <v>1302</v>
      </c>
      <c r="D471">
        <v>25</v>
      </c>
      <c r="E471">
        <v>25</v>
      </c>
      <c r="F471">
        <v>-1</v>
      </c>
      <c r="G471">
        <v>-1.000068</v>
      </c>
      <c r="H471">
        <v>-1.2</v>
      </c>
      <c r="J471">
        <v>-6541</v>
      </c>
      <c r="N471" t="s">
        <v>178</v>
      </c>
      <c r="O471">
        <f t="shared" si="21"/>
        <v>9.9972800000000017</v>
      </c>
      <c r="P471">
        <f t="shared" si="22"/>
        <v>-13.996600000000001</v>
      </c>
      <c r="Q471">
        <f t="shared" si="23"/>
        <v>13.996600000000001</v>
      </c>
      <c r="S471">
        <v>-1.2</v>
      </c>
      <c r="T471">
        <v>-63.981350000000006</v>
      </c>
      <c r="U471">
        <v>-1.2</v>
      </c>
      <c r="V471">
        <v>-113.98925</v>
      </c>
      <c r="W471">
        <v>-4.7683715864721421E-8</v>
      </c>
      <c r="X471">
        <f>(W471-80)/80*100</f>
        <v>-100.00000005960463</v>
      </c>
      <c r="Y471">
        <f>TREND(H471:H475,G471:G475,G471)</f>
        <v>-1.2</v>
      </c>
      <c r="Z471">
        <f>ABS((Y471-H471)/80*100)</f>
        <v>0</v>
      </c>
      <c r="AA471">
        <f>MAX(Z471:Z475)</f>
        <v>0</v>
      </c>
      <c r="AB471">
        <f>IF(ABS(MAX(P471:P477)) &gt; ABS(MIN(P471:P477)),MAX(P471:P477), MIN(P471:P477))</f>
        <v>-113.98925</v>
      </c>
      <c r="AC471">
        <f>IF(ABS(AB472)&gt;ABS(AB471),AB472,AB471)</f>
        <v>-113.98925</v>
      </c>
      <c r="AH471">
        <f>H471-AG443</f>
        <v>49.994399999999999</v>
      </c>
      <c r="AI471">
        <f>100*(AH471-O471)/80</f>
        <v>49.996399999999994</v>
      </c>
      <c r="AJ471">
        <v>49.994399999999999</v>
      </c>
      <c r="AK471">
        <v>1.1649999999994165E-2</v>
      </c>
      <c r="AL471">
        <v>49.994399999999999</v>
      </c>
      <c r="AM471">
        <v>-49.996249999999996</v>
      </c>
      <c r="AN471">
        <f>IF(ABS(MAX(AI471:AI477)) &gt; ABS(MIN(AI471:AI477)),MAX(AI471:AI477), MIN(AI471:AI477))</f>
        <v>49.996399999999994</v>
      </c>
      <c r="AO471">
        <f>IF(ABS(AN472)&gt;ABS(AN471),AN472,AN471)</f>
        <v>49.996399999999994</v>
      </c>
    </row>
    <row r="472" spans="1:41" x14ac:dyDescent="0.35">
      <c r="A472" t="s">
        <v>245</v>
      </c>
      <c r="B472" t="s">
        <v>1111</v>
      </c>
      <c r="C472" t="s">
        <v>1338</v>
      </c>
      <c r="D472">
        <v>25</v>
      </c>
      <c r="E472">
        <v>25</v>
      </c>
      <c r="F472">
        <v>-0.5</v>
      </c>
      <c r="G472">
        <v>-0.50030300000000005</v>
      </c>
      <c r="H472">
        <v>-1.2</v>
      </c>
      <c r="J472">
        <v>-6518</v>
      </c>
      <c r="N472" t="s">
        <v>178</v>
      </c>
      <c r="O472">
        <f t="shared" si="21"/>
        <v>29.987879999999997</v>
      </c>
      <c r="P472">
        <f t="shared" si="22"/>
        <v>-38.984849999999994</v>
      </c>
      <c r="Q472">
        <f t="shared" si="23"/>
        <v>38.984849999999994</v>
      </c>
      <c r="Y472">
        <f>TREND(H471:H475,G471:G475,G472)</f>
        <v>-1.2</v>
      </c>
      <c r="Z472">
        <f>ABS((Y472-H472)/80*100)</f>
        <v>0</v>
      </c>
      <c r="AB472">
        <f>IF(ABS(T471) &gt; ABS(V471),T471,V471)</f>
        <v>-113.98925</v>
      </c>
      <c r="AH472">
        <f>H472-AG443</f>
        <v>49.994399999999999</v>
      </c>
      <c r="AI472">
        <f>100*(AH472-O472)/80</f>
        <v>25.008150000000004</v>
      </c>
      <c r="AN472">
        <f>IF(ABS(AK471) &gt; ABS(AM471),AK471,AM471)</f>
        <v>-49.996249999999996</v>
      </c>
    </row>
    <row r="473" spans="1:41" x14ac:dyDescent="0.35">
      <c r="A473" t="s">
        <v>245</v>
      </c>
      <c r="B473" t="s">
        <v>1111</v>
      </c>
      <c r="C473" t="s">
        <v>1374</v>
      </c>
      <c r="D473">
        <v>25</v>
      </c>
      <c r="E473">
        <v>25</v>
      </c>
      <c r="F473">
        <v>0</v>
      </c>
      <c r="G473">
        <v>-3.7300000000000001E-4</v>
      </c>
      <c r="H473">
        <v>-1.2</v>
      </c>
      <c r="J473">
        <v>-6507</v>
      </c>
      <c r="N473" t="s">
        <v>178</v>
      </c>
      <c r="O473">
        <f t="shared" si="21"/>
        <v>49.985080000000004</v>
      </c>
      <c r="P473">
        <f t="shared" si="22"/>
        <v>-63.981350000000006</v>
      </c>
      <c r="Q473">
        <f t="shared" si="23"/>
        <v>63.981350000000006</v>
      </c>
      <c r="Y473">
        <f>TREND(H471:H475,G471:G475,G473)</f>
        <v>-1.2</v>
      </c>
      <c r="Z473">
        <f>ABS((Y473-H473)/80*100)</f>
        <v>0</v>
      </c>
      <c r="AH473">
        <f>H473-AG443</f>
        <v>49.994399999999999</v>
      </c>
      <c r="AI473">
        <f>100*(AH473-O473)/80</f>
        <v>1.1649999999994165E-2</v>
      </c>
    </row>
    <row r="474" spans="1:41" x14ac:dyDescent="0.35">
      <c r="A474" t="s">
        <v>245</v>
      </c>
      <c r="B474" t="s">
        <v>1111</v>
      </c>
      <c r="C474" t="s">
        <v>1412</v>
      </c>
      <c r="D474">
        <v>25</v>
      </c>
      <c r="E474">
        <v>25</v>
      </c>
      <c r="F474">
        <v>0.5</v>
      </c>
      <c r="G474">
        <v>0.49995800000000001</v>
      </c>
      <c r="H474">
        <v>-1.2</v>
      </c>
      <c r="J474">
        <v>-6490</v>
      </c>
      <c r="N474" t="s">
        <v>178</v>
      </c>
      <c r="O474">
        <f t="shared" si="21"/>
        <v>69.998319999999993</v>
      </c>
      <c r="P474">
        <f t="shared" si="22"/>
        <v>-88.997899999999987</v>
      </c>
      <c r="Q474">
        <f t="shared" si="23"/>
        <v>88.997899999999987</v>
      </c>
      <c r="Y474">
        <f>TREND(H471:H475,G471:G475,G474)</f>
        <v>-1.2</v>
      </c>
      <c r="Z474">
        <f>ABS((Y474-H474)/80*100)</f>
        <v>0</v>
      </c>
      <c r="AH474">
        <f>H474-AG443</f>
        <v>49.994399999999999</v>
      </c>
      <c r="AI474">
        <f>100*(AH474-O474)/80</f>
        <v>-25.004899999999992</v>
      </c>
    </row>
    <row r="475" spans="1:41" x14ac:dyDescent="0.35">
      <c r="A475" t="s">
        <v>245</v>
      </c>
      <c r="B475" t="s">
        <v>1111</v>
      </c>
      <c r="C475" t="s">
        <v>1448</v>
      </c>
      <c r="D475">
        <v>25</v>
      </c>
      <c r="E475">
        <v>25</v>
      </c>
      <c r="F475">
        <v>1</v>
      </c>
      <c r="G475">
        <v>0.99978500000000003</v>
      </c>
      <c r="H475">
        <v>-1.2</v>
      </c>
      <c r="J475">
        <v>-6480</v>
      </c>
      <c r="N475" t="s">
        <v>178</v>
      </c>
      <c r="O475">
        <f t="shared" si="21"/>
        <v>89.991399999999999</v>
      </c>
      <c r="P475">
        <f t="shared" si="22"/>
        <v>-113.98925</v>
      </c>
      <c r="Q475">
        <f t="shared" si="23"/>
        <v>113.98925</v>
      </c>
      <c r="Y475">
        <f>TREND(H471:H475,G471:G475,G475)</f>
        <v>-1.2</v>
      </c>
      <c r="Z475">
        <f>ABS((Y475-H475)/80*100)</f>
        <v>0</v>
      </c>
      <c r="AH475">
        <f>H475-AG443</f>
        <v>49.994399999999999</v>
      </c>
      <c r="AI475">
        <f>100*(AH475-O475)/80</f>
        <v>-49.996249999999996</v>
      </c>
    </row>
    <row r="476" spans="1:41" x14ac:dyDescent="0.35">
      <c r="A476" t="s">
        <v>245</v>
      </c>
      <c r="B476" t="s">
        <v>1111</v>
      </c>
      <c r="C476" t="s">
        <v>1485</v>
      </c>
      <c r="D476">
        <v>25</v>
      </c>
      <c r="E476">
        <v>25</v>
      </c>
      <c r="F476">
        <v>0</v>
      </c>
      <c r="G476">
        <v>1.21E-4</v>
      </c>
      <c r="H476">
        <v>-1.2</v>
      </c>
      <c r="J476">
        <v>-6454</v>
      </c>
      <c r="N476" t="s">
        <v>178</v>
      </c>
      <c r="O476">
        <f t="shared" si="21"/>
        <v>50.004840000000002</v>
      </c>
      <c r="P476">
        <f t="shared" si="22"/>
        <v>-64.006050000000002</v>
      </c>
      <c r="Q476">
        <f t="shared" si="23"/>
        <v>64.006050000000002</v>
      </c>
      <c r="Y476">
        <f>TREND(H471:H475,G471:G475,G476)</f>
        <v>-1.2</v>
      </c>
      <c r="Z476">
        <f>ABS((Y476-H476)/80*100)</f>
        <v>0</v>
      </c>
      <c r="AH476">
        <f>H476-AG443</f>
        <v>49.994399999999999</v>
      </c>
      <c r="AI476">
        <f>100*(AH476-O476)/80</f>
        <v>-1.3050000000003337E-2</v>
      </c>
    </row>
    <row r="477" spans="1:41" x14ac:dyDescent="0.35">
      <c r="A477" t="s">
        <v>245</v>
      </c>
      <c r="B477" t="s">
        <v>1111</v>
      </c>
      <c r="C477" t="s">
        <v>1521</v>
      </c>
      <c r="D477">
        <v>25</v>
      </c>
      <c r="E477">
        <v>25</v>
      </c>
      <c r="F477">
        <v>-1</v>
      </c>
      <c r="G477">
        <v>-1.0000420000000001</v>
      </c>
      <c r="H477">
        <v>-1.2</v>
      </c>
      <c r="J477">
        <v>-6435</v>
      </c>
      <c r="N477" t="s">
        <v>178</v>
      </c>
      <c r="O477">
        <f t="shared" si="21"/>
        <v>9.9983199999999961</v>
      </c>
      <c r="P477">
        <f t="shared" si="22"/>
        <v>-13.997899999999992</v>
      </c>
      <c r="Q477">
        <f t="shared" si="23"/>
        <v>13.997899999999992</v>
      </c>
      <c r="Y477">
        <f>TREND(H471:H475,G471:G475,G477)</f>
        <v>-1.2</v>
      </c>
      <c r="Z477">
        <f>ABS((Y477-H477)/80*100)</f>
        <v>0</v>
      </c>
      <c r="AH477">
        <f>H477-AG443</f>
        <v>49.994399999999999</v>
      </c>
      <c r="AI477">
        <f>100*(AH477-O477)/80</f>
        <v>49.995100000000008</v>
      </c>
    </row>
    <row r="478" spans="1:41" x14ac:dyDescent="0.35">
      <c r="A478" t="s">
        <v>245</v>
      </c>
      <c r="B478" t="s">
        <v>1111</v>
      </c>
      <c r="C478" t="s">
        <v>1558</v>
      </c>
      <c r="D478">
        <v>50</v>
      </c>
      <c r="E478">
        <v>50</v>
      </c>
      <c r="F478">
        <v>-1</v>
      </c>
      <c r="G478">
        <v>-0.99985000000000002</v>
      </c>
      <c r="H478">
        <v>-1.2</v>
      </c>
      <c r="J478">
        <v>3083</v>
      </c>
      <c r="N478" t="s">
        <v>178</v>
      </c>
      <c r="O478">
        <f t="shared" si="21"/>
        <v>10.006</v>
      </c>
      <c r="P478">
        <f t="shared" si="22"/>
        <v>-14.007499999999999</v>
      </c>
      <c r="Q478">
        <f t="shared" si="23"/>
        <v>14.007499999999999</v>
      </c>
      <c r="S478">
        <v>-1.2</v>
      </c>
      <c r="T478">
        <v>-64.001949999999994</v>
      </c>
      <c r="U478">
        <v>-1.2</v>
      </c>
      <c r="V478">
        <v>-113.99275</v>
      </c>
      <c r="W478">
        <v>-4.7683715864721421E-8</v>
      </c>
      <c r="X478">
        <f>(W478-80)/80*100</f>
        <v>-100.00000005960463</v>
      </c>
      <c r="Y478">
        <f>TREND(H478:H482,G478:G482,G478)</f>
        <v>-1.2</v>
      </c>
      <c r="Z478">
        <f>ABS((Y478-H478)/80*100)</f>
        <v>0</v>
      </c>
      <c r="AA478">
        <f>MAX(Z478:Z482)</f>
        <v>0</v>
      </c>
      <c r="AB478">
        <f>IF(ABS(MAX(P478:P484)) &gt; ABS(MIN(P478:P484)),MAX(P478:P484), MIN(P478:P484))</f>
        <v>-113.99275</v>
      </c>
      <c r="AC478">
        <f>IF(ABS(AB479)&gt;ABS(AB478),AB479,AB478)</f>
        <v>-113.99275</v>
      </c>
      <c r="AH478">
        <f>H478-AG443</f>
        <v>49.994399999999999</v>
      </c>
      <c r="AI478">
        <f>100*(AH478-O478)/80</f>
        <v>49.985499999999995</v>
      </c>
      <c r="AJ478">
        <v>49.994399999999999</v>
      </c>
      <c r="AK478">
        <v>-8.9499999999986812E-3</v>
      </c>
      <c r="AL478">
        <v>49.994399999999999</v>
      </c>
      <c r="AM478">
        <v>-49.999750000000013</v>
      </c>
      <c r="AN478">
        <f>IF(ABS(MAX(AI478:AI484)) &gt; ABS(MIN(AI478:AI484)),MAX(AI478:AI484), MIN(AI478:AI484))</f>
        <v>50.013750000000002</v>
      </c>
      <c r="AO478">
        <f>IF(ABS(AN479)&gt;ABS(AN478),AN479,AN478)</f>
        <v>50.013750000000002</v>
      </c>
    </row>
    <row r="479" spans="1:41" x14ac:dyDescent="0.35">
      <c r="A479" t="s">
        <v>245</v>
      </c>
      <c r="B479" t="s">
        <v>1111</v>
      </c>
      <c r="C479" t="s">
        <v>1594</v>
      </c>
      <c r="D479">
        <v>50</v>
      </c>
      <c r="E479">
        <v>50</v>
      </c>
      <c r="F479">
        <v>-0.5</v>
      </c>
      <c r="G479">
        <v>-0.50085900000000005</v>
      </c>
      <c r="H479">
        <v>-1.2</v>
      </c>
      <c r="J479">
        <v>3129</v>
      </c>
      <c r="N479" t="s">
        <v>178</v>
      </c>
      <c r="O479">
        <f t="shared" si="21"/>
        <v>29.965639999999997</v>
      </c>
      <c r="P479">
        <f t="shared" si="22"/>
        <v>-38.957049999999995</v>
      </c>
      <c r="Q479">
        <f t="shared" si="23"/>
        <v>38.957049999999995</v>
      </c>
      <c r="Y479">
        <f>TREND(H478:H482,G478:G482,G479)</f>
        <v>-1.2</v>
      </c>
      <c r="Z479">
        <f>ABS((Y479-H479)/80*100)</f>
        <v>0</v>
      </c>
      <c r="AB479">
        <f>IF(ABS(T478) &gt; ABS(V478),T478,V478)</f>
        <v>-113.99275</v>
      </c>
      <c r="AH479">
        <f>H479-AG443</f>
        <v>49.994399999999999</v>
      </c>
      <c r="AI479">
        <f>100*(AH479-O479)/80</f>
        <v>25.035950000000003</v>
      </c>
      <c r="AN479">
        <f>IF(ABS(AK478) &gt; ABS(AM478),AK478,AM478)</f>
        <v>-49.999750000000013</v>
      </c>
    </row>
    <row r="480" spans="1:41" x14ac:dyDescent="0.35">
      <c r="A480" t="s">
        <v>245</v>
      </c>
      <c r="B480" t="s">
        <v>1111</v>
      </c>
      <c r="C480" t="s">
        <v>1632</v>
      </c>
      <c r="D480">
        <v>50</v>
      </c>
      <c r="E480">
        <v>50</v>
      </c>
      <c r="F480">
        <v>0</v>
      </c>
      <c r="G480">
        <v>3.8999999999999999E-5</v>
      </c>
      <c r="H480">
        <v>-1.2</v>
      </c>
      <c r="J480">
        <v>3152</v>
      </c>
      <c r="N480" t="s">
        <v>178</v>
      </c>
      <c r="O480">
        <f t="shared" si="21"/>
        <v>50.001559999999998</v>
      </c>
      <c r="P480">
        <f t="shared" si="22"/>
        <v>-64.001949999999994</v>
      </c>
      <c r="Q480">
        <f t="shared" si="23"/>
        <v>64.001949999999994</v>
      </c>
      <c r="Y480">
        <f>TREND(H478:H482,G478:G482,G480)</f>
        <v>-1.2</v>
      </c>
      <c r="Z480">
        <f>ABS((Y480-H480)/80*100)</f>
        <v>0</v>
      </c>
      <c r="AH480">
        <f>H480-AG443</f>
        <v>49.994399999999999</v>
      </c>
      <c r="AI480">
        <f>100*(AH480-O480)/80</f>
        <v>-8.9499999999986812E-3</v>
      </c>
    </row>
    <row r="481" spans="1:41" x14ac:dyDescent="0.35">
      <c r="A481" t="s">
        <v>245</v>
      </c>
      <c r="B481" t="s">
        <v>1111</v>
      </c>
      <c r="C481" t="s">
        <v>1668</v>
      </c>
      <c r="D481">
        <v>50</v>
      </c>
      <c r="E481">
        <v>50</v>
      </c>
      <c r="F481">
        <v>0.5</v>
      </c>
      <c r="G481">
        <v>0.50003699999999995</v>
      </c>
      <c r="H481">
        <v>-1.2</v>
      </c>
      <c r="J481">
        <v>3184</v>
      </c>
      <c r="N481" t="s">
        <v>178</v>
      </c>
      <c r="O481">
        <f t="shared" si="21"/>
        <v>70.001479999999987</v>
      </c>
      <c r="P481">
        <f t="shared" si="22"/>
        <v>-89.00184999999999</v>
      </c>
      <c r="Q481">
        <f t="shared" si="23"/>
        <v>89.00184999999999</v>
      </c>
      <c r="Y481">
        <f>TREND(H478:H482,G478:G482,G481)</f>
        <v>-1.2</v>
      </c>
      <c r="Z481">
        <f>ABS((Y481-H481)/80*100)</f>
        <v>0</v>
      </c>
      <c r="AH481">
        <f>H481-AG443</f>
        <v>49.994399999999999</v>
      </c>
      <c r="AI481">
        <f>100*(AH481-O481)/80</f>
        <v>-25.008849999999985</v>
      </c>
    </row>
    <row r="482" spans="1:41" x14ac:dyDescent="0.35">
      <c r="A482" t="s">
        <v>245</v>
      </c>
      <c r="B482" t="s">
        <v>1111</v>
      </c>
      <c r="C482" t="s">
        <v>1705</v>
      </c>
      <c r="D482">
        <v>50</v>
      </c>
      <c r="E482">
        <v>50</v>
      </c>
      <c r="F482">
        <v>1</v>
      </c>
      <c r="G482">
        <v>0.99985500000000005</v>
      </c>
      <c r="H482">
        <v>-1.2</v>
      </c>
      <c r="J482">
        <v>3224</v>
      </c>
      <c r="N482" t="s">
        <v>178</v>
      </c>
      <c r="O482">
        <f t="shared" si="21"/>
        <v>89.994200000000006</v>
      </c>
      <c r="P482">
        <f t="shared" si="22"/>
        <v>-113.99275</v>
      </c>
      <c r="Q482">
        <f t="shared" si="23"/>
        <v>113.99275</v>
      </c>
      <c r="Y482">
        <f>TREND(H478:H482,G478:G482,G482)</f>
        <v>-1.2</v>
      </c>
      <c r="Z482">
        <f>ABS((Y482-H482)/80*100)</f>
        <v>0</v>
      </c>
      <c r="AH482">
        <f>H482-AG443</f>
        <v>49.994399999999999</v>
      </c>
      <c r="AI482">
        <f>100*(AH482-O482)/80</f>
        <v>-49.999750000000013</v>
      </c>
    </row>
    <row r="483" spans="1:41" x14ac:dyDescent="0.35">
      <c r="A483" t="s">
        <v>245</v>
      </c>
      <c r="B483" t="s">
        <v>1111</v>
      </c>
      <c r="C483" t="s">
        <v>1742</v>
      </c>
      <c r="D483">
        <v>50</v>
      </c>
      <c r="E483">
        <v>50</v>
      </c>
      <c r="F483">
        <v>0</v>
      </c>
      <c r="G483">
        <v>-5.0000000000000004E-6</v>
      </c>
      <c r="H483">
        <v>-1.2</v>
      </c>
      <c r="J483">
        <v>3246</v>
      </c>
      <c r="N483" t="s">
        <v>178</v>
      </c>
      <c r="O483">
        <f t="shared" si="21"/>
        <v>49.9998</v>
      </c>
      <c r="P483">
        <f t="shared" si="22"/>
        <v>-63.999750000000006</v>
      </c>
      <c r="Q483">
        <f t="shared" si="23"/>
        <v>63.999750000000006</v>
      </c>
      <c r="Y483">
        <f>TREND(H478:H482,G478:G482,G483)</f>
        <v>-1.2</v>
      </c>
      <c r="Z483">
        <f>ABS((Y483-H483)/80*100)</f>
        <v>0</v>
      </c>
      <c r="AH483">
        <f>H483-AG443</f>
        <v>49.994399999999999</v>
      </c>
      <c r="AI483">
        <f>100*(AH483-O483)/80</f>
        <v>-6.7500000000020322E-3</v>
      </c>
    </row>
    <row r="484" spans="1:41" x14ac:dyDescent="0.35">
      <c r="A484" t="s">
        <v>245</v>
      </c>
      <c r="B484" t="s">
        <v>1111</v>
      </c>
      <c r="C484" t="s">
        <v>1778</v>
      </c>
      <c r="D484">
        <v>50</v>
      </c>
      <c r="E484">
        <v>50</v>
      </c>
      <c r="F484">
        <v>-1</v>
      </c>
      <c r="G484">
        <v>-1.0004150000000001</v>
      </c>
      <c r="H484">
        <v>-1.2</v>
      </c>
      <c r="J484">
        <v>3275</v>
      </c>
      <c r="N484" t="s">
        <v>178</v>
      </c>
      <c r="O484">
        <f t="shared" si="21"/>
        <v>9.9833999999999978</v>
      </c>
      <c r="P484">
        <f t="shared" si="22"/>
        <v>-13.979249999999997</v>
      </c>
      <c r="Q484">
        <f t="shared" si="23"/>
        <v>13.979249999999997</v>
      </c>
      <c r="Y484">
        <f>TREND(H478:H482,G478:G482,G484)</f>
        <v>-1.2</v>
      </c>
      <c r="Z484">
        <f>ABS((Y484-H484)/80*100)</f>
        <v>0</v>
      </c>
      <c r="AH484">
        <f>H484-AG443</f>
        <v>49.994399999999999</v>
      </c>
      <c r="AI484">
        <f>100*(AH484-O484)/80</f>
        <v>50.013750000000002</v>
      </c>
    </row>
    <row r="485" spans="1:41" x14ac:dyDescent="0.35">
      <c r="A485" t="s">
        <v>245</v>
      </c>
      <c r="B485" t="s">
        <v>1111</v>
      </c>
      <c r="C485" t="s">
        <v>1816</v>
      </c>
      <c r="D485">
        <v>70</v>
      </c>
      <c r="E485">
        <v>70</v>
      </c>
      <c r="F485">
        <v>-1</v>
      </c>
      <c r="G485">
        <v>-1.0000579999999999</v>
      </c>
      <c r="H485">
        <v>-1.2</v>
      </c>
      <c r="J485">
        <v>11042</v>
      </c>
      <c r="N485" t="s">
        <v>178</v>
      </c>
      <c r="O485">
        <f t="shared" si="21"/>
        <v>9.9976800000000043</v>
      </c>
      <c r="P485">
        <f t="shared" si="22"/>
        <v>-13.997100000000003</v>
      </c>
      <c r="Q485">
        <f t="shared" si="23"/>
        <v>13.997100000000003</v>
      </c>
      <c r="S485">
        <v>-1.2</v>
      </c>
      <c r="T485">
        <v>-63.992850000000011</v>
      </c>
      <c r="U485">
        <v>-1.2</v>
      </c>
      <c r="V485">
        <v>-113.96869999999998</v>
      </c>
      <c r="W485">
        <v>-4.7683715864721421E-8</v>
      </c>
      <c r="X485">
        <f>(W485-80)/80*100</f>
        <v>-100.00000005960463</v>
      </c>
      <c r="Y485">
        <f>TREND(H485:H489,G485:G489,G485)</f>
        <v>-1.2</v>
      </c>
      <c r="Z485">
        <f>ABS((Y485-H485)/80*100)</f>
        <v>0</v>
      </c>
      <c r="AA485">
        <f>MAX(Z485:Z489)</f>
        <v>0</v>
      </c>
      <c r="AB485">
        <f>IF(ABS(MAX(P485:P491)) &gt; ABS(MIN(P485:P491)),MAX(P485:P491), MIN(P485:P491))</f>
        <v>-113.96869999999998</v>
      </c>
      <c r="AC485">
        <f>IF(ABS(AB486)&gt;ABS(AB485),AB486,AB485)</f>
        <v>-113.96869999999998</v>
      </c>
      <c r="AH485">
        <f>H485-AG443</f>
        <v>49.994399999999999</v>
      </c>
      <c r="AI485">
        <f>100*(AH485-O485)/80</f>
        <v>49.995899999999992</v>
      </c>
      <c r="AJ485">
        <v>49.994399999999999</v>
      </c>
      <c r="AK485">
        <v>1.4999999999432134E-4</v>
      </c>
      <c r="AL485">
        <v>49.994399999999999</v>
      </c>
      <c r="AM485">
        <v>-49.975699999999996</v>
      </c>
      <c r="AN485">
        <f>IF(ABS(MAX(AI485:AI491)) &gt; ABS(MIN(AI485:AI491)),MAX(AI485:AI491), MIN(AI485:AI491))</f>
        <v>50.002650000000003</v>
      </c>
      <c r="AO485">
        <f>IF(ABS(AN486)&gt;ABS(AN485),AN486,AN485)</f>
        <v>50.002650000000003</v>
      </c>
    </row>
    <row r="486" spans="1:41" x14ac:dyDescent="0.35">
      <c r="A486" t="s">
        <v>245</v>
      </c>
      <c r="B486" t="s">
        <v>1111</v>
      </c>
      <c r="C486" t="s">
        <v>1853</v>
      </c>
      <c r="D486">
        <v>70</v>
      </c>
      <c r="E486">
        <v>70</v>
      </c>
      <c r="F486">
        <v>-0.5</v>
      </c>
      <c r="G486">
        <v>-0.50042399999999998</v>
      </c>
      <c r="H486">
        <v>-1.2</v>
      </c>
      <c r="J486">
        <v>11061</v>
      </c>
      <c r="N486" t="s">
        <v>178</v>
      </c>
      <c r="O486">
        <f t="shared" si="21"/>
        <v>29.983040000000003</v>
      </c>
      <c r="P486">
        <f t="shared" si="22"/>
        <v>-38.9788</v>
      </c>
      <c r="Q486">
        <f t="shared" si="23"/>
        <v>38.9788</v>
      </c>
      <c r="Y486">
        <f>TREND(H485:H489,G485:G489,G486)</f>
        <v>-1.2</v>
      </c>
      <c r="Z486">
        <f>ABS((Y486-H486)/80*100)</f>
        <v>0</v>
      </c>
      <c r="AB486">
        <f>IF(ABS(T485) &gt; ABS(V485),T485,V485)</f>
        <v>-113.96869999999998</v>
      </c>
      <c r="AH486">
        <f>H486-AG443</f>
        <v>49.994399999999999</v>
      </c>
      <c r="AI486">
        <f>100*(AH486-O486)/80</f>
        <v>25.014199999999995</v>
      </c>
      <c r="AN486">
        <f>IF(ABS(AK485) &gt; ABS(AM485),AK485,AM485)</f>
        <v>-49.975699999999996</v>
      </c>
    </row>
    <row r="487" spans="1:41" x14ac:dyDescent="0.35">
      <c r="A487" t="s">
        <v>245</v>
      </c>
      <c r="B487" t="s">
        <v>1111</v>
      </c>
      <c r="C487" t="s">
        <v>1889</v>
      </c>
      <c r="D487">
        <v>70</v>
      </c>
      <c r="E487">
        <v>70</v>
      </c>
      <c r="F487">
        <v>0</v>
      </c>
      <c r="G487">
        <v>-1.4300000000000001E-4</v>
      </c>
      <c r="H487">
        <v>-1.2</v>
      </c>
      <c r="J487">
        <v>11104</v>
      </c>
      <c r="N487" t="s">
        <v>178</v>
      </c>
      <c r="O487">
        <f t="shared" si="21"/>
        <v>49.994280000000003</v>
      </c>
      <c r="P487">
        <f t="shared" si="22"/>
        <v>-63.992850000000011</v>
      </c>
      <c r="Q487">
        <f t="shared" si="23"/>
        <v>63.992850000000011</v>
      </c>
      <c r="Y487">
        <f>TREND(H485:H489,G485:G489,G487)</f>
        <v>-1.2</v>
      </c>
      <c r="Z487">
        <f>ABS((Y487-H487)/80*100)</f>
        <v>0</v>
      </c>
      <c r="AH487">
        <f>H487-AG443</f>
        <v>49.994399999999999</v>
      </c>
      <c r="AI487">
        <f>100*(AH487-O487)/80</f>
        <v>1.4999999999432134E-4</v>
      </c>
    </row>
    <row r="488" spans="1:41" x14ac:dyDescent="0.35">
      <c r="A488" t="s">
        <v>245</v>
      </c>
      <c r="B488" t="s">
        <v>1111</v>
      </c>
      <c r="C488" t="s">
        <v>1926</v>
      </c>
      <c r="D488">
        <v>70</v>
      </c>
      <c r="E488">
        <v>70</v>
      </c>
      <c r="F488">
        <v>0.5</v>
      </c>
      <c r="G488">
        <v>0.49979400000000002</v>
      </c>
      <c r="H488">
        <v>-1.2</v>
      </c>
      <c r="J488">
        <v>11121</v>
      </c>
      <c r="N488" t="s">
        <v>178</v>
      </c>
      <c r="O488">
        <f t="shared" si="21"/>
        <v>69.991759999999999</v>
      </c>
      <c r="P488">
        <f t="shared" si="22"/>
        <v>-88.989699999999999</v>
      </c>
      <c r="Q488">
        <f t="shared" si="23"/>
        <v>88.989699999999999</v>
      </c>
      <c r="Y488">
        <f>TREND(H485:H489,G485:G489,G488)</f>
        <v>-1.2</v>
      </c>
      <c r="Z488">
        <f>ABS((Y488-H488)/80*100)</f>
        <v>0</v>
      </c>
      <c r="AH488">
        <f>H488-AG443</f>
        <v>49.994399999999999</v>
      </c>
      <c r="AI488">
        <f>100*(AH488-O488)/80</f>
        <v>-24.996700000000001</v>
      </c>
    </row>
    <row r="489" spans="1:41" x14ac:dyDescent="0.35">
      <c r="A489" t="s">
        <v>245</v>
      </c>
      <c r="B489" t="s">
        <v>1111</v>
      </c>
      <c r="C489" t="s">
        <v>1962</v>
      </c>
      <c r="D489">
        <v>70</v>
      </c>
      <c r="E489">
        <v>70</v>
      </c>
      <c r="F489">
        <v>1</v>
      </c>
      <c r="G489">
        <v>0.99937399999999998</v>
      </c>
      <c r="H489">
        <v>-1.2</v>
      </c>
      <c r="J489">
        <v>11161</v>
      </c>
      <c r="N489" t="s">
        <v>178</v>
      </c>
      <c r="O489">
        <f t="shared" si="21"/>
        <v>89.974959999999996</v>
      </c>
      <c r="P489">
        <f t="shared" si="22"/>
        <v>-113.96869999999998</v>
      </c>
      <c r="Q489">
        <f t="shared" si="23"/>
        <v>113.96869999999998</v>
      </c>
      <c r="Y489">
        <f>TREND(H485:H489,G485:G489,G489)</f>
        <v>-1.2</v>
      </c>
      <c r="Z489">
        <f>ABS((Y489-H489)/80*100)</f>
        <v>0</v>
      </c>
      <c r="AH489">
        <f>H489-AG443</f>
        <v>49.994399999999999</v>
      </c>
      <c r="AI489">
        <f>100*(AH489-O489)/80</f>
        <v>-49.975699999999996</v>
      </c>
    </row>
    <row r="490" spans="1:41" x14ac:dyDescent="0.35">
      <c r="A490" t="s">
        <v>245</v>
      </c>
      <c r="B490" t="s">
        <v>1111</v>
      </c>
      <c r="C490" t="s">
        <v>1998</v>
      </c>
      <c r="D490">
        <v>70</v>
      </c>
      <c r="E490">
        <v>70</v>
      </c>
      <c r="F490">
        <v>0</v>
      </c>
      <c r="G490">
        <v>-3.3500000000000001E-4</v>
      </c>
      <c r="H490">
        <v>-1.2</v>
      </c>
      <c r="J490">
        <v>11182</v>
      </c>
      <c r="N490" t="s">
        <v>178</v>
      </c>
      <c r="O490">
        <f t="shared" si="21"/>
        <v>49.986600000000003</v>
      </c>
      <c r="P490">
        <f t="shared" si="22"/>
        <v>-63.983250000000012</v>
      </c>
      <c r="Q490">
        <f t="shared" si="23"/>
        <v>63.983250000000012</v>
      </c>
      <c r="Y490">
        <f>TREND(H485:H489,G485:G489,G490)</f>
        <v>-1.2</v>
      </c>
      <c r="Z490">
        <f>ABS((Y490-H490)/80*100)</f>
        <v>0</v>
      </c>
      <c r="AH490">
        <f>H490-AG443</f>
        <v>49.994399999999999</v>
      </c>
      <c r="AI490">
        <f>100*(AH490-O490)/80</f>
        <v>9.7499999999950404E-3</v>
      </c>
    </row>
    <row r="491" spans="1:41" x14ac:dyDescent="0.35">
      <c r="A491" t="s">
        <v>245</v>
      </c>
      <c r="B491" t="s">
        <v>1111</v>
      </c>
      <c r="C491" t="s">
        <v>2035</v>
      </c>
      <c r="D491">
        <v>70</v>
      </c>
      <c r="E491">
        <v>70</v>
      </c>
      <c r="F491">
        <v>-1</v>
      </c>
      <c r="G491">
        <v>-1.0001930000000001</v>
      </c>
      <c r="H491">
        <v>-1.2</v>
      </c>
      <c r="J491">
        <v>11203</v>
      </c>
      <c r="N491" t="s">
        <v>178</v>
      </c>
      <c r="O491">
        <f t="shared" si="21"/>
        <v>9.9922799999999956</v>
      </c>
      <c r="P491">
        <f t="shared" si="22"/>
        <v>-13.990349999999992</v>
      </c>
      <c r="Q491">
        <f t="shared" si="23"/>
        <v>13.990349999999992</v>
      </c>
      <c r="Y491">
        <f>TREND(H485:H489,G485:G489,G491)</f>
        <v>-1.2</v>
      </c>
      <c r="Z491">
        <f>ABS((Y491-H491)/80*100)</f>
        <v>0</v>
      </c>
      <c r="AH491">
        <f>H491-AG443</f>
        <v>49.994399999999999</v>
      </c>
      <c r="AI491">
        <f>100*(AH491-O491)/80</f>
        <v>50.002650000000003</v>
      </c>
    </row>
    <row r="492" spans="1:41" x14ac:dyDescent="0.35">
      <c r="A492" t="s">
        <v>245</v>
      </c>
      <c r="B492" t="s">
        <v>1111</v>
      </c>
      <c r="C492" t="s">
        <v>2071</v>
      </c>
      <c r="D492">
        <v>85</v>
      </c>
      <c r="E492">
        <v>85</v>
      </c>
      <c r="F492">
        <v>-1</v>
      </c>
      <c r="G492">
        <v>-1.00034</v>
      </c>
      <c r="H492">
        <v>-1.2</v>
      </c>
      <c r="J492">
        <v>17044</v>
      </c>
      <c r="N492" t="s">
        <v>178</v>
      </c>
      <c r="O492">
        <f t="shared" si="21"/>
        <v>9.9863999999999997</v>
      </c>
      <c r="P492">
        <f t="shared" si="22"/>
        <v>-13.982999999999999</v>
      </c>
      <c r="Q492">
        <f t="shared" si="23"/>
        <v>13.982999999999999</v>
      </c>
      <c r="S492">
        <v>-1.2</v>
      </c>
      <c r="T492">
        <v>-63.991000000000007</v>
      </c>
      <c r="U492">
        <v>-1.2</v>
      </c>
      <c r="V492">
        <v>-114.00345</v>
      </c>
      <c r="W492">
        <v>-4.7683715864721421E-8</v>
      </c>
      <c r="X492">
        <f>(W492-80)/80*100</f>
        <v>-100.00000005960463</v>
      </c>
      <c r="Y492">
        <f>TREND(H492:H496,G492:G496,G492)</f>
        <v>-1.2</v>
      </c>
      <c r="Z492">
        <f>ABS((Y492-H492)/80*100)</f>
        <v>0</v>
      </c>
      <c r="AA492">
        <f>MAX(Z492:Z496)</f>
        <v>0</v>
      </c>
      <c r="AB492">
        <f>IF(ABS(MAX(P492:P498)) &gt; ABS(MIN(P492:P498)),MAX(P492:P498), MIN(P492:P498))</f>
        <v>-114.00345</v>
      </c>
      <c r="AC492">
        <f>IF(ABS(AB493)&gt;ABS(AB492),AB493,AB492)</f>
        <v>-114.00345</v>
      </c>
      <c r="AH492">
        <f>H492-AG443</f>
        <v>49.994399999999999</v>
      </c>
      <c r="AI492">
        <f>100*(AH492-O492)/80</f>
        <v>50.01</v>
      </c>
      <c r="AJ492">
        <v>49.994399999999999</v>
      </c>
      <c r="AK492">
        <v>1.9999999999953388E-3</v>
      </c>
      <c r="AL492">
        <v>49.994399999999999</v>
      </c>
      <c r="AM492">
        <v>-50.010449999999999</v>
      </c>
      <c r="AN492">
        <f>IF(ABS(MAX(AI492:AI498)) &gt; ABS(MIN(AI492:AI498)),MAX(AI492:AI498), MIN(AI492:AI498))</f>
        <v>-50.010449999999999</v>
      </c>
      <c r="AO492">
        <f>IF(ABS(AN493)&gt;ABS(AN492),AN493,AN492)</f>
        <v>-50.010449999999999</v>
      </c>
    </row>
    <row r="493" spans="1:41" x14ac:dyDescent="0.35">
      <c r="A493" t="s">
        <v>245</v>
      </c>
      <c r="B493" t="s">
        <v>1111</v>
      </c>
      <c r="C493" t="s">
        <v>2107</v>
      </c>
      <c r="D493">
        <v>85</v>
      </c>
      <c r="E493">
        <v>85</v>
      </c>
      <c r="F493">
        <v>-0.5</v>
      </c>
      <c r="G493">
        <v>-0.49997200000000003</v>
      </c>
      <c r="H493">
        <v>-1.2</v>
      </c>
      <c r="J493">
        <v>17073</v>
      </c>
      <c r="N493" t="s">
        <v>178</v>
      </c>
      <c r="O493">
        <f t="shared" si="21"/>
        <v>30.001119999999997</v>
      </c>
      <c r="P493">
        <f t="shared" si="22"/>
        <v>-39.001399999999997</v>
      </c>
      <c r="Q493">
        <f t="shared" si="23"/>
        <v>39.001399999999997</v>
      </c>
      <c r="Y493">
        <f>TREND(H492:H496,G492:G496,G493)</f>
        <v>-1.2</v>
      </c>
      <c r="Z493">
        <f>ABS((Y493-H493)/80*100)</f>
        <v>0</v>
      </c>
      <c r="AB493">
        <f>IF(ABS(T492) &gt; ABS(V492),T492,V492)</f>
        <v>-114.00345</v>
      </c>
      <c r="AH493">
        <f>H493-AG443</f>
        <v>49.994399999999999</v>
      </c>
      <c r="AI493">
        <f>100*(AH493-O493)/80</f>
        <v>24.991600000000002</v>
      </c>
      <c r="AN493">
        <f>IF(ABS(AK492) &gt; ABS(AM492),AK492,AM492)</f>
        <v>-50.010449999999999</v>
      </c>
    </row>
    <row r="494" spans="1:41" x14ac:dyDescent="0.35">
      <c r="A494" t="s">
        <v>245</v>
      </c>
      <c r="B494" t="s">
        <v>1111</v>
      </c>
      <c r="C494" t="s">
        <v>2143</v>
      </c>
      <c r="D494">
        <v>85</v>
      </c>
      <c r="E494">
        <v>85</v>
      </c>
      <c r="F494">
        <v>0</v>
      </c>
      <c r="G494">
        <v>-1.8000000000000001E-4</v>
      </c>
      <c r="H494">
        <v>-1.2</v>
      </c>
      <c r="J494">
        <v>17094</v>
      </c>
      <c r="N494" t="s">
        <v>178</v>
      </c>
      <c r="O494">
        <f t="shared" si="21"/>
        <v>49.992800000000003</v>
      </c>
      <c r="P494">
        <f t="shared" si="22"/>
        <v>-63.991000000000007</v>
      </c>
      <c r="Q494">
        <f t="shared" si="23"/>
        <v>63.991000000000007</v>
      </c>
      <c r="Y494">
        <f>TREND(H492:H496,G492:G496,G494)</f>
        <v>-1.2</v>
      </c>
      <c r="Z494">
        <f>ABS((Y494-H494)/80*100)</f>
        <v>0</v>
      </c>
      <c r="AH494">
        <f>H494-AG443</f>
        <v>49.994399999999999</v>
      </c>
      <c r="AI494">
        <f>100*(AH494-O494)/80</f>
        <v>1.9999999999953388E-3</v>
      </c>
    </row>
    <row r="495" spans="1:41" x14ac:dyDescent="0.35">
      <c r="A495" t="s">
        <v>245</v>
      </c>
      <c r="B495" t="s">
        <v>1111</v>
      </c>
      <c r="C495" t="s">
        <v>2181</v>
      </c>
      <c r="D495">
        <v>85</v>
      </c>
      <c r="E495">
        <v>85</v>
      </c>
      <c r="F495">
        <v>0.5</v>
      </c>
      <c r="G495">
        <v>0.49988300000000002</v>
      </c>
      <c r="H495">
        <v>-1.2</v>
      </c>
      <c r="J495">
        <v>17118</v>
      </c>
      <c r="N495" t="s">
        <v>178</v>
      </c>
      <c r="O495">
        <f t="shared" si="21"/>
        <v>69.995320000000007</v>
      </c>
      <c r="P495">
        <f t="shared" si="22"/>
        <v>-88.994150000000019</v>
      </c>
      <c r="Q495">
        <f t="shared" si="23"/>
        <v>88.994150000000019</v>
      </c>
      <c r="Y495">
        <f>TREND(H492:H496,G492:G496,G495)</f>
        <v>-1.2</v>
      </c>
      <c r="Z495">
        <f>ABS((Y495-H495)/80*100)</f>
        <v>0</v>
      </c>
      <c r="AH495">
        <f>H495-AG443</f>
        <v>49.994399999999999</v>
      </c>
      <c r="AI495">
        <f>100*(AH495-O495)/80</f>
        <v>-25.00115000000001</v>
      </c>
    </row>
    <row r="496" spans="1:41" x14ac:dyDescent="0.35">
      <c r="A496" t="s">
        <v>245</v>
      </c>
      <c r="B496" t="s">
        <v>1111</v>
      </c>
      <c r="C496" t="s">
        <v>2217</v>
      </c>
      <c r="D496">
        <v>85</v>
      </c>
      <c r="E496">
        <v>85</v>
      </c>
      <c r="F496">
        <v>1</v>
      </c>
      <c r="G496">
        <v>1.0000690000000001</v>
      </c>
      <c r="H496">
        <v>-1.2</v>
      </c>
      <c r="J496">
        <v>17133</v>
      </c>
      <c r="N496" t="s">
        <v>178</v>
      </c>
      <c r="O496">
        <f t="shared" si="21"/>
        <v>90.002759999999995</v>
      </c>
      <c r="P496">
        <f t="shared" si="22"/>
        <v>-114.00345</v>
      </c>
      <c r="Q496">
        <f t="shared" si="23"/>
        <v>114.00345</v>
      </c>
      <c r="Y496">
        <f>TREND(H492:H496,G492:G496,G496)</f>
        <v>-1.2</v>
      </c>
      <c r="Z496">
        <f>ABS((Y496-H496)/80*100)</f>
        <v>0</v>
      </c>
      <c r="AH496">
        <f>H496-AG443</f>
        <v>49.994399999999999</v>
      </c>
      <c r="AI496">
        <f>100*(AH496-O496)/80</f>
        <v>-50.010449999999999</v>
      </c>
    </row>
    <row r="497" spans="1:41" x14ac:dyDescent="0.35">
      <c r="A497" t="s">
        <v>245</v>
      </c>
      <c r="B497" t="s">
        <v>1111</v>
      </c>
      <c r="C497" t="s">
        <v>2253</v>
      </c>
      <c r="D497">
        <v>85</v>
      </c>
      <c r="E497">
        <v>85</v>
      </c>
      <c r="F497">
        <v>0</v>
      </c>
      <c r="G497">
        <v>9.2999999999999997E-5</v>
      </c>
      <c r="H497">
        <v>-1.2</v>
      </c>
      <c r="J497">
        <v>17154</v>
      </c>
      <c r="N497" t="s">
        <v>178</v>
      </c>
      <c r="O497">
        <f t="shared" si="21"/>
        <v>50.003719999999994</v>
      </c>
      <c r="P497">
        <f t="shared" si="22"/>
        <v>-64.004649999999998</v>
      </c>
      <c r="Q497">
        <f t="shared" si="23"/>
        <v>64.004649999999998</v>
      </c>
      <c r="Y497">
        <f>TREND(H492:H496,G492:G496,G497)</f>
        <v>-1.2</v>
      </c>
      <c r="Z497">
        <f>ABS((Y497-H497)/80*100)</f>
        <v>0</v>
      </c>
      <c r="AH497">
        <f>H497-AG443</f>
        <v>49.994399999999999</v>
      </c>
      <c r="AI497">
        <f>100*(AH497-O497)/80</f>
        <v>-1.1649999999994165E-2</v>
      </c>
    </row>
    <row r="498" spans="1:41" x14ac:dyDescent="0.35">
      <c r="A498" t="s">
        <v>245</v>
      </c>
      <c r="B498" t="s">
        <v>1111</v>
      </c>
      <c r="C498" t="s">
        <v>2290</v>
      </c>
      <c r="D498">
        <v>85</v>
      </c>
      <c r="E498">
        <v>85</v>
      </c>
      <c r="F498">
        <v>-1</v>
      </c>
      <c r="G498">
        <v>-1.0001070000000001</v>
      </c>
      <c r="H498">
        <v>-1.2</v>
      </c>
      <c r="J498">
        <v>17171</v>
      </c>
      <c r="N498" t="s">
        <v>178</v>
      </c>
      <c r="O498">
        <f t="shared" si="21"/>
        <v>9.9957199999999968</v>
      </c>
      <c r="P498">
        <f t="shared" si="22"/>
        <v>-13.994649999999996</v>
      </c>
      <c r="Q498">
        <f t="shared" si="23"/>
        <v>13.994649999999996</v>
      </c>
      <c r="Y498">
        <f>TREND(H492:H496,G492:G496,G498)</f>
        <v>-1.2</v>
      </c>
      <c r="Z498">
        <f>ABS((Y498-H498)/80*100)</f>
        <v>0</v>
      </c>
      <c r="AH498">
        <f>H498-AG443</f>
        <v>49.994399999999999</v>
      </c>
      <c r="AI498">
        <f>100*(AH498-O498)/80</f>
        <v>49.998350000000002</v>
      </c>
    </row>
    <row r="499" spans="1:41" x14ac:dyDescent="0.35">
      <c r="A499" t="s">
        <v>245</v>
      </c>
      <c r="B499" t="s">
        <v>1111</v>
      </c>
      <c r="C499" t="s">
        <v>2328</v>
      </c>
      <c r="D499">
        <v>25</v>
      </c>
      <c r="E499">
        <v>25</v>
      </c>
      <c r="F499">
        <v>-1</v>
      </c>
      <c r="G499">
        <v>-0.99960400000000005</v>
      </c>
      <c r="H499">
        <v>101.1984375</v>
      </c>
      <c r="J499">
        <v>-5326</v>
      </c>
      <c r="N499" t="s">
        <v>178</v>
      </c>
      <c r="O499">
        <f t="shared" si="21"/>
        <v>10.015839999999997</v>
      </c>
      <c r="P499">
        <f t="shared" si="22"/>
        <v>113.978246875</v>
      </c>
      <c r="Q499">
        <f t="shared" si="23"/>
        <v>113.978246875</v>
      </c>
      <c r="S499">
        <v>101.1984375</v>
      </c>
      <c r="T499">
        <v>63.994146874999991</v>
      </c>
      <c r="U499">
        <v>101.1984375</v>
      </c>
      <c r="V499">
        <v>13.993296874999999</v>
      </c>
      <c r="W499">
        <v>3.0517578153421709E-6</v>
      </c>
      <c r="X499">
        <f>(W499-80)/80*100</f>
        <v>-99.999996185302734</v>
      </c>
      <c r="Y499">
        <f>TREND(H499:H503,G499:G503,G499)</f>
        <v>101.1984375</v>
      </c>
      <c r="Z499">
        <f>ABS((Y499-H499)/80*100)</f>
        <v>0</v>
      </c>
      <c r="AA499">
        <f>MAX(Z499:Z503)</f>
        <v>0</v>
      </c>
      <c r="AB499">
        <f>IF(ABS(MAX(P499:P505)) &gt; ABS(MIN(P499:P505)),MAX(P499:P505), MIN(P499:P505))</f>
        <v>114.00734687500001</v>
      </c>
      <c r="AC499">
        <f>IF(ABS(AB500)&gt;ABS(AB499),AB500,AB499)</f>
        <v>114.00734687500001</v>
      </c>
      <c r="AH499">
        <f>H499-AG443</f>
        <v>152.39283749999998</v>
      </c>
      <c r="AI499">
        <f>100*(AH499-O499)/80</f>
        <v>177.97124687499996</v>
      </c>
      <c r="AJ499">
        <v>152.39283749999998</v>
      </c>
      <c r="AK499">
        <v>127.98714687499998</v>
      </c>
      <c r="AL499">
        <v>152.39283749999998</v>
      </c>
      <c r="AM499">
        <v>77.986296874999979</v>
      </c>
      <c r="AN499">
        <f>IF(ABS(MAX(AI499:AI505)) &gt; ABS(MIN(AI499:AI505)),MAX(AI499:AI505), MIN(AI499:AI505))</f>
        <v>178.00034687499999</v>
      </c>
      <c r="AO499">
        <f>IF(ABS(AN500)&gt;ABS(AN499),AN500,AN499)</f>
        <v>178.00034687499999</v>
      </c>
    </row>
    <row r="500" spans="1:41" x14ac:dyDescent="0.35">
      <c r="A500" t="s">
        <v>245</v>
      </c>
      <c r="B500" t="s">
        <v>1111</v>
      </c>
      <c r="C500" t="s">
        <v>2364</v>
      </c>
      <c r="D500">
        <v>25</v>
      </c>
      <c r="E500">
        <v>25</v>
      </c>
      <c r="F500">
        <v>-0.5</v>
      </c>
      <c r="G500">
        <v>-0.50054200000000004</v>
      </c>
      <c r="H500">
        <v>101.1984375</v>
      </c>
      <c r="J500">
        <v>-5389</v>
      </c>
      <c r="N500" t="s">
        <v>178</v>
      </c>
      <c r="O500">
        <f t="shared" si="21"/>
        <v>29.978319999999997</v>
      </c>
      <c r="P500">
        <f t="shared" si="22"/>
        <v>89.02514687499999</v>
      </c>
      <c r="Q500">
        <f t="shared" si="23"/>
        <v>89.02514687499999</v>
      </c>
      <c r="Y500">
        <f>TREND(H499:H503,G499:G503,G500)</f>
        <v>101.1984375</v>
      </c>
      <c r="Z500">
        <f>ABS((Y500-H500)/80*100)</f>
        <v>0</v>
      </c>
      <c r="AB500">
        <f>IF(ABS(T499) &gt; ABS(V499),T499,V499)</f>
        <v>63.994146874999991</v>
      </c>
      <c r="AH500">
        <f>H500-AG443</f>
        <v>152.39283749999998</v>
      </c>
      <c r="AI500">
        <f>100*(AH500-O500)/80</f>
        <v>153.01814687499999</v>
      </c>
      <c r="AN500">
        <f>IF(ABS(AK499) &gt; ABS(AM499),AK499,AM499)</f>
        <v>127.98714687499998</v>
      </c>
    </row>
    <row r="501" spans="1:41" x14ac:dyDescent="0.35">
      <c r="A501" t="s">
        <v>245</v>
      </c>
      <c r="B501" t="s">
        <v>1111</v>
      </c>
      <c r="C501" t="s">
        <v>2400</v>
      </c>
      <c r="D501">
        <v>25</v>
      </c>
      <c r="E501">
        <v>25</v>
      </c>
      <c r="F501">
        <v>0</v>
      </c>
      <c r="G501">
        <v>7.7999999999999999E-5</v>
      </c>
      <c r="H501">
        <v>101.1984375</v>
      </c>
      <c r="J501">
        <v>-5442</v>
      </c>
      <c r="N501" t="s">
        <v>178</v>
      </c>
      <c r="O501">
        <f t="shared" si="21"/>
        <v>50.003120000000003</v>
      </c>
      <c r="P501">
        <f t="shared" si="22"/>
        <v>63.994146874999991</v>
      </c>
      <c r="Q501">
        <f t="shared" si="23"/>
        <v>63.994146874999991</v>
      </c>
      <c r="Y501">
        <f>TREND(H499:H503,G499:G503,G501)</f>
        <v>101.1984375</v>
      </c>
      <c r="Z501">
        <f>ABS((Y501-H501)/80*100)</f>
        <v>0</v>
      </c>
      <c r="AH501">
        <f>H501-AG443</f>
        <v>152.39283749999998</v>
      </c>
      <c r="AI501">
        <f>100*(AH501-O501)/80</f>
        <v>127.98714687499998</v>
      </c>
    </row>
    <row r="502" spans="1:41" x14ac:dyDescent="0.35">
      <c r="A502" t="s">
        <v>245</v>
      </c>
      <c r="B502" t="s">
        <v>1111</v>
      </c>
      <c r="C502" t="s">
        <v>2437</v>
      </c>
      <c r="D502">
        <v>25</v>
      </c>
      <c r="E502">
        <v>25</v>
      </c>
      <c r="F502">
        <v>0.5</v>
      </c>
      <c r="G502">
        <v>0.49974000000000002</v>
      </c>
      <c r="H502">
        <v>101.1984375</v>
      </c>
      <c r="J502">
        <v>-5506</v>
      </c>
      <c r="N502" t="s">
        <v>178</v>
      </c>
      <c r="O502">
        <f t="shared" si="21"/>
        <v>69.989599999999996</v>
      </c>
      <c r="P502">
        <f t="shared" si="22"/>
        <v>39.011046874999998</v>
      </c>
      <c r="Q502">
        <f t="shared" si="23"/>
        <v>39.011046874999998</v>
      </c>
      <c r="Y502">
        <f>TREND(H499:H503,G499:G503,G502)</f>
        <v>101.1984375</v>
      </c>
      <c r="Z502">
        <f>ABS((Y502-H502)/80*100)</f>
        <v>0</v>
      </c>
      <c r="AH502">
        <f>H502-AG443</f>
        <v>152.39283749999998</v>
      </c>
      <c r="AI502">
        <f>100*(AH502-O502)/80</f>
        <v>103.004046875</v>
      </c>
    </row>
    <row r="503" spans="1:41" x14ac:dyDescent="0.35">
      <c r="A503" t="s">
        <v>245</v>
      </c>
      <c r="B503" t="s">
        <v>1111</v>
      </c>
      <c r="C503" t="s">
        <v>2475</v>
      </c>
      <c r="D503">
        <v>25</v>
      </c>
      <c r="E503">
        <v>25</v>
      </c>
      <c r="F503">
        <v>1</v>
      </c>
      <c r="G503">
        <v>1.000095</v>
      </c>
      <c r="H503">
        <v>101.1984375</v>
      </c>
      <c r="J503">
        <v>-5561</v>
      </c>
      <c r="N503" t="s">
        <v>178</v>
      </c>
      <c r="O503">
        <f t="shared" si="21"/>
        <v>90.003799999999998</v>
      </c>
      <c r="P503">
        <f t="shared" si="22"/>
        <v>13.993296874999999</v>
      </c>
      <c r="Q503">
        <f t="shared" si="23"/>
        <v>13.993296874999999</v>
      </c>
      <c r="Y503">
        <f>TREND(H499:H503,G499:G503,G503)</f>
        <v>101.1984375</v>
      </c>
      <c r="Z503">
        <f>ABS((Y503-H503)/80*100)</f>
        <v>0</v>
      </c>
      <c r="AH503">
        <f>H503-AG443</f>
        <v>152.39283749999998</v>
      </c>
      <c r="AI503">
        <f>100*(AH503-O503)/80</f>
        <v>77.986296874999979</v>
      </c>
    </row>
    <row r="504" spans="1:41" x14ac:dyDescent="0.35">
      <c r="A504" t="s">
        <v>245</v>
      </c>
      <c r="B504" t="s">
        <v>1111</v>
      </c>
      <c r="C504" t="s">
        <v>2511</v>
      </c>
      <c r="D504">
        <v>25</v>
      </c>
      <c r="E504">
        <v>25</v>
      </c>
      <c r="F504">
        <v>0</v>
      </c>
      <c r="G504">
        <v>-3.1999999999999999E-5</v>
      </c>
      <c r="H504">
        <v>101.1984375</v>
      </c>
      <c r="J504">
        <v>-5603</v>
      </c>
      <c r="N504" t="s">
        <v>178</v>
      </c>
      <c r="O504">
        <f t="shared" si="21"/>
        <v>49.998719999999999</v>
      </c>
      <c r="P504">
        <f t="shared" si="22"/>
        <v>63.999646874999996</v>
      </c>
      <c r="Q504">
        <f t="shared" si="23"/>
        <v>63.999646874999996</v>
      </c>
      <c r="Y504">
        <f>TREND(H499:H503,G499:G503,G504)</f>
        <v>101.1984375</v>
      </c>
      <c r="Z504">
        <f>ABS((Y504-H504)/80*100)</f>
        <v>0</v>
      </c>
      <c r="AH504">
        <f>H504-AG443</f>
        <v>152.39283749999998</v>
      </c>
      <c r="AI504">
        <f>100*(AH504-O504)/80</f>
        <v>127.99264687499999</v>
      </c>
    </row>
    <row r="505" spans="1:41" x14ac:dyDescent="0.35">
      <c r="A505" t="s">
        <v>245</v>
      </c>
      <c r="B505" t="s">
        <v>1111</v>
      </c>
      <c r="C505" t="s">
        <v>2546</v>
      </c>
      <c r="D505">
        <v>25</v>
      </c>
      <c r="E505">
        <v>25</v>
      </c>
      <c r="F505">
        <v>-1</v>
      </c>
      <c r="G505">
        <v>-1.000186</v>
      </c>
      <c r="H505">
        <v>101.1984375</v>
      </c>
      <c r="J505">
        <v>-5662</v>
      </c>
      <c r="N505" t="s">
        <v>178</v>
      </c>
      <c r="O505">
        <f t="shared" si="21"/>
        <v>9.9925599999999992</v>
      </c>
      <c r="P505">
        <f t="shared" si="22"/>
        <v>114.00734687500001</v>
      </c>
      <c r="Q505">
        <f t="shared" si="23"/>
        <v>114.00734687500001</v>
      </c>
      <c r="Y505">
        <f>TREND(H499:H503,G499:G503,G505)</f>
        <v>101.1984375</v>
      </c>
      <c r="Z505">
        <f>ABS((Y505-H505)/80*100)</f>
        <v>0</v>
      </c>
      <c r="AH505">
        <f>H505-AG443</f>
        <v>152.39283749999998</v>
      </c>
      <c r="AI505">
        <f>100*(AH505-O505)/80</f>
        <v>178.00034687499999</v>
      </c>
    </row>
    <row r="506" spans="1:41" x14ac:dyDescent="0.35">
      <c r="A506" t="s">
        <v>247</v>
      </c>
      <c r="B506" t="s">
        <v>231</v>
      </c>
      <c r="C506" t="s">
        <v>248</v>
      </c>
      <c r="D506">
        <v>25</v>
      </c>
      <c r="E506">
        <v>25</v>
      </c>
      <c r="F506">
        <v>-1</v>
      </c>
      <c r="G506">
        <v>-0.99999800000000005</v>
      </c>
      <c r="H506">
        <v>10.13125</v>
      </c>
      <c r="J506">
        <v>-6210</v>
      </c>
      <c r="N506" t="s">
        <v>179</v>
      </c>
      <c r="O506">
        <f t="shared" si="21"/>
        <v>10.000079999999997</v>
      </c>
      <c r="P506">
        <f t="shared" si="22"/>
        <v>0.16396250000000334</v>
      </c>
      <c r="Q506">
        <f t="shared" si="23"/>
        <v>0.16396250000000334</v>
      </c>
      <c r="S506">
        <v>50.073437499999997</v>
      </c>
      <c r="T506">
        <v>9.8446875000002265E-2</v>
      </c>
      <c r="U506">
        <v>90.348437500000003</v>
      </c>
      <c r="V506">
        <v>0.42804687500000327</v>
      </c>
      <c r="W506">
        <v>80.217184448242193</v>
      </c>
      <c r="X506">
        <f>(W506-80)/80*100</f>
        <v>0.27148056030274148</v>
      </c>
      <c r="Y506">
        <f>TREND(H506:H510,G506:G510,G506)</f>
        <v>10.039730067377349</v>
      </c>
      <c r="Z506">
        <f>ABS((Y506-H506)/80*100)</f>
        <v>0.11439991577831377</v>
      </c>
      <c r="AA506">
        <f>MAX(Z506:Z510)</f>
        <v>0.11439991577831377</v>
      </c>
      <c r="AB506">
        <f>IF(ABS(MAX(P506:P512)) &gt; ABS(MIN(P506:P512)),MAX(P506:P512), MIN(P506:P512))</f>
        <v>0.42804687500000327</v>
      </c>
      <c r="AC506">
        <f>IF(ABS(AB507)&gt;ABS(AB506),AB507,AB506)</f>
        <v>0.42804687500000327</v>
      </c>
      <c r="AD506">
        <f>MAX(AD507:AD508)</f>
        <v>8.4675000000005163E-2</v>
      </c>
      <c r="AE506">
        <f>MAX(AE507:AE527)</f>
        <v>0.34419062500000486</v>
      </c>
      <c r="AF506">
        <f>MAX(AD506,AA506)</f>
        <v>0.11439991577831377</v>
      </c>
      <c r="AG506">
        <f>H508-O508</f>
        <v>7.8757500000001812E-2</v>
      </c>
      <c r="AH506">
        <f>H506-AG506</f>
        <v>10.052492499999998</v>
      </c>
      <c r="AI506">
        <f>100*(AH506-O506)/80</f>
        <v>6.5515625000001076E-2</v>
      </c>
      <c r="AJ506">
        <v>49.994679999999995</v>
      </c>
      <c r="AK506">
        <v>0</v>
      </c>
      <c r="AL506">
        <v>90.269679999999994</v>
      </c>
      <c r="AM506">
        <v>0.32959999999999212</v>
      </c>
      <c r="AN506">
        <f>IF(ABS(MAX(AI506:AI512)) &gt; ABS(MIN(AI506:AI512)),MAX(AI506:AI512), MIN(AI506:AI512))</f>
        <v>0.32959999999999212</v>
      </c>
      <c r="AO506">
        <f>IF(ABS(AN507)&gt;ABS(AN506),AN507,AN506)</f>
        <v>0.32959999999999212</v>
      </c>
    </row>
    <row r="507" spans="1:41" x14ac:dyDescent="0.35">
      <c r="A507" t="s">
        <v>247</v>
      </c>
      <c r="B507" t="s">
        <v>231</v>
      </c>
      <c r="C507" t="s">
        <v>315</v>
      </c>
      <c r="D507">
        <v>25</v>
      </c>
      <c r="E507">
        <v>25</v>
      </c>
      <c r="F507">
        <v>-0.5</v>
      </c>
      <c r="G507">
        <v>-0.50034699999999999</v>
      </c>
      <c r="H507">
        <v>30.020312499999999</v>
      </c>
      <c r="J507">
        <v>-6216</v>
      </c>
      <c r="N507" t="s">
        <v>179</v>
      </c>
      <c r="O507">
        <f t="shared" si="21"/>
        <v>29.98612</v>
      </c>
      <c r="P507">
        <f t="shared" si="22"/>
        <v>4.2740624999999532E-2</v>
      </c>
      <c r="Q507">
        <f t="shared" si="23"/>
        <v>4.2740624999999532E-2</v>
      </c>
      <c r="Y507">
        <f>TREND(H506:H510,G506:G510,G507)</f>
        <v>30.088230893328276</v>
      </c>
      <c r="Z507">
        <f>ABS((Y507-H507)/80*100)</f>
        <v>8.4897991660346506E-2</v>
      </c>
      <c r="AB507">
        <f>IF(ABS(T506) &gt; ABS(V506),T506,V506)</f>
        <v>0.42804687500000327</v>
      </c>
      <c r="AD507">
        <f>ABS(P508-P511)</f>
        <v>2.6012499999996663E-2</v>
      </c>
      <c r="AE507">
        <f>ABS(P534-P506)</f>
        <v>3.3056250000000897E-2</v>
      </c>
      <c r="AH507">
        <f>H507-AG506</f>
        <v>29.941554999999997</v>
      </c>
      <c r="AI507">
        <f>100*(AH507-O507)/80</f>
        <v>-5.5706250000002733E-2</v>
      </c>
      <c r="AN507">
        <f>IF(ABS(AK506) &gt; ABS(AM506),AK506,AM506)</f>
        <v>0.32959999999999212</v>
      </c>
    </row>
    <row r="508" spans="1:41" x14ac:dyDescent="0.35">
      <c r="A508" t="s">
        <v>247</v>
      </c>
      <c r="B508" t="s">
        <v>231</v>
      </c>
      <c r="C508" t="s">
        <v>352</v>
      </c>
      <c r="D508">
        <v>25</v>
      </c>
      <c r="E508">
        <v>25</v>
      </c>
      <c r="F508">
        <v>0</v>
      </c>
      <c r="G508">
        <v>-1.3300000000000001E-4</v>
      </c>
      <c r="H508">
        <v>50.073437499999997</v>
      </c>
      <c r="J508">
        <v>-6214</v>
      </c>
      <c r="N508" t="s">
        <v>179</v>
      </c>
      <c r="O508">
        <f t="shared" si="21"/>
        <v>49.994679999999995</v>
      </c>
      <c r="P508">
        <f t="shared" si="22"/>
        <v>9.8446875000002265E-2</v>
      </c>
      <c r="Q508">
        <f t="shared" si="23"/>
        <v>9.8446875000002265E-2</v>
      </c>
      <c r="Y508">
        <f>TREND(H506:H510,G506:G510,G508)</f>
        <v>50.159322099294478</v>
      </c>
      <c r="Z508">
        <f>ABS((Y508-H508)/80*100)</f>
        <v>0.10735574911810096</v>
      </c>
      <c r="AD508">
        <f>ABS(P506-P512)</f>
        <v>8.4675000000005163E-2</v>
      </c>
      <c r="AE508">
        <f>ABS(P535-P507)</f>
        <v>5.2943749999996292E-2</v>
      </c>
      <c r="AH508">
        <f>H508-AG506</f>
        <v>49.994679999999995</v>
      </c>
      <c r="AI508">
        <f>100*(AH508-O508)/80</f>
        <v>0</v>
      </c>
    </row>
    <row r="509" spans="1:41" x14ac:dyDescent="0.35">
      <c r="A509" t="s">
        <v>247</v>
      </c>
      <c r="B509" t="s">
        <v>231</v>
      </c>
      <c r="C509" t="s">
        <v>388</v>
      </c>
      <c r="D509">
        <v>25</v>
      </c>
      <c r="E509">
        <v>25</v>
      </c>
      <c r="F509">
        <v>0.5</v>
      </c>
      <c r="G509">
        <v>0.50005900000000003</v>
      </c>
      <c r="H509">
        <v>70.239062500000003</v>
      </c>
      <c r="J509">
        <v>-6212</v>
      </c>
      <c r="N509" t="s">
        <v>179</v>
      </c>
      <c r="O509">
        <f t="shared" si="21"/>
        <v>70.00236000000001</v>
      </c>
      <c r="P509">
        <f t="shared" si="22"/>
        <v>0.29587812499999089</v>
      </c>
      <c r="Q509">
        <f t="shared" si="23"/>
        <v>0.29587812499999089</v>
      </c>
      <c r="Y509">
        <f>TREND(H506:H510,G506:G510,G509)</f>
        <v>70.229530555064699</v>
      </c>
      <c r="Z509">
        <f>ABS((Y509-H509)/80*100)</f>
        <v>1.1914931169130227E-2</v>
      </c>
      <c r="AE509">
        <f>ABS(P536-P508)</f>
        <v>0.11411250000000095</v>
      </c>
      <c r="AH509">
        <f>H509-AG506</f>
        <v>70.160304999999994</v>
      </c>
      <c r="AI509">
        <f>100*(AH509-O509)/80</f>
        <v>0.19743124999997974</v>
      </c>
    </row>
    <row r="510" spans="1:41" x14ac:dyDescent="0.35">
      <c r="A510" t="s">
        <v>247</v>
      </c>
      <c r="B510" t="s">
        <v>231</v>
      </c>
      <c r="C510" t="s">
        <v>425</v>
      </c>
      <c r="D510">
        <v>25</v>
      </c>
      <c r="E510">
        <v>25</v>
      </c>
      <c r="F510">
        <v>1</v>
      </c>
      <c r="G510">
        <v>1.0001500000000001</v>
      </c>
      <c r="H510">
        <v>90.348437500000003</v>
      </c>
      <c r="J510">
        <v>-6212</v>
      </c>
      <c r="N510" t="s">
        <v>179</v>
      </c>
      <c r="O510">
        <f t="shared" si="21"/>
        <v>90.006</v>
      </c>
      <c r="P510">
        <f t="shared" si="22"/>
        <v>0.42804687500000327</v>
      </c>
      <c r="Q510">
        <f t="shared" si="23"/>
        <v>0.42804687500000327</v>
      </c>
      <c r="Y510">
        <f>TREND(H506:H510,G506:G510,G510)</f>
        <v>90.295686384935209</v>
      </c>
      <c r="Z510">
        <f>ABS((Y510-H510)/80*100)</f>
        <v>6.5938893830992384E-2</v>
      </c>
      <c r="AE510">
        <f>ABS(P537-P509)</f>
        <v>5.5624999999999147E-2</v>
      </c>
      <c r="AH510">
        <f>H510-AG506</f>
        <v>90.269679999999994</v>
      </c>
      <c r="AI510">
        <f>100*(AH510-O510)/80</f>
        <v>0.32959999999999212</v>
      </c>
    </row>
    <row r="511" spans="1:41" x14ac:dyDescent="0.35">
      <c r="A511" t="s">
        <v>247</v>
      </c>
      <c r="B511" t="s">
        <v>231</v>
      </c>
      <c r="C511" t="s">
        <v>462</v>
      </c>
      <c r="D511">
        <v>25</v>
      </c>
      <c r="E511">
        <v>25</v>
      </c>
      <c r="F511">
        <v>0</v>
      </c>
      <c r="G511">
        <v>1.2799999999999999E-4</v>
      </c>
      <c r="H511">
        <v>50.104687499999997</v>
      </c>
      <c r="J511">
        <v>-6214</v>
      </c>
      <c r="N511" t="s">
        <v>179</v>
      </c>
      <c r="O511">
        <f t="shared" si="21"/>
        <v>50.005119999999998</v>
      </c>
      <c r="P511">
        <f t="shared" si="22"/>
        <v>0.12445937499999893</v>
      </c>
      <c r="Q511">
        <f t="shared" si="23"/>
        <v>0.12445937499999893</v>
      </c>
      <c r="Y511">
        <f>TREND(H506:H510,G506:G510,G511)</f>
        <v>50.169794726619493</v>
      </c>
      <c r="Z511">
        <f>ABS((Y511-H511)/80*100)</f>
        <v>8.1384033274369827E-2</v>
      </c>
      <c r="AE511">
        <f>ABS(P538-P510)</f>
        <v>4.9446875000001E-2</v>
      </c>
      <c r="AH511">
        <f>H511-AG506</f>
        <v>50.025929999999995</v>
      </c>
      <c r="AI511">
        <f>100*(AH511-O511)/80</f>
        <v>2.6012499999996663E-2</v>
      </c>
    </row>
    <row r="512" spans="1:41" x14ac:dyDescent="0.35">
      <c r="A512" t="s">
        <v>247</v>
      </c>
      <c r="B512" t="s">
        <v>231</v>
      </c>
      <c r="C512" t="s">
        <v>500</v>
      </c>
      <c r="D512">
        <v>25</v>
      </c>
      <c r="E512">
        <v>25</v>
      </c>
      <c r="F512">
        <v>-1</v>
      </c>
      <c r="G512">
        <v>-0.99986699999999995</v>
      </c>
      <c r="H512">
        <v>10.06875</v>
      </c>
      <c r="J512">
        <v>-6212</v>
      </c>
      <c r="N512" t="s">
        <v>179</v>
      </c>
      <c r="O512">
        <f t="shared" si="21"/>
        <v>10.005320000000001</v>
      </c>
      <c r="P512">
        <f t="shared" si="22"/>
        <v>7.9287499999998179E-2</v>
      </c>
      <c r="Q512">
        <f t="shared" si="23"/>
        <v>7.9287499999998179E-2</v>
      </c>
      <c r="Y512">
        <f>TREND(H506:H510,G506:G510,G512)</f>
        <v>10.04498644354431</v>
      </c>
      <c r="Z512">
        <f>ABS((Y512-H512)/80*100)</f>
        <v>2.9704445569611604E-2</v>
      </c>
      <c r="AE512">
        <f>ABS(P539-P511)</f>
        <v>4.2921874999999332E-2</v>
      </c>
      <c r="AH512">
        <f>H512-AG506</f>
        <v>9.9899924999999978</v>
      </c>
      <c r="AI512">
        <f>100*(AH512-O512)/80</f>
        <v>-1.9159375000004086E-2</v>
      </c>
    </row>
    <row r="513" spans="1:41" x14ac:dyDescent="0.35">
      <c r="A513" t="s">
        <v>247</v>
      </c>
      <c r="B513" t="s">
        <v>231</v>
      </c>
      <c r="C513" t="s">
        <v>537</v>
      </c>
      <c r="D513">
        <v>-20</v>
      </c>
      <c r="E513">
        <v>-20.100000000000001</v>
      </c>
      <c r="F513">
        <v>-1</v>
      </c>
      <c r="G513">
        <v>-1.0003420000000001</v>
      </c>
      <c r="H513">
        <v>10.7984375</v>
      </c>
      <c r="J513">
        <v>-23326</v>
      </c>
      <c r="N513" t="s">
        <v>179</v>
      </c>
      <c r="O513">
        <f t="shared" si="21"/>
        <v>9.9863199999999974</v>
      </c>
      <c r="P513">
        <f t="shared" si="22"/>
        <v>1.0151468750000037</v>
      </c>
      <c r="Q513">
        <f t="shared" si="23"/>
        <v>1.0151468750000037</v>
      </c>
      <c r="S513">
        <v>50.717187500000001</v>
      </c>
      <c r="T513">
        <v>0.93558437499999592</v>
      </c>
      <c r="U513">
        <v>90.998437499999994</v>
      </c>
      <c r="V513">
        <v>1.246946874999999</v>
      </c>
      <c r="W513">
        <v>80.199998474121088</v>
      </c>
      <c r="X513">
        <f>(W513-80)/80*100</f>
        <v>0.24999809265136008</v>
      </c>
      <c r="Y513">
        <f>TREND(H513:H517,G513:G517,G513)</f>
        <v>10.681237572804079</v>
      </c>
      <c r="Z513">
        <f>ABS((Y513-H513)/80*100)</f>
        <v>0.14649990899490151</v>
      </c>
      <c r="AA513">
        <f>MAX(Z513:Z517)</f>
        <v>0.14649990899490151</v>
      </c>
      <c r="AB513">
        <f>IF(ABS(MAX(P513:P519)) &gt; ABS(MIN(P513:P519)),MAX(P513:P519), MIN(P513:P519))</f>
        <v>1.246946874999999</v>
      </c>
      <c r="AC513">
        <f>IF(ABS(AB514)&gt;ABS(AB513),AB514,AB513)</f>
        <v>1.246946874999999</v>
      </c>
      <c r="AE513">
        <f>ABS(P540-P512)</f>
        <v>0.13230312500000174</v>
      </c>
      <c r="AH513">
        <f>H513-AG506</f>
        <v>10.719679999999999</v>
      </c>
      <c r="AI513">
        <f>100*(AH513-O513)/80</f>
        <v>0.9167000000000014</v>
      </c>
      <c r="AJ513">
        <v>50.63843</v>
      </c>
      <c r="AK513">
        <v>0.83713749999999365</v>
      </c>
      <c r="AL513">
        <v>90.91968</v>
      </c>
      <c r="AM513">
        <v>1.1485000000000056</v>
      </c>
      <c r="AN513">
        <f>IF(ABS(MAX(AI513:AI519)) &gt; ABS(MIN(AI513:AI519)),MAX(AI513:AI519), MIN(AI513:AI519))</f>
        <v>1.1485000000000056</v>
      </c>
      <c r="AO513">
        <f>IF(ABS(AN514)&gt;ABS(AN513),AN514,AN513)</f>
        <v>1.1485000000000056</v>
      </c>
    </row>
    <row r="514" spans="1:41" x14ac:dyDescent="0.35">
      <c r="A514" t="s">
        <v>247</v>
      </c>
      <c r="B514" t="s">
        <v>231</v>
      </c>
      <c r="C514" t="s">
        <v>573</v>
      </c>
      <c r="D514">
        <v>-20</v>
      </c>
      <c r="E514">
        <v>-20</v>
      </c>
      <c r="F514">
        <v>-0.5</v>
      </c>
      <c r="G514">
        <v>-0.499998</v>
      </c>
      <c r="H514">
        <v>30.643750000000001</v>
      </c>
      <c r="J514">
        <v>-23368</v>
      </c>
      <c r="N514" t="s">
        <v>179</v>
      </c>
      <c r="O514">
        <f t="shared" si="21"/>
        <v>30.000080000000004</v>
      </c>
      <c r="P514">
        <f t="shared" si="22"/>
        <v>0.80458749999999579</v>
      </c>
      <c r="Q514">
        <f t="shared" si="23"/>
        <v>0.80458749999999579</v>
      </c>
      <c r="Y514">
        <f>TREND(H513:H517,G513:G517,G514)</f>
        <v>30.756280695942078</v>
      </c>
      <c r="Z514">
        <f>ABS((Y514-H514)/80*100)</f>
        <v>0.14066336992759609</v>
      </c>
      <c r="AB514">
        <f>IF(ABS(T513) &gt; ABS(V513),T513,V513)</f>
        <v>1.246946874999999</v>
      </c>
      <c r="AE514">
        <f>ABS(P562-P506)</f>
        <v>0.34419062500000486</v>
      </c>
      <c r="AH514">
        <f>H514-AG506</f>
        <v>30.564992499999999</v>
      </c>
      <c r="AI514">
        <f>100*(AH514-O514)/80</f>
        <v>0.70614062499999353</v>
      </c>
      <c r="AN514">
        <f>IF(ABS(AK513) &gt; ABS(AM513),AK513,AM513)</f>
        <v>1.1485000000000056</v>
      </c>
    </row>
    <row r="515" spans="1:41" x14ac:dyDescent="0.35">
      <c r="A515" t="s">
        <v>247</v>
      </c>
      <c r="B515" t="s">
        <v>231</v>
      </c>
      <c r="C515" t="s">
        <v>610</v>
      </c>
      <c r="D515">
        <v>-20</v>
      </c>
      <c r="E515">
        <v>-20</v>
      </c>
      <c r="F515">
        <v>0</v>
      </c>
      <c r="G515">
        <v>-7.8200000000000003E-4</v>
      </c>
      <c r="H515">
        <v>50.717187500000001</v>
      </c>
      <c r="J515">
        <v>-23404</v>
      </c>
      <c r="N515" t="s">
        <v>179</v>
      </c>
      <c r="O515">
        <f t="shared" si="21"/>
        <v>49.968720000000005</v>
      </c>
      <c r="P515">
        <f t="shared" si="22"/>
        <v>0.93558437499999592</v>
      </c>
      <c r="Q515">
        <f t="shared" si="23"/>
        <v>0.93558437499999592</v>
      </c>
      <c r="Y515">
        <f>TREND(H513:H517,G513:G517,G515)</f>
        <v>50.786065659408131</v>
      </c>
      <c r="Z515">
        <f>ABS((Y515-H515)/80*100)</f>
        <v>8.609769926016142E-2</v>
      </c>
      <c r="AE515">
        <f>ABS(P563-P507)</f>
        <v>0.1498968749999996</v>
      </c>
      <c r="AH515">
        <f>H515-AG506</f>
        <v>50.63843</v>
      </c>
      <c r="AI515">
        <f>100*(AH515-O515)/80</f>
        <v>0.83713749999999365</v>
      </c>
    </row>
    <row r="516" spans="1:41" x14ac:dyDescent="0.35">
      <c r="A516" t="s">
        <v>247</v>
      </c>
      <c r="B516" t="s">
        <v>231</v>
      </c>
      <c r="C516" t="s">
        <v>646</v>
      </c>
      <c r="D516">
        <v>-20</v>
      </c>
      <c r="E516">
        <v>-20</v>
      </c>
      <c r="F516">
        <v>0.5</v>
      </c>
      <c r="G516">
        <v>0.49993900000000002</v>
      </c>
      <c r="H516">
        <v>70.8828125</v>
      </c>
      <c r="J516">
        <v>-23432</v>
      </c>
      <c r="N516" t="s">
        <v>179</v>
      </c>
      <c r="O516">
        <f t="shared" si="21"/>
        <v>69.997559999999993</v>
      </c>
      <c r="P516">
        <f t="shared" si="22"/>
        <v>1.1065656250000089</v>
      </c>
      <c r="Q516">
        <f t="shared" si="23"/>
        <v>1.1065656250000089</v>
      </c>
      <c r="Y516">
        <f>TREND(H513:H517,G513:G517,G516)</f>
        <v>70.876234958252098</v>
      </c>
      <c r="Z516">
        <f>ABS((Y516-H516)/80*100)</f>
        <v>8.2219271848771314E-3</v>
      </c>
      <c r="AE516">
        <f>ABS(P564-P508)</f>
        <v>0.10374999999999801</v>
      </c>
      <c r="AH516">
        <f>H516-AG506</f>
        <v>70.804055000000005</v>
      </c>
      <c r="AI516">
        <f>100*(AH516-O516)/80</f>
        <v>1.0081187500000155</v>
      </c>
    </row>
    <row r="517" spans="1:41" x14ac:dyDescent="0.35">
      <c r="A517" t="s">
        <v>247</v>
      </c>
      <c r="B517" t="s">
        <v>231</v>
      </c>
      <c r="C517" t="s">
        <v>682</v>
      </c>
      <c r="D517">
        <v>-20</v>
      </c>
      <c r="E517">
        <v>-19.899999999999999</v>
      </c>
      <c r="F517">
        <v>1</v>
      </c>
      <c r="G517">
        <v>1.000022</v>
      </c>
      <c r="H517">
        <v>90.998437499999994</v>
      </c>
      <c r="J517">
        <v>-23449</v>
      </c>
      <c r="N517" t="s">
        <v>179</v>
      </c>
      <c r="O517">
        <f t="shared" si="21"/>
        <v>90.000879999999995</v>
      </c>
      <c r="P517">
        <f t="shared" si="22"/>
        <v>1.246946874999999</v>
      </c>
      <c r="Q517">
        <f t="shared" si="23"/>
        <v>1.246946874999999</v>
      </c>
      <c r="Y517">
        <f>TREND(H513:H517,G513:G517,G517)</f>
        <v>90.940806113593652</v>
      </c>
      <c r="Z517">
        <f>ABS((Y517-H517)/80*100)</f>
        <v>7.2039233007927805E-2</v>
      </c>
      <c r="AE517">
        <f>ABS(P565-P509)</f>
        <v>5.7312499999895294E-3</v>
      </c>
      <c r="AH517">
        <f>H517-AG506</f>
        <v>90.91968</v>
      </c>
      <c r="AI517">
        <f>100*(AH517-O517)/80</f>
        <v>1.1485000000000056</v>
      </c>
    </row>
    <row r="518" spans="1:41" x14ac:dyDescent="0.35">
      <c r="A518" t="s">
        <v>247</v>
      </c>
      <c r="B518" t="s">
        <v>231</v>
      </c>
      <c r="C518" t="s">
        <v>719</v>
      </c>
      <c r="D518">
        <v>-20</v>
      </c>
      <c r="E518">
        <v>-20.100000000000001</v>
      </c>
      <c r="F518">
        <v>0</v>
      </c>
      <c r="G518">
        <v>-2.2000000000000001E-4</v>
      </c>
      <c r="H518">
        <v>50.764062500000001</v>
      </c>
      <c r="J518">
        <v>-23468</v>
      </c>
      <c r="N518" t="s">
        <v>179</v>
      </c>
      <c r="O518">
        <f t="shared" si="21"/>
        <v>49.991199999999999</v>
      </c>
      <c r="P518">
        <f t="shared" si="22"/>
        <v>0.96607812500000279</v>
      </c>
      <c r="Q518">
        <f t="shared" si="23"/>
        <v>0.96607812500000279</v>
      </c>
      <c r="Y518">
        <f>TREND(H513:H517,G513:G517,G518)</f>
        <v>50.80861449428015</v>
      </c>
      <c r="Z518">
        <f>ABS((Y518-H518)/80*100)</f>
        <v>5.5689992850185277E-2</v>
      </c>
      <c r="AE518">
        <f>ABS(P566-P510)</f>
        <v>9.611875000002712E-2</v>
      </c>
      <c r="AH518">
        <f>H518-AG506</f>
        <v>50.685305</v>
      </c>
      <c r="AI518">
        <f>100*(AH518-O518)/80</f>
        <v>0.86763125000000052</v>
      </c>
    </row>
    <row r="519" spans="1:41" x14ac:dyDescent="0.35">
      <c r="A519" t="s">
        <v>247</v>
      </c>
      <c r="B519" t="s">
        <v>231</v>
      </c>
      <c r="C519" t="s">
        <v>755</v>
      </c>
      <c r="D519">
        <v>-20</v>
      </c>
      <c r="E519">
        <v>-20</v>
      </c>
      <c r="F519">
        <v>-1</v>
      </c>
      <c r="G519">
        <v>-1.000006</v>
      </c>
      <c r="H519">
        <v>10.915625</v>
      </c>
      <c r="J519">
        <v>-23508</v>
      </c>
      <c r="N519" t="s">
        <v>179</v>
      </c>
      <c r="O519">
        <f t="shared" si="21"/>
        <v>9.999760000000002</v>
      </c>
      <c r="P519">
        <f t="shared" si="22"/>
        <v>1.144831249999998</v>
      </c>
      <c r="Q519">
        <f t="shared" si="23"/>
        <v>1.144831249999998</v>
      </c>
      <c r="Y519">
        <f>TREND(H513:H517,G513:G517,G519)</f>
        <v>10.694718726748917</v>
      </c>
      <c r="Z519">
        <f>ABS((Y519-H519)/80*100)</f>
        <v>0.2761328415638542</v>
      </c>
      <c r="AE519">
        <f>ABS(P567-P511)</f>
        <v>0.17088124999999899</v>
      </c>
      <c r="AH519">
        <f>H519-AG506</f>
        <v>10.836867499999999</v>
      </c>
      <c r="AI519">
        <f>100*(AH519-O519)/80</f>
        <v>1.0463843749999957</v>
      </c>
    </row>
    <row r="520" spans="1:41" x14ac:dyDescent="0.35">
      <c r="A520" t="s">
        <v>247</v>
      </c>
      <c r="B520" t="s">
        <v>231</v>
      </c>
      <c r="C520" t="s">
        <v>792</v>
      </c>
      <c r="D520">
        <v>0</v>
      </c>
      <c r="E520">
        <v>0</v>
      </c>
      <c r="F520">
        <v>-1</v>
      </c>
      <c r="G520">
        <v>-1.0001059999999999</v>
      </c>
      <c r="H520">
        <v>10.425000000000001</v>
      </c>
      <c r="J520">
        <v>-16482</v>
      </c>
      <c r="N520" t="s">
        <v>179</v>
      </c>
      <c r="O520">
        <f t="shared" si="21"/>
        <v>9.9957600000000024</v>
      </c>
      <c r="P520">
        <f t="shared" si="22"/>
        <v>0.53654999999999786</v>
      </c>
      <c r="Q520">
        <f t="shared" si="23"/>
        <v>0.53654999999999786</v>
      </c>
      <c r="S520">
        <v>50.35</v>
      </c>
      <c r="T520">
        <v>0.43974999999999653</v>
      </c>
      <c r="U520">
        <v>90.592187499999994</v>
      </c>
      <c r="V520">
        <v>0.73053437499998708</v>
      </c>
      <c r="W520">
        <v>80.167185974121097</v>
      </c>
      <c r="X520">
        <f>(W520-80)/80*100</f>
        <v>0.20898246765137077</v>
      </c>
      <c r="Y520">
        <f>TREND(H520:H524,G520:G524,G520)</f>
        <v>10.323968024154034</v>
      </c>
      <c r="Z520">
        <f>ABS((Y520-H520)/80*100)</f>
        <v>0.12628996980745821</v>
      </c>
      <c r="AA520">
        <f>MAX(Z520:Z524)</f>
        <v>0.12628996980745821</v>
      </c>
      <c r="AB520">
        <f>IF(ABS(MAX(P520:P526)) &gt; ABS(MIN(P520:P526)),MAX(P520:P526), MIN(P520:P526))</f>
        <v>0.73053437499998708</v>
      </c>
      <c r="AC520">
        <f>IF(ABS(AB521)&gt;ABS(AB520),AB521,AB520)</f>
        <v>0.73053437499998708</v>
      </c>
      <c r="AE520">
        <f>ABS(P568-P512)</f>
        <v>0.16794999999999449</v>
      </c>
      <c r="AH520">
        <f>H520-AG506</f>
        <v>10.346242499999999</v>
      </c>
      <c r="AI520">
        <f>100*(AH520-O520)/80</f>
        <v>0.4381031249999956</v>
      </c>
      <c r="AJ520">
        <v>50.2712425</v>
      </c>
      <c r="AK520">
        <v>0.34130312499999427</v>
      </c>
      <c r="AL520">
        <v>90.51343</v>
      </c>
      <c r="AM520">
        <v>0.6320874999999937</v>
      </c>
      <c r="AN520">
        <f>IF(ABS(MAX(AI520:AI526)) &gt; ABS(MIN(AI520:AI526)),MAX(AI520:AI526), MIN(AI520:AI526))</f>
        <v>0.6320874999999937</v>
      </c>
      <c r="AO520">
        <f>IF(ABS(AN521)&gt;ABS(AN520),AN521,AN520)</f>
        <v>0.6320874999999937</v>
      </c>
    </row>
    <row r="521" spans="1:41" x14ac:dyDescent="0.35">
      <c r="A521" t="s">
        <v>247</v>
      </c>
      <c r="B521" t="s">
        <v>231</v>
      </c>
      <c r="C521" t="s">
        <v>828</v>
      </c>
      <c r="D521">
        <v>0</v>
      </c>
      <c r="E521">
        <v>0.1</v>
      </c>
      <c r="F521">
        <v>-0.5</v>
      </c>
      <c r="G521">
        <v>-0.50029199999999996</v>
      </c>
      <c r="H521">
        <v>30.28125</v>
      </c>
      <c r="J521">
        <v>-16467</v>
      </c>
      <c r="N521" t="s">
        <v>179</v>
      </c>
      <c r="O521">
        <f t="shared" ref="O521:O584" si="24">(((G521--1)*(40))+10)</f>
        <v>29.988320000000002</v>
      </c>
      <c r="P521">
        <f t="shared" ref="P521:P584" si="25">100*(H521-O521)/80</f>
        <v>0.36616249999999795</v>
      </c>
      <c r="Q521">
        <f t="shared" ref="Q521:Q584" si="26">ABS(P521)</f>
        <v>0.36616249999999795</v>
      </c>
      <c r="Y521">
        <f>TREND(H520:H524,G520:G524,G521)</f>
        <v>30.376509680712548</v>
      </c>
      <c r="Z521">
        <f>ABS((Y521-H521)/80*100)</f>
        <v>0.11907460089068511</v>
      </c>
      <c r="AB521">
        <f>IF(ABS(T520) &gt; ABS(V520),T520,V520)</f>
        <v>0.73053437499998708</v>
      </c>
      <c r="AE521">
        <f>ABS(P562-P534)</f>
        <v>0.31113437500000396</v>
      </c>
      <c r="AH521">
        <f>H521-AG506</f>
        <v>30.202492499999998</v>
      </c>
      <c r="AI521">
        <f>100*(AH521-O521)/80</f>
        <v>0.26771562499999568</v>
      </c>
      <c r="AN521">
        <f>IF(ABS(AK520) &gt; ABS(AM520),AK520,AM520)</f>
        <v>0.6320874999999937</v>
      </c>
    </row>
    <row r="522" spans="1:41" x14ac:dyDescent="0.35">
      <c r="A522" t="s">
        <v>247</v>
      </c>
      <c r="B522" t="s">
        <v>231</v>
      </c>
      <c r="C522" t="s">
        <v>864</v>
      </c>
      <c r="D522">
        <v>0</v>
      </c>
      <c r="E522">
        <v>0</v>
      </c>
      <c r="F522">
        <v>0</v>
      </c>
      <c r="G522">
        <v>-4.5000000000000003E-5</v>
      </c>
      <c r="H522">
        <v>50.35</v>
      </c>
      <c r="J522">
        <v>-16450</v>
      </c>
      <c r="N522" t="s">
        <v>179</v>
      </c>
      <c r="O522">
        <f t="shared" si="24"/>
        <v>49.998200000000004</v>
      </c>
      <c r="P522">
        <f t="shared" si="25"/>
        <v>0.43974999999999653</v>
      </c>
      <c r="Q522">
        <f t="shared" si="26"/>
        <v>0.43974999999999653</v>
      </c>
      <c r="Y522">
        <f>TREND(H520:H524,G520:G524,G522)</f>
        <v>50.446423300716042</v>
      </c>
      <c r="Z522">
        <f>ABS((Y522-H522)/80*100)</f>
        <v>0.12052912589505028</v>
      </c>
      <c r="AE522">
        <f>ABS(P563-P535)</f>
        <v>0.20284062499999589</v>
      </c>
      <c r="AH522">
        <f>H522-AG506</f>
        <v>50.2712425</v>
      </c>
      <c r="AI522">
        <f>100*(AH522-O522)/80</f>
        <v>0.34130312499999427</v>
      </c>
    </row>
    <row r="523" spans="1:41" x14ac:dyDescent="0.35">
      <c r="A523" t="s">
        <v>247</v>
      </c>
      <c r="B523" t="s">
        <v>231</v>
      </c>
      <c r="C523" t="s">
        <v>901</v>
      </c>
      <c r="D523">
        <v>0</v>
      </c>
      <c r="E523">
        <v>0</v>
      </c>
      <c r="F523">
        <v>0.5</v>
      </c>
      <c r="G523">
        <v>0.49957400000000002</v>
      </c>
      <c r="H523">
        <v>70.565624999999997</v>
      </c>
      <c r="J523">
        <v>0</v>
      </c>
      <c r="N523" t="s">
        <v>179</v>
      </c>
      <c r="O523">
        <f t="shared" si="24"/>
        <v>69.982959999999991</v>
      </c>
      <c r="P523">
        <f t="shared" si="25"/>
        <v>0.7283312500000072</v>
      </c>
      <c r="Q523">
        <f t="shared" si="26"/>
        <v>0.7283312500000072</v>
      </c>
      <c r="Y523">
        <f>TREND(H520:H524,G520:G524,G523)</f>
        <v>70.491141555723118</v>
      </c>
      <c r="Z523">
        <f>ABS((Y523-H523)/80*100)</f>
        <v>9.3104305346098926E-2</v>
      </c>
      <c r="AE523">
        <f>ABS(P564-P536)</f>
        <v>0.21786249999999896</v>
      </c>
      <c r="AH523">
        <f>H523-AG506</f>
        <v>70.486867499999988</v>
      </c>
      <c r="AI523">
        <f>100*(AH523-O523)/80</f>
        <v>0.62988437499999606</v>
      </c>
    </row>
    <row r="524" spans="1:41" x14ac:dyDescent="0.35">
      <c r="A524" t="s">
        <v>247</v>
      </c>
      <c r="B524" t="s">
        <v>231</v>
      </c>
      <c r="C524" t="s">
        <v>938</v>
      </c>
      <c r="D524">
        <v>0</v>
      </c>
      <c r="E524">
        <v>0.1</v>
      </c>
      <c r="F524">
        <v>1</v>
      </c>
      <c r="G524">
        <v>1.000194</v>
      </c>
      <c r="H524">
        <v>90.592187499999994</v>
      </c>
      <c r="J524">
        <v>-16414</v>
      </c>
      <c r="N524" t="s">
        <v>179</v>
      </c>
      <c r="O524">
        <f t="shared" si="24"/>
        <v>90.007760000000005</v>
      </c>
      <c r="P524">
        <f t="shared" si="25"/>
        <v>0.73053437499998708</v>
      </c>
      <c r="Q524">
        <f t="shared" si="26"/>
        <v>0.73053437499998708</v>
      </c>
      <c r="Y524">
        <f>TREND(H520:H524,G520:G524,G524)</f>
        <v>90.57601993869423</v>
      </c>
      <c r="Z524">
        <f>ABS((Y524-H524)/80*100)</f>
        <v>2.0209451632204889E-2</v>
      </c>
      <c r="AE524">
        <f>ABS(P565-P537)</f>
        <v>6.1356249999988677E-2</v>
      </c>
      <c r="AH524">
        <f>H524-AG506</f>
        <v>90.51343</v>
      </c>
      <c r="AI524">
        <f>100*(AH524-O524)/80</f>
        <v>0.6320874999999937</v>
      </c>
    </row>
    <row r="525" spans="1:41" x14ac:dyDescent="0.35">
      <c r="A525" t="s">
        <v>247</v>
      </c>
      <c r="B525" t="s">
        <v>231</v>
      </c>
      <c r="C525" t="s">
        <v>974</v>
      </c>
      <c r="D525">
        <v>0</v>
      </c>
      <c r="E525">
        <v>-0.1</v>
      </c>
      <c r="F525">
        <v>0</v>
      </c>
      <c r="G525">
        <v>-2.33E-4</v>
      </c>
      <c r="H525">
        <v>50.421875</v>
      </c>
      <c r="J525">
        <v>-16378</v>
      </c>
      <c r="N525" t="s">
        <v>179</v>
      </c>
      <c r="O525">
        <f t="shared" si="24"/>
        <v>49.990679999999998</v>
      </c>
      <c r="P525">
        <f t="shared" si="25"/>
        <v>0.53899375000000305</v>
      </c>
      <c r="Q525">
        <f t="shared" si="26"/>
        <v>0.53899375000000305</v>
      </c>
      <c r="Y525">
        <f>TREND(H520:H524,G520:G524,G525)</f>
        <v>50.438880739220302</v>
      </c>
      <c r="Z525">
        <f>ABS((Y525-H525)/80*100)</f>
        <v>2.1257174025377523E-2</v>
      </c>
      <c r="AE525">
        <f>ABS(P566-P538)</f>
        <v>0.14556562500002812</v>
      </c>
      <c r="AH525">
        <f>H525-AG506</f>
        <v>50.343117499999998</v>
      </c>
      <c r="AI525">
        <f>100*(AH525-O525)/80</f>
        <v>0.44054687500000078</v>
      </c>
    </row>
    <row r="526" spans="1:41" x14ac:dyDescent="0.35">
      <c r="A526" t="s">
        <v>247</v>
      </c>
      <c r="B526" t="s">
        <v>231</v>
      </c>
      <c r="C526" t="s">
        <v>1010</v>
      </c>
      <c r="D526">
        <v>0</v>
      </c>
      <c r="E526">
        <v>0</v>
      </c>
      <c r="F526">
        <v>-1</v>
      </c>
      <c r="G526">
        <v>-1.000332</v>
      </c>
      <c r="H526">
        <v>10.525</v>
      </c>
      <c r="J526">
        <v>-16350</v>
      </c>
      <c r="N526" t="s">
        <v>179</v>
      </c>
      <c r="O526">
        <f t="shared" si="24"/>
        <v>9.98672</v>
      </c>
      <c r="P526">
        <f t="shared" si="25"/>
        <v>0.67285000000000039</v>
      </c>
      <c r="Q526">
        <f t="shared" si="26"/>
        <v>0.67285000000000039</v>
      </c>
      <c r="Y526">
        <f>TREND(H520:H524,G520:G524,G526)</f>
        <v>10.314900902355959</v>
      </c>
      <c r="Z526">
        <f>ABS((Y526-H526)/80*100)</f>
        <v>0.26262387205505222</v>
      </c>
      <c r="AE526">
        <f>ABS(P567-P539)</f>
        <v>0.21380312499999832</v>
      </c>
      <c r="AH526">
        <f>H526-AG506</f>
        <v>10.446242499999999</v>
      </c>
      <c r="AI526">
        <f>100*(AH526-O526)/80</f>
        <v>0.57440312499999813</v>
      </c>
    </row>
    <row r="527" spans="1:41" x14ac:dyDescent="0.35">
      <c r="A527" t="s">
        <v>247</v>
      </c>
      <c r="B527" t="s">
        <v>231</v>
      </c>
      <c r="C527" t="s">
        <v>1046</v>
      </c>
      <c r="D527">
        <v>10</v>
      </c>
      <c r="E527">
        <v>10</v>
      </c>
      <c r="F527">
        <v>-1</v>
      </c>
      <c r="G527">
        <v>-1.000151</v>
      </c>
      <c r="H527">
        <v>10.3765625</v>
      </c>
      <c r="J527">
        <v>-12254</v>
      </c>
      <c r="N527" t="s">
        <v>179</v>
      </c>
      <c r="O527">
        <f t="shared" si="24"/>
        <v>9.9939599999999995</v>
      </c>
      <c r="P527">
        <f t="shared" si="25"/>
        <v>0.47825312500000106</v>
      </c>
      <c r="Q527">
        <f t="shared" si="26"/>
        <v>0.47825312500000106</v>
      </c>
      <c r="S527">
        <v>50.1875</v>
      </c>
      <c r="T527">
        <v>0.24167499999999897</v>
      </c>
      <c r="U527">
        <v>90.540625000000006</v>
      </c>
      <c r="V527">
        <v>0.69093125000001976</v>
      </c>
      <c r="W527">
        <v>80.164064025878901</v>
      </c>
      <c r="X527">
        <f>(W527-80)/80*100</f>
        <v>0.20508003234862571</v>
      </c>
      <c r="Y527">
        <f>TREND(H527:H531,G527:G531,G527)</f>
        <v>10.206775178759671</v>
      </c>
      <c r="Z527">
        <f>ABS((Y527-H527)/80*100)</f>
        <v>0.21223415155041228</v>
      </c>
      <c r="AA527">
        <f>MAX(Z527:Z531)</f>
        <v>0.21223415155041228</v>
      </c>
      <c r="AB527">
        <f>IF(ABS(MAX(P527:P533)) &gt; ABS(MIN(P527:P533)),MAX(P527:P533), MIN(P527:P533))</f>
        <v>0.69093125000001976</v>
      </c>
      <c r="AC527">
        <f>IF(ABS(AB528)&gt;ABS(AB527),AB528,AB527)</f>
        <v>0.69093125000001976</v>
      </c>
      <c r="AE527">
        <f>ABS(P568-P540)</f>
        <v>0.30025312499999623</v>
      </c>
      <c r="AH527">
        <f>H527-AG506</f>
        <v>10.297804999999999</v>
      </c>
      <c r="AI527">
        <f>100*(AH527-O527)/80</f>
        <v>0.37980624999999879</v>
      </c>
      <c r="AJ527">
        <v>50.108742499999998</v>
      </c>
      <c r="AK527">
        <v>0.14322812499999671</v>
      </c>
      <c r="AL527">
        <v>90.461867500000011</v>
      </c>
      <c r="AM527">
        <v>0.59248437500002638</v>
      </c>
      <c r="AN527">
        <f>IF(ABS(MAX(AI527:AI533)) &gt; ABS(MIN(AI527:AI533)),MAX(AI527:AI533), MIN(AI527:AI533))</f>
        <v>0.59248437500002638</v>
      </c>
      <c r="AO527">
        <f>IF(ABS(AN528)&gt;ABS(AN527),AN528,AN527)</f>
        <v>0.59248437500002638</v>
      </c>
    </row>
    <row r="528" spans="1:41" x14ac:dyDescent="0.35">
      <c r="A528" t="s">
        <v>247</v>
      </c>
      <c r="B528" t="s">
        <v>231</v>
      </c>
      <c r="C528" t="s">
        <v>1082</v>
      </c>
      <c r="D528">
        <v>10</v>
      </c>
      <c r="E528">
        <v>10</v>
      </c>
      <c r="F528">
        <v>-0.5</v>
      </c>
      <c r="G528">
        <v>-0.50000800000000001</v>
      </c>
      <c r="H528">
        <v>30.137499999999999</v>
      </c>
      <c r="J528">
        <v>-12237</v>
      </c>
      <c r="N528" t="s">
        <v>179</v>
      </c>
      <c r="O528">
        <f t="shared" si="24"/>
        <v>29.999679999999998</v>
      </c>
      <c r="P528">
        <f t="shared" si="25"/>
        <v>0.17227500000000173</v>
      </c>
      <c r="Q528">
        <f t="shared" si="26"/>
        <v>0.17227500000000173</v>
      </c>
      <c r="Y528">
        <f>TREND(H527:H531,G527:G531,G528)</f>
        <v>30.267808683600546</v>
      </c>
      <c r="Z528">
        <f>ABS((Y528-H528)/80*100)</f>
        <v>0.16288585450068283</v>
      </c>
      <c r="AB528">
        <f>IF(ABS(T527) &gt; ABS(V527),T527,V527)</f>
        <v>0.69093125000001976</v>
      </c>
      <c r="AH528">
        <f>H528-AG506</f>
        <v>30.058742499999997</v>
      </c>
      <c r="AI528">
        <f>100*(AH528-O528)/80</f>
        <v>7.3828124999999467E-2</v>
      </c>
      <c r="AN528">
        <f>IF(ABS(AK527) &gt; ABS(AM527),AK527,AM527)</f>
        <v>0.59248437500002638</v>
      </c>
    </row>
    <row r="529" spans="1:41" x14ac:dyDescent="0.35">
      <c r="A529" t="s">
        <v>247</v>
      </c>
      <c r="B529" t="s">
        <v>1111</v>
      </c>
      <c r="C529" t="s">
        <v>1119</v>
      </c>
      <c r="D529">
        <v>10</v>
      </c>
      <c r="E529">
        <v>10</v>
      </c>
      <c r="F529">
        <v>0</v>
      </c>
      <c r="G529">
        <v>-1.46E-4</v>
      </c>
      <c r="H529">
        <v>50.1875</v>
      </c>
      <c r="J529">
        <v>-12220</v>
      </c>
      <c r="N529" t="s">
        <v>179</v>
      </c>
      <c r="O529">
        <f t="shared" si="24"/>
        <v>49.994160000000001</v>
      </c>
      <c r="P529">
        <f t="shared" si="25"/>
        <v>0.24167499999999897</v>
      </c>
      <c r="Q529">
        <f t="shared" si="26"/>
        <v>0.24167499999999897</v>
      </c>
      <c r="Y529">
        <f>TREND(H527:H531,G527:G531,G529)</f>
        <v>50.317571111139806</v>
      </c>
      <c r="Z529">
        <f>ABS((Y529-H529)/80*100)</f>
        <v>0.16258888892475731</v>
      </c>
      <c r="AH529">
        <f>H529-AG506</f>
        <v>50.108742499999998</v>
      </c>
      <c r="AI529">
        <f>100*(AH529-O529)/80</f>
        <v>0.14322812499999671</v>
      </c>
    </row>
    <row r="530" spans="1:41" x14ac:dyDescent="0.35">
      <c r="A530" t="s">
        <v>247</v>
      </c>
      <c r="B530" t="s">
        <v>1111</v>
      </c>
      <c r="C530" t="s">
        <v>1156</v>
      </c>
      <c r="D530">
        <v>10</v>
      </c>
      <c r="E530">
        <v>10</v>
      </c>
      <c r="F530">
        <v>0.5</v>
      </c>
      <c r="G530">
        <v>0.49998599999999999</v>
      </c>
      <c r="H530">
        <v>70.349999999999994</v>
      </c>
      <c r="J530">
        <v>-12207</v>
      </c>
      <c r="N530" t="s">
        <v>179</v>
      </c>
      <c r="O530">
        <f t="shared" si="24"/>
        <v>69.999439999999993</v>
      </c>
      <c r="P530">
        <f t="shared" si="25"/>
        <v>0.43820000000000192</v>
      </c>
      <c r="Q530">
        <f t="shared" si="26"/>
        <v>0.43820000000000192</v>
      </c>
      <c r="Y530">
        <f>TREND(H527:H531,G527:G531,G530)</f>
        <v>70.378163399431514</v>
      </c>
      <c r="Z530">
        <f>ABS((Y530-H530)/80*100)</f>
        <v>3.5204249289400025E-2</v>
      </c>
      <c r="AH530">
        <f>H530-AG506</f>
        <v>70.2712425</v>
      </c>
      <c r="AI530">
        <f>100*(AH530-O530)/80</f>
        <v>0.33975312500000854</v>
      </c>
    </row>
    <row r="531" spans="1:41" x14ac:dyDescent="0.35">
      <c r="A531" t="s">
        <v>247</v>
      </c>
      <c r="B531" t="s">
        <v>1111</v>
      </c>
      <c r="C531" t="s">
        <v>1194</v>
      </c>
      <c r="D531">
        <v>10</v>
      </c>
      <c r="E531">
        <v>10</v>
      </c>
      <c r="F531">
        <v>1</v>
      </c>
      <c r="G531">
        <v>0.99969699999999995</v>
      </c>
      <c r="H531">
        <v>90.540625000000006</v>
      </c>
      <c r="J531">
        <v>-12201</v>
      </c>
      <c r="N531" t="s">
        <v>179</v>
      </c>
      <c r="O531">
        <f t="shared" si="24"/>
        <v>89.98787999999999</v>
      </c>
      <c r="P531">
        <f t="shared" si="25"/>
        <v>0.69093125000001976</v>
      </c>
      <c r="Q531">
        <f t="shared" si="26"/>
        <v>0.69093125000001976</v>
      </c>
      <c r="Y531">
        <f>TREND(H527:H531,G527:G531,G531)</f>
        <v>90.421869127068476</v>
      </c>
      <c r="Z531">
        <f>ABS((Y531-H531)/80*100)</f>
        <v>0.14844484116441237</v>
      </c>
      <c r="AH531">
        <f>H531-AG506</f>
        <v>90.461867500000011</v>
      </c>
      <c r="AI531">
        <f>100*(AH531-O531)/80</f>
        <v>0.59248437500002638</v>
      </c>
    </row>
    <row r="532" spans="1:41" x14ac:dyDescent="0.35">
      <c r="A532" t="s">
        <v>247</v>
      </c>
      <c r="B532" t="s">
        <v>1111</v>
      </c>
      <c r="C532" t="s">
        <v>1230</v>
      </c>
      <c r="D532">
        <v>10</v>
      </c>
      <c r="E532">
        <v>10</v>
      </c>
      <c r="F532">
        <v>0</v>
      </c>
      <c r="G532">
        <v>-2.0699999999999999E-4</v>
      </c>
      <c r="H532">
        <v>50.276562499999997</v>
      </c>
      <c r="J532">
        <v>-12197</v>
      </c>
      <c r="N532" t="s">
        <v>179</v>
      </c>
      <c r="O532">
        <f t="shared" si="24"/>
        <v>49.991720000000001</v>
      </c>
      <c r="P532">
        <f t="shared" si="25"/>
        <v>0.35605312499999542</v>
      </c>
      <c r="Q532">
        <f t="shared" si="26"/>
        <v>0.35605312499999542</v>
      </c>
      <c r="Y532">
        <f>TREND(H527:H531,G527:G531,G532)</f>
        <v>50.315124364821664</v>
      </c>
      <c r="Z532">
        <f>ABS((Y532-H532)/80*100)</f>
        <v>4.8202331027082934E-2</v>
      </c>
      <c r="AH532">
        <f>H532-AG506</f>
        <v>50.197804999999995</v>
      </c>
      <c r="AI532">
        <f>100*(AH532-O532)/80</f>
        <v>0.25760624999999315</v>
      </c>
    </row>
    <row r="533" spans="1:41" x14ac:dyDescent="0.35">
      <c r="A533" t="s">
        <v>247</v>
      </c>
      <c r="B533" t="s">
        <v>1111</v>
      </c>
      <c r="C533" t="s">
        <v>1266</v>
      </c>
      <c r="D533">
        <v>10</v>
      </c>
      <c r="E533">
        <v>10</v>
      </c>
      <c r="F533">
        <v>-1</v>
      </c>
      <c r="G533">
        <v>-0.99978500000000003</v>
      </c>
      <c r="H533">
        <v>10.2953125</v>
      </c>
      <c r="J533">
        <v>-12177</v>
      </c>
      <c r="N533" t="s">
        <v>179</v>
      </c>
      <c r="O533">
        <f t="shared" si="24"/>
        <v>10.008599999999998</v>
      </c>
      <c r="P533">
        <f t="shared" si="25"/>
        <v>0.35839062500000241</v>
      </c>
      <c r="Q533">
        <f t="shared" si="26"/>
        <v>0.35839062500000241</v>
      </c>
      <c r="Y533">
        <f>TREND(H527:H531,G527:G531,G533)</f>
        <v>10.221455656668532</v>
      </c>
      <c r="Z533">
        <f>ABS((Y533-H533)/80*100)</f>
        <v>9.2321054164334893E-2</v>
      </c>
      <c r="AH533">
        <f>H533-AG506</f>
        <v>10.216554999999998</v>
      </c>
      <c r="AI533">
        <f>100*(AH533-O533)/80</f>
        <v>0.25994375000000014</v>
      </c>
    </row>
    <row r="534" spans="1:41" x14ac:dyDescent="0.35">
      <c r="A534" t="s">
        <v>247</v>
      </c>
      <c r="B534" t="s">
        <v>1111</v>
      </c>
      <c r="C534" t="s">
        <v>1303</v>
      </c>
      <c r="D534">
        <v>25</v>
      </c>
      <c r="E534">
        <v>25</v>
      </c>
      <c r="F534">
        <v>-1</v>
      </c>
      <c r="G534">
        <v>-1.00004</v>
      </c>
      <c r="H534">
        <v>10.103125</v>
      </c>
      <c r="J534">
        <v>0</v>
      </c>
      <c r="N534" t="s">
        <v>179</v>
      </c>
      <c r="O534">
        <f t="shared" si="24"/>
        <v>9.9983999999999984</v>
      </c>
      <c r="P534">
        <f t="shared" si="25"/>
        <v>0.13090625000000244</v>
      </c>
      <c r="Q534">
        <f t="shared" si="26"/>
        <v>0.13090625000000244</v>
      </c>
      <c r="S534">
        <v>50.154687500000001</v>
      </c>
      <c r="T534">
        <v>0.21255937500000321</v>
      </c>
      <c r="U534">
        <v>90.371875000000003</v>
      </c>
      <c r="V534">
        <v>0.47749375000000427</v>
      </c>
      <c r="W534">
        <v>80.268746948242182</v>
      </c>
      <c r="X534">
        <f>(W534-80)/80*100</f>
        <v>0.33593368530272727</v>
      </c>
      <c r="Y534">
        <f>TREND(H534:H538,G534:G538,G534)</f>
        <v>10.049474225201557</v>
      </c>
      <c r="Z534">
        <f>ABS((Y534-H534)/80*100)</f>
        <v>6.7063468498054224E-2</v>
      </c>
      <c r="AA534">
        <f>MAX(Z534:Z538)</f>
        <v>6.7063468498054224E-2</v>
      </c>
      <c r="AB534">
        <f>IF(ABS(MAX(P534:P540)) &gt; ABS(MIN(P534:P540)),MAX(P534:P540), MIN(P534:P540))</f>
        <v>0.47749375000000427</v>
      </c>
      <c r="AC534">
        <f>IF(ABS(AB535)&gt;ABS(AB534),AB535,AB534)</f>
        <v>0.47749375000000427</v>
      </c>
      <c r="AH534">
        <f>H534-AG506</f>
        <v>10.024367499999999</v>
      </c>
      <c r="AI534">
        <f>100*(AH534-O534)/80</f>
        <v>3.2459375000000179E-2</v>
      </c>
      <c r="AJ534">
        <v>50.07593</v>
      </c>
      <c r="AK534">
        <v>0.11411250000000095</v>
      </c>
      <c r="AL534">
        <v>90.293117499999994</v>
      </c>
      <c r="AM534">
        <v>0.37904687499999312</v>
      </c>
      <c r="AN534">
        <f>IF(ABS(MAX(AI534:AI540)) &gt; ABS(MIN(AI534:AI540)),MAX(AI534:AI540), MIN(AI534:AI540))</f>
        <v>0.37904687499999312</v>
      </c>
      <c r="AO534">
        <f>IF(ABS(AN535)&gt;ABS(AN534),AN535,AN534)</f>
        <v>0.37904687499999312</v>
      </c>
    </row>
    <row r="535" spans="1:41" x14ac:dyDescent="0.35">
      <c r="A535" t="s">
        <v>247</v>
      </c>
      <c r="B535" t="s">
        <v>1111</v>
      </c>
      <c r="C535" t="s">
        <v>1339</v>
      </c>
      <c r="D535">
        <v>25</v>
      </c>
      <c r="E535">
        <v>25</v>
      </c>
      <c r="F535">
        <v>-0.5</v>
      </c>
      <c r="G535">
        <v>-0.50023399999999996</v>
      </c>
      <c r="H535">
        <v>30.067187499999999</v>
      </c>
      <c r="J535">
        <v>-6511</v>
      </c>
      <c r="N535" t="s">
        <v>179</v>
      </c>
      <c r="O535">
        <f t="shared" si="24"/>
        <v>29.990640000000003</v>
      </c>
      <c r="P535">
        <f t="shared" si="25"/>
        <v>9.5684374999995825E-2</v>
      </c>
      <c r="Q535">
        <f t="shared" si="26"/>
        <v>9.5684374999995825E-2</v>
      </c>
      <c r="Y535">
        <f>TREND(H534:H538,G534:G538,G535)</f>
        <v>30.117611961207004</v>
      </c>
      <c r="Z535">
        <f>ABS((Y535-H535)/80*100)</f>
        <v>6.3030576508755765E-2</v>
      </c>
      <c r="AB535">
        <f>IF(ABS(T534) &gt; ABS(V534),T534,V534)</f>
        <v>0.47749375000000427</v>
      </c>
      <c r="AH535">
        <f>H535-AG506</f>
        <v>29.988429999999997</v>
      </c>
      <c r="AI535">
        <f>100*(AH535-O535)/80</f>
        <v>-2.7625000000064404E-3</v>
      </c>
      <c r="AN535">
        <f>IF(ABS(AK534) &gt; ABS(AM534),AK534,AM534)</f>
        <v>0.37904687499999312</v>
      </c>
    </row>
    <row r="536" spans="1:41" x14ac:dyDescent="0.35">
      <c r="A536" t="s">
        <v>247</v>
      </c>
      <c r="B536" t="s">
        <v>1111</v>
      </c>
      <c r="C536" t="s">
        <v>1375</v>
      </c>
      <c r="D536">
        <v>25</v>
      </c>
      <c r="E536">
        <v>25</v>
      </c>
      <c r="F536">
        <v>0</v>
      </c>
      <c r="G536">
        <v>-3.8400000000000001E-4</v>
      </c>
      <c r="H536">
        <v>50.154687500000001</v>
      </c>
      <c r="J536">
        <v>-6496</v>
      </c>
      <c r="N536" t="s">
        <v>179</v>
      </c>
      <c r="O536">
        <f t="shared" si="24"/>
        <v>49.984639999999999</v>
      </c>
      <c r="P536">
        <f t="shared" si="25"/>
        <v>0.21255937500000321</v>
      </c>
      <c r="Q536">
        <f t="shared" si="26"/>
        <v>0.21255937500000321</v>
      </c>
      <c r="Y536">
        <f>TREND(H534:H538,G534:G538,G536)</f>
        <v>50.187516378805675</v>
      </c>
      <c r="Z536">
        <f>ABS((Y536-H536)/80*100)</f>
        <v>4.1036098507092333E-2</v>
      </c>
      <c r="AH536">
        <f>H536-AG506</f>
        <v>50.07593</v>
      </c>
      <c r="AI536">
        <f>100*(AH536-O536)/80</f>
        <v>0.11411250000000095</v>
      </c>
    </row>
    <row r="537" spans="1:41" x14ac:dyDescent="0.35">
      <c r="A537" t="s">
        <v>247</v>
      </c>
      <c r="B537" t="s">
        <v>1111</v>
      </c>
      <c r="C537" t="s">
        <v>1412</v>
      </c>
      <c r="D537">
        <v>25</v>
      </c>
      <c r="E537">
        <v>25</v>
      </c>
      <c r="F537">
        <v>0.5</v>
      </c>
      <c r="G537">
        <v>0.499884</v>
      </c>
      <c r="H537">
        <v>70.276562499999997</v>
      </c>
      <c r="J537">
        <v>-6473</v>
      </c>
      <c r="N537" t="s">
        <v>179</v>
      </c>
      <c r="O537">
        <f t="shared" si="24"/>
        <v>69.995360000000005</v>
      </c>
      <c r="P537">
        <f t="shared" si="25"/>
        <v>0.35150312499999004</v>
      </c>
      <c r="Q537">
        <f t="shared" si="26"/>
        <v>0.35150312499999004</v>
      </c>
      <c r="Y537">
        <f>TREND(H534:H538,G534:G538,G537)</f>
        <v>70.27420427154</v>
      </c>
      <c r="Z537">
        <f>ABS((Y537-H537)/80*100)</f>
        <v>2.9477855749959758E-3</v>
      </c>
      <c r="AH537">
        <f>H537-AG506</f>
        <v>70.197804999999988</v>
      </c>
      <c r="AI537">
        <f>100*(AH537-O537)/80</f>
        <v>0.25305624999997889</v>
      </c>
    </row>
    <row r="538" spans="1:41" x14ac:dyDescent="0.35">
      <c r="A538" t="s">
        <v>247</v>
      </c>
      <c r="B538" t="s">
        <v>1111</v>
      </c>
      <c r="C538" t="s">
        <v>1449</v>
      </c>
      <c r="D538">
        <v>25</v>
      </c>
      <c r="E538">
        <v>25</v>
      </c>
      <c r="F538">
        <v>1</v>
      </c>
      <c r="G538">
        <v>0.99974700000000005</v>
      </c>
      <c r="H538">
        <v>90.371875000000003</v>
      </c>
      <c r="J538">
        <v>-6466</v>
      </c>
      <c r="N538" t="s">
        <v>179</v>
      </c>
      <c r="O538">
        <f t="shared" si="24"/>
        <v>89.989879999999999</v>
      </c>
      <c r="P538">
        <f t="shared" si="25"/>
        <v>0.47749375000000427</v>
      </c>
      <c r="Q538">
        <f t="shared" si="26"/>
        <v>0.47749375000000427</v>
      </c>
      <c r="Y538">
        <f>TREND(H534:H538,G534:G538,G538)</f>
        <v>90.344630663245766</v>
      </c>
      <c r="Z538">
        <f>ABS((Y538-H538)/80*100)</f>
        <v>3.4055420942795678E-2</v>
      </c>
      <c r="AH538">
        <f>H538-AG506</f>
        <v>90.293117499999994</v>
      </c>
      <c r="AI538">
        <f>100*(AH538-O538)/80</f>
        <v>0.37904687499999312</v>
      </c>
    </row>
    <row r="539" spans="1:41" x14ac:dyDescent="0.35">
      <c r="A539" t="s">
        <v>247</v>
      </c>
      <c r="B539" t="s">
        <v>1111</v>
      </c>
      <c r="C539" t="s">
        <v>1485</v>
      </c>
      <c r="D539">
        <v>25</v>
      </c>
      <c r="E539">
        <v>25</v>
      </c>
      <c r="F539">
        <v>0</v>
      </c>
      <c r="G539">
        <v>1.6799999999999999E-4</v>
      </c>
      <c r="H539">
        <v>50.140625</v>
      </c>
      <c r="J539">
        <v>-6445</v>
      </c>
      <c r="N539" t="s">
        <v>179</v>
      </c>
      <c r="O539">
        <f t="shared" si="24"/>
        <v>50.006720000000001</v>
      </c>
      <c r="P539">
        <f t="shared" si="25"/>
        <v>0.16738124999999826</v>
      </c>
      <c r="Q539">
        <f t="shared" si="26"/>
        <v>0.16738124999999826</v>
      </c>
      <c r="Y539">
        <f>TREND(H534:H538,G534:G538,G539)</f>
        <v>50.209680202429787</v>
      </c>
      <c r="Z539">
        <f>ABS((Y539-H539)/80*100)</f>
        <v>8.6319003037234054E-2</v>
      </c>
      <c r="AH539">
        <f>H539-AG506</f>
        <v>50.061867499999998</v>
      </c>
      <c r="AI539">
        <f>100*(AH539-O539)/80</f>
        <v>6.8934374999995995E-2</v>
      </c>
    </row>
    <row r="540" spans="1:41" x14ac:dyDescent="0.35">
      <c r="A540" t="s">
        <v>247</v>
      </c>
      <c r="B540" t="s">
        <v>1111</v>
      </c>
      <c r="C540" t="s">
        <v>1522</v>
      </c>
      <c r="D540">
        <v>25</v>
      </c>
      <c r="E540">
        <v>25</v>
      </c>
      <c r="F540">
        <v>-1</v>
      </c>
      <c r="G540">
        <v>-0.99997400000000003</v>
      </c>
      <c r="H540">
        <v>10.1703125</v>
      </c>
      <c r="J540">
        <v>-6432</v>
      </c>
      <c r="N540" t="s">
        <v>179</v>
      </c>
      <c r="O540">
        <f t="shared" si="24"/>
        <v>10.00104</v>
      </c>
      <c r="P540">
        <f t="shared" si="25"/>
        <v>0.21159062499999992</v>
      </c>
      <c r="Q540">
        <f t="shared" si="26"/>
        <v>0.21159062499999992</v>
      </c>
      <c r="Y540">
        <f>TREND(H534:H538,G534:G538,G540)</f>
        <v>10.052124247591394</v>
      </c>
      <c r="Z540">
        <f>ABS((Y540-H540)/80*100)</f>
        <v>0.14773531551075747</v>
      </c>
      <c r="AH540">
        <f>H540-AG506</f>
        <v>10.091554999999998</v>
      </c>
      <c r="AI540">
        <f>100*(AH540-O540)/80</f>
        <v>0.11314374999999766</v>
      </c>
    </row>
    <row r="541" spans="1:41" x14ac:dyDescent="0.35">
      <c r="A541" t="s">
        <v>247</v>
      </c>
      <c r="B541" t="s">
        <v>1111</v>
      </c>
      <c r="C541" t="s">
        <v>1559</v>
      </c>
      <c r="D541">
        <v>50</v>
      </c>
      <c r="E541">
        <v>50</v>
      </c>
      <c r="F541">
        <v>-1</v>
      </c>
      <c r="G541">
        <v>-0.99987199999999998</v>
      </c>
      <c r="H541">
        <v>10.1703125</v>
      </c>
      <c r="J541">
        <v>2907</v>
      </c>
      <c r="N541" t="s">
        <v>179</v>
      </c>
      <c r="O541">
        <f t="shared" si="24"/>
        <v>10.005120000000002</v>
      </c>
      <c r="P541">
        <f t="shared" si="25"/>
        <v>0.2064906249999976</v>
      </c>
      <c r="Q541">
        <f t="shared" si="26"/>
        <v>0.2064906249999976</v>
      </c>
      <c r="S541">
        <v>50.137500000000003</v>
      </c>
      <c r="T541">
        <v>0.17172500000000923</v>
      </c>
      <c r="U541">
        <v>90.325000000000003</v>
      </c>
      <c r="V541">
        <v>0.41100000000000136</v>
      </c>
      <c r="W541">
        <v>80.154684448242193</v>
      </c>
      <c r="X541">
        <f>(W541-80)/80*100</f>
        <v>0.19335556030274148</v>
      </c>
      <c r="Y541">
        <f>TREND(H541:H545,G541:G545,G541)</f>
        <v>10.100799390652718</v>
      </c>
      <c r="Z541">
        <f>ABS((Y541-H541)/80*100)</f>
        <v>8.6891386684102567E-2</v>
      </c>
      <c r="AA541">
        <f>MAX(Z541:Z545)</f>
        <v>8.6891386684102567E-2</v>
      </c>
      <c r="AB541">
        <f>IF(ABS(MAX(P541:P547)) &gt; ABS(MIN(P541:P547)),MAX(P541:P547), MIN(P541:P547))</f>
        <v>0.41100000000000136</v>
      </c>
      <c r="AC541">
        <f>IF(ABS(AB542)&gt;ABS(AB541),AB542,AB541)</f>
        <v>0.41100000000000136</v>
      </c>
      <c r="AH541">
        <f>H541-AG506</f>
        <v>10.091554999999998</v>
      </c>
      <c r="AI541">
        <f>100*(AH541-O541)/80</f>
        <v>0.10804374999999533</v>
      </c>
      <c r="AJ541">
        <v>50.058742500000001</v>
      </c>
      <c r="AK541">
        <v>7.3278125000006966E-2</v>
      </c>
      <c r="AL541">
        <v>90.246242499999994</v>
      </c>
      <c r="AM541">
        <v>0.31255312499999022</v>
      </c>
      <c r="AN541">
        <f>IF(ABS(MAX(AI541:AI547)) &gt; ABS(MIN(AI541:AI547)),MAX(AI541:AI547), MIN(AI541:AI547))</f>
        <v>0.31255312499999022</v>
      </c>
      <c r="AO541">
        <f>IF(ABS(AN542)&gt;ABS(AN541),AN542,AN541)</f>
        <v>0.31255312499999022</v>
      </c>
    </row>
    <row r="542" spans="1:41" x14ac:dyDescent="0.35">
      <c r="A542" t="s">
        <v>247</v>
      </c>
      <c r="B542" t="s">
        <v>1111</v>
      </c>
      <c r="C542" t="s">
        <v>1595</v>
      </c>
      <c r="D542">
        <v>50</v>
      </c>
      <c r="E542">
        <v>50</v>
      </c>
      <c r="F542">
        <v>-0.5</v>
      </c>
      <c r="G542">
        <v>-0.50069300000000005</v>
      </c>
      <c r="H542">
        <v>30.059374999999999</v>
      </c>
      <c r="J542">
        <v>2939</v>
      </c>
      <c r="N542" t="s">
        <v>179</v>
      </c>
      <c r="O542">
        <f t="shared" si="24"/>
        <v>29.972279999999998</v>
      </c>
      <c r="P542">
        <f t="shared" si="25"/>
        <v>0.10886875000000185</v>
      </c>
      <c r="Q542">
        <f t="shared" si="26"/>
        <v>0.10886875000000185</v>
      </c>
      <c r="Y542">
        <f>TREND(H541:H545,G541:G545,G542)</f>
        <v>30.112354057232523</v>
      </c>
      <c r="Z542">
        <f>ABS((Y542-H542)/80*100)</f>
        <v>6.6223821540654093E-2</v>
      </c>
      <c r="AB542">
        <f>IF(ABS(T541) &gt; ABS(V541),T541,V541)</f>
        <v>0.41100000000000136</v>
      </c>
      <c r="AH542">
        <f>H542-AG506</f>
        <v>29.980617499999997</v>
      </c>
      <c r="AI542">
        <f>100*(AH542-O542)/80</f>
        <v>1.0421874999999581E-2</v>
      </c>
      <c r="AN542">
        <f>IF(ABS(AK541) &gt; ABS(AM541),AK541,AM541)</f>
        <v>0.31255312499999022</v>
      </c>
    </row>
    <row r="543" spans="1:41" x14ac:dyDescent="0.35">
      <c r="A543" t="s">
        <v>247</v>
      </c>
      <c r="B543" t="s">
        <v>1111</v>
      </c>
      <c r="C543" t="s">
        <v>1633</v>
      </c>
      <c r="D543">
        <v>50</v>
      </c>
      <c r="E543">
        <v>50</v>
      </c>
      <c r="F543">
        <v>0</v>
      </c>
      <c r="G543">
        <v>3.0000000000000001E-6</v>
      </c>
      <c r="H543">
        <v>50.137500000000003</v>
      </c>
      <c r="J543">
        <v>2973</v>
      </c>
      <c r="N543" t="s">
        <v>179</v>
      </c>
      <c r="O543">
        <f t="shared" si="24"/>
        <v>50.000119999999995</v>
      </c>
      <c r="P543">
        <f t="shared" si="25"/>
        <v>0.17172500000000923</v>
      </c>
      <c r="Q543">
        <f t="shared" si="26"/>
        <v>0.17172500000000923</v>
      </c>
      <c r="Y543">
        <f>TREND(H541:H545,G541:G545,G543)</f>
        <v>50.184723638761085</v>
      </c>
      <c r="Z543">
        <f>ABS((Y543-H543)/80*100)</f>
        <v>5.9029548451352554E-2</v>
      </c>
      <c r="AH543">
        <f>H543-AG506</f>
        <v>50.058742500000001</v>
      </c>
      <c r="AI543">
        <f>100*(AH543-O543)/80</f>
        <v>7.3278125000006966E-2</v>
      </c>
    </row>
    <row r="544" spans="1:41" x14ac:dyDescent="0.35">
      <c r="A544" t="s">
        <v>247</v>
      </c>
      <c r="B544" t="s">
        <v>1111</v>
      </c>
      <c r="C544" t="s">
        <v>1669</v>
      </c>
      <c r="D544">
        <v>50</v>
      </c>
      <c r="E544">
        <v>50</v>
      </c>
      <c r="F544">
        <v>0.5</v>
      </c>
      <c r="G544">
        <v>0.49984899999999999</v>
      </c>
      <c r="H544">
        <v>70.198437499999997</v>
      </c>
      <c r="J544">
        <v>2998</v>
      </c>
      <c r="N544" t="s">
        <v>179</v>
      </c>
      <c r="O544">
        <f t="shared" si="24"/>
        <v>69.993960000000001</v>
      </c>
      <c r="P544">
        <f t="shared" si="25"/>
        <v>0.25559687499999484</v>
      </c>
      <c r="Q544">
        <f t="shared" si="26"/>
        <v>0.25559687499999484</v>
      </c>
      <c r="Y544">
        <f>TREND(H541:H545,G541:G545,G544)</f>
        <v>70.223017625229375</v>
      </c>
      <c r="Z544">
        <f>ABS((Y544-H544)/80*100)</f>
        <v>3.0725156536721698E-2</v>
      </c>
      <c r="AH544">
        <f>H544-AG506</f>
        <v>70.119679999999988</v>
      </c>
      <c r="AI544">
        <f>100*(AH544-O544)/80</f>
        <v>0.15714999999998369</v>
      </c>
    </row>
    <row r="545" spans="1:41" x14ac:dyDescent="0.35">
      <c r="A545" t="s">
        <v>247</v>
      </c>
      <c r="B545" t="s">
        <v>1111</v>
      </c>
      <c r="C545" t="s">
        <v>1706</v>
      </c>
      <c r="D545">
        <v>50</v>
      </c>
      <c r="E545">
        <v>50</v>
      </c>
      <c r="F545">
        <v>1</v>
      </c>
      <c r="G545">
        <v>0.99990500000000004</v>
      </c>
      <c r="H545">
        <v>90.325000000000003</v>
      </c>
      <c r="J545">
        <v>3032</v>
      </c>
      <c r="N545" t="s">
        <v>179</v>
      </c>
      <c r="O545">
        <f t="shared" si="24"/>
        <v>89.996200000000002</v>
      </c>
      <c r="P545">
        <f t="shared" si="25"/>
        <v>0.41100000000000136</v>
      </c>
      <c r="Q545">
        <f t="shared" si="26"/>
        <v>0.41100000000000136</v>
      </c>
      <c r="Y545">
        <f>TREND(H541:H545,G541:G545,G545)</f>
        <v>90.269730288124322</v>
      </c>
      <c r="Z545">
        <f>ABS((Y545-H545)/80*100)</f>
        <v>6.9087139844601353E-2</v>
      </c>
      <c r="AH545">
        <f>H545-AG506</f>
        <v>90.246242499999994</v>
      </c>
      <c r="AI545">
        <f>100*(AH545-O545)/80</f>
        <v>0.31255312499999022</v>
      </c>
    </row>
    <row r="546" spans="1:41" x14ac:dyDescent="0.35">
      <c r="A546" t="s">
        <v>247</v>
      </c>
      <c r="B546" t="s">
        <v>1111</v>
      </c>
      <c r="C546" t="s">
        <v>1743</v>
      </c>
      <c r="D546">
        <v>50</v>
      </c>
      <c r="E546">
        <v>50</v>
      </c>
      <c r="F546">
        <v>0</v>
      </c>
      <c r="G546">
        <v>-7.7999999999999999E-5</v>
      </c>
      <c r="H546">
        <v>50.1</v>
      </c>
      <c r="J546">
        <v>3062</v>
      </c>
      <c r="N546" t="s">
        <v>179</v>
      </c>
      <c r="O546">
        <f t="shared" si="24"/>
        <v>49.996879999999997</v>
      </c>
      <c r="P546">
        <f t="shared" si="25"/>
        <v>0.12890000000000512</v>
      </c>
      <c r="Q546">
        <f t="shared" si="26"/>
        <v>0.12890000000000512</v>
      </c>
      <c r="Y546">
        <f>TREND(H541:H545,G541:G545,G546)</f>
        <v>50.181476434996519</v>
      </c>
      <c r="Z546">
        <f>ABS((Y546-H546)/80*100)</f>
        <v>0.10184554374564671</v>
      </c>
      <c r="AH546">
        <f>H546-AG506</f>
        <v>50.0212425</v>
      </c>
      <c r="AI546">
        <f>100*(AH546-O546)/80</f>
        <v>3.0453125000002856E-2</v>
      </c>
    </row>
    <row r="547" spans="1:41" x14ac:dyDescent="0.35">
      <c r="A547" t="s">
        <v>247</v>
      </c>
      <c r="B547" t="s">
        <v>1111</v>
      </c>
      <c r="C547" t="s">
        <v>1779</v>
      </c>
      <c r="D547">
        <v>50</v>
      </c>
      <c r="E547">
        <v>50</v>
      </c>
      <c r="F547">
        <v>-1</v>
      </c>
      <c r="G547">
        <v>-1.0004869999999999</v>
      </c>
      <c r="H547">
        <v>10.19375</v>
      </c>
      <c r="J547">
        <v>3085</v>
      </c>
      <c r="N547" t="s">
        <v>179</v>
      </c>
      <c r="O547">
        <f t="shared" si="24"/>
        <v>9.9805200000000038</v>
      </c>
      <c r="P547">
        <f t="shared" si="25"/>
        <v>0.26653749999999476</v>
      </c>
      <c r="Q547">
        <f t="shared" si="26"/>
        <v>0.26653749999999476</v>
      </c>
      <c r="Y547">
        <f>TREND(H541:H545,G541:G545,G547)</f>
        <v>10.076144695403222</v>
      </c>
      <c r="Z547">
        <f>ABS((Y547-H547)/80*100)</f>
        <v>0.14700663074597164</v>
      </c>
      <c r="AH547">
        <f>H547-AG506</f>
        <v>10.114992499999998</v>
      </c>
      <c r="AI547">
        <f>100*(AH547-O547)/80</f>
        <v>0.1680906249999925</v>
      </c>
    </row>
    <row r="548" spans="1:41" x14ac:dyDescent="0.35">
      <c r="A548" t="s">
        <v>247</v>
      </c>
      <c r="B548" t="s">
        <v>1111</v>
      </c>
      <c r="C548" t="s">
        <v>1817</v>
      </c>
      <c r="D548">
        <v>70</v>
      </c>
      <c r="E548">
        <v>70</v>
      </c>
      <c r="F548">
        <v>-1</v>
      </c>
      <c r="G548">
        <v>-1.000259</v>
      </c>
      <c r="H548">
        <v>10.2421875</v>
      </c>
      <c r="J548">
        <v>10717</v>
      </c>
      <c r="N548" t="s">
        <v>179</v>
      </c>
      <c r="O548">
        <f t="shared" si="24"/>
        <v>9.9896399999999996</v>
      </c>
      <c r="P548">
        <f t="shared" si="25"/>
        <v>0.31568437500000046</v>
      </c>
      <c r="Q548">
        <f t="shared" si="26"/>
        <v>0.31568437500000046</v>
      </c>
      <c r="S548">
        <v>50.198437499999997</v>
      </c>
      <c r="T548">
        <v>0.25289687499999935</v>
      </c>
      <c r="U548">
        <v>90.271874999999994</v>
      </c>
      <c r="V548">
        <v>0.36899374999999068</v>
      </c>
      <c r="W548">
        <v>80.029685974121094</v>
      </c>
      <c r="X548">
        <f>(W548-80)/80*100</f>
        <v>3.7107467651367188E-2</v>
      </c>
      <c r="Y548">
        <f>TREND(H548:H552,G548:G552,G548)</f>
        <v>10.21016547161075</v>
      </c>
      <c r="Z548">
        <f>ABS((Y548-H548)/80*100)</f>
        <v>4.0027535486562016E-2</v>
      </c>
      <c r="AA548">
        <f>MAX(Z548:Z552)</f>
        <v>6.798168756573908E-2</v>
      </c>
      <c r="AB548">
        <f>IF(ABS(MAX(P548:P554)) &gt; ABS(MIN(P548:P554)),MAX(P548:P554), MIN(P548:P554))</f>
        <v>0.3931093749999981</v>
      </c>
      <c r="AC548">
        <f>IF(ABS(AB549)&gt;ABS(AB548),AB549,AB548)</f>
        <v>0.3931093749999981</v>
      </c>
      <c r="AH548">
        <f>H548-AG506</f>
        <v>10.163429999999998</v>
      </c>
      <c r="AI548">
        <f>100*(AH548-O548)/80</f>
        <v>0.2172374999999982</v>
      </c>
      <c r="AJ548">
        <v>50.119679999999995</v>
      </c>
      <c r="AK548">
        <v>0.15444999999999709</v>
      </c>
      <c r="AL548">
        <v>90.1931175</v>
      </c>
      <c r="AM548">
        <v>0.2705468749999973</v>
      </c>
      <c r="AN548">
        <f>IF(ABS(MAX(AI548:AI554)) &gt; ABS(MIN(AI548:AI554)),MAX(AI548:AI554), MIN(AI548:AI554))</f>
        <v>0.29466250000000471</v>
      </c>
      <c r="AO548">
        <f>IF(ABS(AN549)&gt;ABS(AN548),AN549,AN548)</f>
        <v>0.29466250000000471</v>
      </c>
    </row>
    <row r="549" spans="1:41" x14ac:dyDescent="0.35">
      <c r="A549" t="s">
        <v>247</v>
      </c>
      <c r="B549" t="s">
        <v>1111</v>
      </c>
      <c r="C549" t="s">
        <v>1854</v>
      </c>
      <c r="D549">
        <v>70</v>
      </c>
      <c r="E549">
        <v>70</v>
      </c>
      <c r="F549">
        <v>-0.5</v>
      </c>
      <c r="G549">
        <v>-0.50031700000000001</v>
      </c>
      <c r="H549">
        <v>30.206250000000001</v>
      </c>
      <c r="J549">
        <v>10745</v>
      </c>
      <c r="N549" t="s">
        <v>179</v>
      </c>
      <c r="O549">
        <f t="shared" si="24"/>
        <v>29.98732</v>
      </c>
      <c r="P549">
        <f t="shared" si="25"/>
        <v>0.27366250000000036</v>
      </c>
      <c r="Q549">
        <f t="shared" si="26"/>
        <v>0.27366250000000036</v>
      </c>
      <c r="Y549">
        <f>TREND(H548:H552,G548:G552,G549)</f>
        <v>30.225929132990576</v>
      </c>
      <c r="Z549">
        <f>ABS((Y549-H549)/80*100)</f>
        <v>2.4598916238218752E-2</v>
      </c>
      <c r="AB549">
        <f>IF(ABS(T548) &gt; ABS(V548),T548,V548)</f>
        <v>0.36899374999999068</v>
      </c>
      <c r="AH549">
        <f>H549-AG506</f>
        <v>30.127492499999999</v>
      </c>
      <c r="AI549">
        <f>100*(AH549-O549)/80</f>
        <v>0.1752156249999981</v>
      </c>
      <c r="AN549">
        <f>IF(ABS(AK548) &gt; ABS(AM548),AK548,AM548)</f>
        <v>0.2705468749999973</v>
      </c>
    </row>
    <row r="550" spans="1:41" x14ac:dyDescent="0.35">
      <c r="A550" t="s">
        <v>247</v>
      </c>
      <c r="B550" t="s">
        <v>1111</v>
      </c>
      <c r="C550" t="s">
        <v>1890</v>
      </c>
      <c r="D550">
        <v>70</v>
      </c>
      <c r="E550">
        <v>70</v>
      </c>
      <c r="F550">
        <v>0</v>
      </c>
      <c r="G550">
        <v>-9.7E-5</v>
      </c>
      <c r="H550">
        <v>50.198437499999997</v>
      </c>
      <c r="J550">
        <v>10774</v>
      </c>
      <c r="N550" t="s">
        <v>179</v>
      </c>
      <c r="O550">
        <f t="shared" si="24"/>
        <v>49.996119999999998</v>
      </c>
      <c r="P550">
        <f t="shared" si="25"/>
        <v>0.25289687499999935</v>
      </c>
      <c r="Q550">
        <f t="shared" si="26"/>
        <v>0.25289687499999935</v>
      </c>
      <c r="Y550">
        <f>TREND(H548:H552,G548:G552,G550)</f>
        <v>50.252822850052588</v>
      </c>
      <c r="Z550">
        <f>ABS((Y550-H550)/80*100)</f>
        <v>6.798168756573908E-2</v>
      </c>
      <c r="AH550">
        <f>H550-AG506</f>
        <v>50.119679999999995</v>
      </c>
      <c r="AI550">
        <f>100*(AH550-O550)/80</f>
        <v>0.15444999999999709</v>
      </c>
    </row>
    <row r="551" spans="1:41" x14ac:dyDescent="0.35">
      <c r="A551" t="s">
        <v>247</v>
      </c>
      <c r="B551" t="s">
        <v>1111</v>
      </c>
      <c r="C551" t="s">
        <v>1926</v>
      </c>
      <c r="D551">
        <v>70</v>
      </c>
      <c r="E551">
        <v>70</v>
      </c>
      <c r="F551">
        <v>0.5</v>
      </c>
      <c r="G551">
        <v>0.499755</v>
      </c>
      <c r="H551">
        <v>70.3046875</v>
      </c>
      <c r="J551">
        <v>10808</v>
      </c>
      <c r="N551" t="s">
        <v>179</v>
      </c>
      <c r="O551">
        <f t="shared" si="24"/>
        <v>69.990200000000002</v>
      </c>
      <c r="P551">
        <f t="shared" si="25"/>
        <v>0.3931093749999981</v>
      </c>
      <c r="Q551">
        <f t="shared" si="26"/>
        <v>0.3931093749999981</v>
      </c>
      <c r="Y551">
        <f>TREND(H548:H552,G548:G552,G551)</f>
        <v>70.26498325599573</v>
      </c>
      <c r="Z551">
        <f>ABS((Y551-H551)/80*100)</f>
        <v>4.9630305005337057E-2</v>
      </c>
      <c r="AH551">
        <f>H551-AG506</f>
        <v>70.225930000000005</v>
      </c>
      <c r="AI551">
        <f>100*(AH551-O551)/80</f>
        <v>0.29466250000000471</v>
      </c>
    </row>
    <row r="552" spans="1:41" x14ac:dyDescent="0.35">
      <c r="A552" t="s">
        <v>247</v>
      </c>
      <c r="B552" t="s">
        <v>1111</v>
      </c>
      <c r="C552" t="s">
        <v>1963</v>
      </c>
      <c r="D552">
        <v>70</v>
      </c>
      <c r="E552">
        <v>70</v>
      </c>
      <c r="F552">
        <v>1</v>
      </c>
      <c r="G552">
        <v>0.999417</v>
      </c>
      <c r="H552">
        <v>90.271874999999994</v>
      </c>
      <c r="J552">
        <v>10832</v>
      </c>
      <c r="N552" t="s">
        <v>179</v>
      </c>
      <c r="O552">
        <f t="shared" si="24"/>
        <v>89.976680000000002</v>
      </c>
      <c r="P552">
        <f t="shared" si="25"/>
        <v>0.36899374999999068</v>
      </c>
      <c r="Q552">
        <f t="shared" si="26"/>
        <v>0.36899374999999068</v>
      </c>
      <c r="Y552">
        <f>TREND(H548:H552,G548:G552,G552)</f>
        <v>90.269536789350326</v>
      </c>
      <c r="Z552">
        <f>ABS((Y552-H552)/80*100)</f>
        <v>2.922763312085408E-3</v>
      </c>
      <c r="AH552">
        <f>H552-AG506</f>
        <v>90.1931175</v>
      </c>
      <c r="AI552">
        <f>100*(AH552-O552)/80</f>
        <v>0.2705468749999973</v>
      </c>
    </row>
    <row r="553" spans="1:41" x14ac:dyDescent="0.35">
      <c r="A553" t="s">
        <v>247</v>
      </c>
      <c r="B553" t="s">
        <v>1111</v>
      </c>
      <c r="C553" t="s">
        <v>1999</v>
      </c>
      <c r="D553">
        <v>70</v>
      </c>
      <c r="E553">
        <v>70</v>
      </c>
      <c r="F553">
        <v>0</v>
      </c>
      <c r="G553">
        <v>-4.6000000000000001E-4</v>
      </c>
      <c r="H553">
        <v>50.223437500000003</v>
      </c>
      <c r="J553">
        <v>10846</v>
      </c>
      <c r="N553" t="s">
        <v>179</v>
      </c>
      <c r="O553">
        <f t="shared" si="24"/>
        <v>49.9816</v>
      </c>
      <c r="P553">
        <f t="shared" si="25"/>
        <v>0.30229687500000324</v>
      </c>
      <c r="Q553">
        <f t="shared" si="26"/>
        <v>0.30229687500000324</v>
      </c>
      <c r="Y553">
        <f>TREND(H548:H552,G548:G552,G553)</f>
        <v>50.238289719791318</v>
      </c>
      <c r="Z553">
        <f>ABS((Y553-H553)/80*100)</f>
        <v>1.8565274739144044E-2</v>
      </c>
      <c r="AH553">
        <f>H553-AG506</f>
        <v>50.144680000000001</v>
      </c>
      <c r="AI553">
        <f>100*(AH553-O553)/80</f>
        <v>0.20385000000000097</v>
      </c>
    </row>
    <row r="554" spans="1:41" x14ac:dyDescent="0.35">
      <c r="A554" t="s">
        <v>247</v>
      </c>
      <c r="B554" t="s">
        <v>1111</v>
      </c>
      <c r="C554" t="s">
        <v>2036</v>
      </c>
      <c r="D554">
        <v>70</v>
      </c>
      <c r="E554">
        <v>70</v>
      </c>
      <c r="F554">
        <v>-1</v>
      </c>
      <c r="G554">
        <v>-1.000159</v>
      </c>
      <c r="H554">
        <v>10.2875</v>
      </c>
      <c r="J554">
        <v>10883</v>
      </c>
      <c r="N554" t="s">
        <v>179</v>
      </c>
      <c r="O554">
        <f t="shared" si="24"/>
        <v>9.9936399999999992</v>
      </c>
      <c r="P554">
        <f t="shared" si="25"/>
        <v>0.36732500000000057</v>
      </c>
      <c r="Q554">
        <f t="shared" si="26"/>
        <v>0.36732500000000057</v>
      </c>
      <c r="Y554">
        <f>TREND(H548:H552,G548:G552,G554)</f>
        <v>10.214169088762617</v>
      </c>
      <c r="Z554">
        <f>ABS((Y554-H554)/80*100)</f>
        <v>9.1663639046728473E-2</v>
      </c>
      <c r="AH554">
        <f>H554-AG506</f>
        <v>10.208742499999998</v>
      </c>
      <c r="AI554">
        <f>100*(AH554-O554)/80</f>
        <v>0.2688781249999983</v>
      </c>
    </row>
    <row r="555" spans="1:41" x14ac:dyDescent="0.35">
      <c r="A555" t="s">
        <v>247</v>
      </c>
      <c r="B555" t="s">
        <v>1111</v>
      </c>
      <c r="C555" t="s">
        <v>2072</v>
      </c>
      <c r="D555">
        <v>85</v>
      </c>
      <c r="E555">
        <v>85</v>
      </c>
      <c r="F555">
        <v>-1</v>
      </c>
      <c r="G555">
        <v>-1.0002230000000001</v>
      </c>
      <c r="H555">
        <v>10.4125</v>
      </c>
      <c r="J555">
        <v>16617</v>
      </c>
      <c r="N555" t="s">
        <v>179</v>
      </c>
      <c r="O555">
        <f t="shared" si="24"/>
        <v>9.9910799999999966</v>
      </c>
      <c r="P555">
        <f t="shared" si="25"/>
        <v>0.52677500000000377</v>
      </c>
      <c r="Q555">
        <f t="shared" si="26"/>
        <v>0.52677500000000377</v>
      </c>
      <c r="S555">
        <v>50.248437500000001</v>
      </c>
      <c r="T555">
        <v>0.32099687500000584</v>
      </c>
      <c r="U555">
        <v>90.2421875</v>
      </c>
      <c r="V555">
        <v>0.29903437500001573</v>
      </c>
      <c r="W555">
        <v>79.829687500000006</v>
      </c>
      <c r="X555">
        <f>(W555-80)/80*100</f>
        <v>-0.21289062499999289</v>
      </c>
      <c r="Y555">
        <f>TREND(H555:H559,G555:G559,G555)</f>
        <v>10.328698751772734</v>
      </c>
      <c r="Z555">
        <f>ABS((Y555-H555)/80*100)</f>
        <v>0.10475156028408206</v>
      </c>
      <c r="AA555">
        <f>MAX(Z555:Z559)</f>
        <v>0.13569159436115363</v>
      </c>
      <c r="AB555">
        <f>IF(ABS(MAX(P555:P561)) &gt; ABS(MIN(P555:P561)),MAX(P555:P561), MIN(P555:P561))</f>
        <v>0.56324687500000081</v>
      </c>
      <c r="AC555">
        <f>IF(ABS(AB556)&gt;ABS(AB555),AB556,AB555)</f>
        <v>0.56324687500000081</v>
      </c>
      <c r="AH555">
        <f>H555-AG506</f>
        <v>10.333742499999998</v>
      </c>
      <c r="AI555">
        <f>100*(AH555-O555)/80</f>
        <v>0.4283281250000015</v>
      </c>
      <c r="AJ555">
        <v>50.16968</v>
      </c>
      <c r="AK555">
        <v>0.22255000000000358</v>
      </c>
      <c r="AL555">
        <v>90.163430000000005</v>
      </c>
      <c r="AM555">
        <v>0.20058750000002235</v>
      </c>
      <c r="AN555">
        <f>IF(ABS(MAX(AI555:AI561)) &gt; ABS(MIN(AI555:AI561)),MAX(AI555:AI561), MIN(AI555:AI561))</f>
        <v>0.46479999999999855</v>
      </c>
      <c r="AO555">
        <f>IF(ABS(AN556)&gt;ABS(AN555),AN556,AN555)</f>
        <v>0.46479999999999855</v>
      </c>
    </row>
    <row r="556" spans="1:41" x14ac:dyDescent="0.35">
      <c r="A556" t="s">
        <v>247</v>
      </c>
      <c r="B556" t="s">
        <v>1111</v>
      </c>
      <c r="C556" t="s">
        <v>2108</v>
      </c>
      <c r="D556">
        <v>85</v>
      </c>
      <c r="E556">
        <v>85</v>
      </c>
      <c r="F556">
        <v>-0.5</v>
      </c>
      <c r="G556">
        <v>-0.50007800000000002</v>
      </c>
      <c r="H556">
        <v>30.2</v>
      </c>
      <c r="J556">
        <v>16642</v>
      </c>
      <c r="N556" t="s">
        <v>179</v>
      </c>
      <c r="O556">
        <f t="shared" si="24"/>
        <v>29.996879999999997</v>
      </c>
      <c r="P556">
        <f t="shared" si="25"/>
        <v>0.25390000000000246</v>
      </c>
      <c r="Q556">
        <f t="shared" si="26"/>
        <v>0.25390000000000246</v>
      </c>
      <c r="Y556">
        <f>TREND(H555:H559,G555:G559,G556)</f>
        <v>30.308553275488922</v>
      </c>
      <c r="Z556">
        <f>ABS((Y556-H556)/80*100)</f>
        <v>0.13569159436115363</v>
      </c>
      <c r="AB556">
        <f>IF(ABS(T555) &gt; ABS(V555),T555,V555)</f>
        <v>0.32099687500000584</v>
      </c>
      <c r="AH556">
        <f>H556-AG506</f>
        <v>30.121242499999997</v>
      </c>
      <c r="AI556">
        <f>100*(AH556-O556)/80</f>
        <v>0.15545312500000019</v>
      </c>
      <c r="AN556">
        <f>IF(ABS(AK555) &gt; ABS(AM555),AK555,AM555)</f>
        <v>0.22255000000000358</v>
      </c>
    </row>
    <row r="557" spans="1:41" x14ac:dyDescent="0.35">
      <c r="A557" t="s">
        <v>247</v>
      </c>
      <c r="B557" t="s">
        <v>1111</v>
      </c>
      <c r="C557" t="s">
        <v>2144</v>
      </c>
      <c r="D557">
        <v>85</v>
      </c>
      <c r="E557">
        <v>85</v>
      </c>
      <c r="F557">
        <v>0</v>
      </c>
      <c r="G557">
        <v>-2.0900000000000001E-4</v>
      </c>
      <c r="H557">
        <v>50.248437500000001</v>
      </c>
      <c r="J557">
        <v>16670</v>
      </c>
      <c r="N557" t="s">
        <v>179</v>
      </c>
      <c r="O557">
        <f t="shared" si="24"/>
        <v>49.991639999999997</v>
      </c>
      <c r="P557">
        <f t="shared" si="25"/>
        <v>0.32099687500000584</v>
      </c>
      <c r="Q557">
        <f t="shared" si="26"/>
        <v>0.32099687500000584</v>
      </c>
      <c r="Y557">
        <f>TREND(H555:H559,G555:G559,G557)</f>
        <v>50.27738211695587</v>
      </c>
      <c r="Z557">
        <f>ABS((Y557-H557)/80*100)</f>
        <v>3.618077119483587E-2</v>
      </c>
      <c r="AH557">
        <f>H557-AG506</f>
        <v>50.16968</v>
      </c>
      <c r="AI557">
        <f>100*(AH557-O557)/80</f>
        <v>0.22255000000000358</v>
      </c>
    </row>
    <row r="558" spans="1:41" x14ac:dyDescent="0.35">
      <c r="A558" t="s">
        <v>247</v>
      </c>
      <c r="B558" t="s">
        <v>1111</v>
      </c>
      <c r="C558" t="s">
        <v>2182</v>
      </c>
      <c r="D558">
        <v>85</v>
      </c>
      <c r="E558">
        <v>85</v>
      </c>
      <c r="F558">
        <v>0.5</v>
      </c>
      <c r="G558">
        <v>0.499836</v>
      </c>
      <c r="H558">
        <v>70.301562500000003</v>
      </c>
      <c r="J558">
        <v>16693</v>
      </c>
      <c r="N558" t="s">
        <v>179</v>
      </c>
      <c r="O558">
        <f t="shared" si="24"/>
        <v>69.993439999999993</v>
      </c>
      <c r="P558">
        <f t="shared" si="25"/>
        <v>0.38515312500001286</v>
      </c>
      <c r="Q558">
        <f t="shared" si="26"/>
        <v>0.38515312500001286</v>
      </c>
      <c r="Y558">
        <f>TREND(H555:H559,G555:G559,G558)</f>
        <v>70.253241828262915</v>
      </c>
      <c r="Z558">
        <f>ABS((Y558-H558)/80*100)</f>
        <v>6.0400839671359563E-2</v>
      </c>
      <c r="AH558">
        <f>H558-AG506</f>
        <v>70.222804999999994</v>
      </c>
      <c r="AI558">
        <f>100*(AH558-O558)/80</f>
        <v>0.28670625000000172</v>
      </c>
    </row>
    <row r="559" spans="1:41" x14ac:dyDescent="0.35">
      <c r="A559" t="s">
        <v>247</v>
      </c>
      <c r="B559" t="s">
        <v>1111</v>
      </c>
      <c r="C559" t="s">
        <v>2218</v>
      </c>
      <c r="D559">
        <v>85</v>
      </c>
      <c r="E559">
        <v>85</v>
      </c>
      <c r="F559">
        <v>1</v>
      </c>
      <c r="G559">
        <v>1.0000739999999999</v>
      </c>
      <c r="H559">
        <v>90.2421875</v>
      </c>
      <c r="J559">
        <v>16716</v>
      </c>
      <c r="N559" t="s">
        <v>179</v>
      </c>
      <c r="O559">
        <f t="shared" si="24"/>
        <v>90.002959999999987</v>
      </c>
      <c r="P559">
        <f t="shared" si="25"/>
        <v>0.29903437500001573</v>
      </c>
      <c r="Q559">
        <f t="shared" si="26"/>
        <v>0.29903437500001573</v>
      </c>
      <c r="Y559">
        <f>TREND(H555:H559,G555:G559,G559)</f>
        <v>90.236811527519606</v>
      </c>
      <c r="Z559">
        <f>ABS((Y559-H559)/80*100)</f>
        <v>6.7199656004923725E-3</v>
      </c>
      <c r="AH559">
        <f>H559-AG506</f>
        <v>90.163430000000005</v>
      </c>
      <c r="AI559">
        <f>100*(AH559-O559)/80</f>
        <v>0.20058750000002235</v>
      </c>
    </row>
    <row r="560" spans="1:41" x14ac:dyDescent="0.35">
      <c r="A560" t="s">
        <v>247</v>
      </c>
      <c r="B560" t="s">
        <v>1111</v>
      </c>
      <c r="C560" t="s">
        <v>2254</v>
      </c>
      <c r="D560">
        <v>85</v>
      </c>
      <c r="E560">
        <v>85</v>
      </c>
      <c r="F560">
        <v>0</v>
      </c>
      <c r="G560">
        <v>1.3200000000000001E-4</v>
      </c>
      <c r="H560">
        <v>50.265625</v>
      </c>
      <c r="J560">
        <v>16739</v>
      </c>
      <c r="N560" t="s">
        <v>179</v>
      </c>
      <c r="O560">
        <f t="shared" si="24"/>
        <v>50.005279999999999</v>
      </c>
      <c r="P560">
        <f t="shared" si="25"/>
        <v>0.32543125000000117</v>
      </c>
      <c r="Q560">
        <f t="shared" si="26"/>
        <v>0.32543125000000117</v>
      </c>
      <c r="Y560">
        <f>TREND(H555:H559,G555:G559,G560)</f>
        <v>50.291004427271055</v>
      </c>
      <c r="Z560">
        <f>ABS((Y560-H560)/80*100)</f>
        <v>3.1724284088818777E-2</v>
      </c>
      <c r="AH560">
        <f>H560-AG506</f>
        <v>50.186867499999998</v>
      </c>
      <c r="AI560">
        <f>100*(AH560-O560)/80</f>
        <v>0.22698437499999891</v>
      </c>
    </row>
    <row r="561" spans="1:41" x14ac:dyDescent="0.35">
      <c r="A561" t="s">
        <v>247</v>
      </c>
      <c r="B561" t="s">
        <v>1111</v>
      </c>
      <c r="C561" t="s">
        <v>2291</v>
      </c>
      <c r="D561">
        <v>85</v>
      </c>
      <c r="E561">
        <v>85</v>
      </c>
      <c r="F561">
        <v>-1</v>
      </c>
      <c r="G561">
        <v>-1.000054</v>
      </c>
      <c r="H561">
        <v>10.448437500000001</v>
      </c>
      <c r="J561">
        <v>16748</v>
      </c>
      <c r="N561" t="s">
        <v>179</v>
      </c>
      <c r="O561">
        <f t="shared" si="24"/>
        <v>9.9978400000000001</v>
      </c>
      <c r="P561">
        <f t="shared" si="25"/>
        <v>0.56324687500000081</v>
      </c>
      <c r="Q561">
        <f t="shared" si="26"/>
        <v>0.56324687500000081</v>
      </c>
      <c r="Y561">
        <f>TREND(H555:H559,G555:G559,G561)</f>
        <v>10.335449984744194</v>
      </c>
      <c r="Z561">
        <f>ABS((Y561-H561)/80*100)</f>
        <v>0.14123439406975802</v>
      </c>
      <c r="AH561">
        <f>H561-AG506</f>
        <v>10.369679999999999</v>
      </c>
      <c r="AI561">
        <f>100*(AH561-O561)/80</f>
        <v>0.46479999999999855</v>
      </c>
    </row>
    <row r="562" spans="1:41" x14ac:dyDescent="0.35">
      <c r="A562" t="s">
        <v>247</v>
      </c>
      <c r="B562" t="s">
        <v>1111</v>
      </c>
      <c r="C562" t="s">
        <v>2329</v>
      </c>
      <c r="D562">
        <v>25</v>
      </c>
      <c r="E562">
        <v>25</v>
      </c>
      <c r="F562">
        <v>-1</v>
      </c>
      <c r="G562">
        <v>-0.99987199999999998</v>
      </c>
      <c r="H562">
        <v>9.8609375000000004</v>
      </c>
      <c r="J562">
        <v>-5350</v>
      </c>
      <c r="N562" t="s">
        <v>179</v>
      </c>
      <c r="O562">
        <f t="shared" si="24"/>
        <v>10.005120000000002</v>
      </c>
      <c r="P562">
        <f t="shared" si="25"/>
        <v>-0.18022812500000152</v>
      </c>
      <c r="Q562">
        <f t="shared" si="26"/>
        <v>0.18022812500000152</v>
      </c>
      <c r="S562">
        <v>49.998437500000001</v>
      </c>
      <c r="T562">
        <v>-5.3031249999957453E-3</v>
      </c>
      <c r="U562">
        <v>90.264062499999994</v>
      </c>
      <c r="V562">
        <v>0.33192812499997615</v>
      </c>
      <c r="W562">
        <v>80.403123474121088</v>
      </c>
      <c r="X562">
        <f>(W562-80)/80*100</f>
        <v>0.50390434265136008</v>
      </c>
      <c r="Y562">
        <f>TREND(H562:H566,G562:G566,G562)</f>
        <v>9.830411160851618</v>
      </c>
      <c r="Z562">
        <f>ABS((Y562-H562)/80*100)</f>
        <v>3.81579239354779E-2</v>
      </c>
      <c r="AA562">
        <f>MAX(Z562:Z566)</f>
        <v>8.2138965306839395E-2</v>
      </c>
      <c r="AB562">
        <f>IF(ABS(MAX(P562:P568)) &gt; ABS(MIN(P562:P568)),MAX(P562:P568), MIN(P562:P568))</f>
        <v>0.33192812499997615</v>
      </c>
      <c r="AC562">
        <f>IF(ABS(AB563)&gt;ABS(AB562),AB563,AB562)</f>
        <v>0.33192812499997615</v>
      </c>
      <c r="AH562">
        <f>H562-AG506</f>
        <v>9.7821799999999985</v>
      </c>
      <c r="AI562">
        <f>100*(AH562-O562)/80</f>
        <v>-0.27867500000000378</v>
      </c>
      <c r="AJ562">
        <v>49.91968</v>
      </c>
      <c r="AK562">
        <v>-0.10374999999999801</v>
      </c>
      <c r="AL562">
        <v>90.185305</v>
      </c>
      <c r="AM562">
        <v>0.23348124999998277</v>
      </c>
      <c r="AN562">
        <f>IF(ABS(MAX(AI562:AI568)) &gt; ABS(MIN(AI562:AI568)),MAX(AI562:AI568), MIN(AI562:AI568))</f>
        <v>-0.27867500000000378</v>
      </c>
      <c r="AO562">
        <f>IF(ABS(AN563)&gt;ABS(AN562),AN563,AN562)</f>
        <v>-0.27867500000000378</v>
      </c>
    </row>
    <row r="563" spans="1:41" x14ac:dyDescent="0.35">
      <c r="A563" t="s">
        <v>247</v>
      </c>
      <c r="B563" t="s">
        <v>1111</v>
      </c>
      <c r="C563" t="s">
        <v>2365</v>
      </c>
      <c r="D563">
        <v>25</v>
      </c>
      <c r="E563">
        <v>25</v>
      </c>
      <c r="F563">
        <v>-0.5</v>
      </c>
      <c r="G563">
        <v>-0.50043499999999996</v>
      </c>
      <c r="H563">
        <v>29.896875000000001</v>
      </c>
      <c r="J563">
        <v>-5416</v>
      </c>
      <c r="N563" t="s">
        <v>179</v>
      </c>
      <c r="O563">
        <f t="shared" si="24"/>
        <v>29.982600000000001</v>
      </c>
      <c r="P563">
        <f t="shared" si="25"/>
        <v>-0.10715625000000006</v>
      </c>
      <c r="Q563">
        <f t="shared" si="26"/>
        <v>0.10715625000000006</v>
      </c>
      <c r="Y563">
        <f>TREND(H562:H566,G562:G566,G563)</f>
        <v>29.921494313318345</v>
      </c>
      <c r="Z563">
        <f>ABS((Y563-H563)/80*100)</f>
        <v>3.0774141647929024E-2</v>
      </c>
      <c r="AB563">
        <f>IF(ABS(T562) &gt; ABS(V562),T562,V562)</f>
        <v>0.33192812499997615</v>
      </c>
      <c r="AH563">
        <f>H563-AG506</f>
        <v>29.8181175</v>
      </c>
      <c r="AI563">
        <f>100*(AH563-O563)/80</f>
        <v>-0.20560312500000233</v>
      </c>
      <c r="AN563">
        <f>IF(ABS(AK562) &gt; ABS(AM562),AK562,AM562)</f>
        <v>0.23348124999998277</v>
      </c>
    </row>
    <row r="564" spans="1:41" x14ac:dyDescent="0.35">
      <c r="A564" t="s">
        <v>247</v>
      </c>
      <c r="B564" t="s">
        <v>1111</v>
      </c>
      <c r="C564" t="s">
        <v>2401</v>
      </c>
      <c r="D564">
        <v>25</v>
      </c>
      <c r="E564">
        <v>25</v>
      </c>
      <c r="F564">
        <v>0</v>
      </c>
      <c r="G564">
        <v>6.7000000000000002E-5</v>
      </c>
      <c r="H564">
        <v>49.998437500000001</v>
      </c>
      <c r="J564">
        <v>-5466</v>
      </c>
      <c r="N564" t="s">
        <v>179</v>
      </c>
      <c r="O564">
        <f t="shared" si="24"/>
        <v>50.002679999999998</v>
      </c>
      <c r="P564">
        <f t="shared" si="25"/>
        <v>-5.3031249999957453E-3</v>
      </c>
      <c r="Q564">
        <f t="shared" si="26"/>
        <v>5.3031249999957453E-3</v>
      </c>
      <c r="Y564">
        <f>TREND(H562:H566,G562:G566,G564)</f>
        <v>50.055419713270496</v>
      </c>
      <c r="Z564">
        <f>ABS((Y564-H564)/80*100)</f>
        <v>7.1227766588117802E-2</v>
      </c>
      <c r="AH564">
        <f>H564-AG506</f>
        <v>49.91968</v>
      </c>
      <c r="AI564">
        <f>100*(AH564-O564)/80</f>
        <v>-0.10374999999999801</v>
      </c>
    </row>
    <row r="565" spans="1:41" x14ac:dyDescent="0.35">
      <c r="A565" t="s">
        <v>247</v>
      </c>
      <c r="B565" t="s">
        <v>1111</v>
      </c>
      <c r="C565" t="s">
        <v>2438</v>
      </c>
      <c r="D565">
        <v>25</v>
      </c>
      <c r="E565">
        <v>25</v>
      </c>
      <c r="F565">
        <v>0.5</v>
      </c>
      <c r="G565">
        <v>0.49978299999999998</v>
      </c>
      <c r="H565">
        <v>70.223437500000003</v>
      </c>
      <c r="J565">
        <v>-5522</v>
      </c>
      <c r="N565" t="s">
        <v>179</v>
      </c>
      <c r="O565">
        <f t="shared" si="24"/>
        <v>69.991320000000002</v>
      </c>
      <c r="P565">
        <f t="shared" si="25"/>
        <v>0.29014687500000136</v>
      </c>
      <c r="Q565">
        <f t="shared" si="26"/>
        <v>0.29014687500000136</v>
      </c>
      <c r="Y565">
        <f>TREND(H562:H566,G562:G566,G565)</f>
        <v>70.157726327754531</v>
      </c>
      <c r="Z565">
        <f>ABS((Y565-H565)/80*100)</f>
        <v>8.2138965306839395E-2</v>
      </c>
      <c r="AH565">
        <f>H565-AG506</f>
        <v>70.144679999999994</v>
      </c>
      <c r="AI565">
        <f>100*(AH565-O565)/80</f>
        <v>0.19169999999999021</v>
      </c>
    </row>
    <row r="566" spans="1:41" x14ac:dyDescent="0.35">
      <c r="A566" t="s">
        <v>247</v>
      </c>
      <c r="B566" t="s">
        <v>1111</v>
      </c>
      <c r="C566" t="s">
        <v>2475</v>
      </c>
      <c r="D566">
        <v>25</v>
      </c>
      <c r="E566">
        <v>25</v>
      </c>
      <c r="F566">
        <v>1</v>
      </c>
      <c r="G566">
        <v>0.99996300000000005</v>
      </c>
      <c r="H566">
        <v>90.264062499999994</v>
      </c>
      <c r="J566">
        <v>-5572</v>
      </c>
      <c r="N566" t="s">
        <v>179</v>
      </c>
      <c r="O566">
        <f t="shared" si="24"/>
        <v>89.998520000000013</v>
      </c>
      <c r="P566">
        <f t="shared" si="25"/>
        <v>0.33192812499997615</v>
      </c>
      <c r="Q566">
        <f t="shared" si="26"/>
        <v>0.33192812499997615</v>
      </c>
      <c r="Y566">
        <f>TREND(H562:H566,G562:G566,G566)</f>
        <v>90.278698484804991</v>
      </c>
      <c r="Z566">
        <f>ABS((Y566-H566)/80*100)</f>
        <v>1.8294981006246047E-2</v>
      </c>
      <c r="AH566">
        <f>H566-AG506</f>
        <v>90.185305</v>
      </c>
      <c r="AI566">
        <f>100*(AH566-O566)/80</f>
        <v>0.23348124999998277</v>
      </c>
    </row>
    <row r="567" spans="1:41" x14ac:dyDescent="0.35">
      <c r="A567" t="s">
        <v>247</v>
      </c>
      <c r="B567" t="s">
        <v>1111</v>
      </c>
      <c r="C567" t="s">
        <v>2512</v>
      </c>
      <c r="D567">
        <v>25</v>
      </c>
      <c r="E567">
        <v>25</v>
      </c>
      <c r="F567">
        <v>0</v>
      </c>
      <c r="G567">
        <v>3.0000000000000001E-5</v>
      </c>
      <c r="H567">
        <v>49.964062499999997</v>
      </c>
      <c r="J567">
        <v>-5615</v>
      </c>
      <c r="N567" t="s">
        <v>179</v>
      </c>
      <c r="O567">
        <f t="shared" si="24"/>
        <v>50.001199999999997</v>
      </c>
      <c r="P567">
        <f t="shared" si="25"/>
        <v>-4.6421875000000057E-2</v>
      </c>
      <c r="Q567">
        <f t="shared" si="26"/>
        <v>4.6421875000000057E-2</v>
      </c>
      <c r="Y567">
        <f>TREND(H562:H566,G562:G566,G567)</f>
        <v>50.053931297160673</v>
      </c>
      <c r="Z567">
        <f>ABS((Y567-H567)/80*100)</f>
        <v>0.11233599645084524</v>
      </c>
      <c r="AH567">
        <f>H567-AG506</f>
        <v>49.885304999999995</v>
      </c>
      <c r="AI567">
        <f>100*(AH567-O567)/80</f>
        <v>-0.14486875000000232</v>
      </c>
    </row>
    <row r="568" spans="1:41" x14ac:dyDescent="0.35">
      <c r="A568" t="s">
        <v>247</v>
      </c>
      <c r="B568" t="s">
        <v>1111</v>
      </c>
      <c r="C568" t="s">
        <v>2547</v>
      </c>
      <c r="D568">
        <v>25</v>
      </c>
      <c r="E568">
        <v>25</v>
      </c>
      <c r="F568">
        <v>-1</v>
      </c>
      <c r="G568">
        <v>-1.0002580000000001</v>
      </c>
      <c r="H568">
        <v>9.9187499999999993</v>
      </c>
      <c r="J568">
        <v>-5659</v>
      </c>
      <c r="N568" t="s">
        <v>179</v>
      </c>
      <c r="O568">
        <f t="shared" si="24"/>
        <v>9.9896799999999963</v>
      </c>
      <c r="P568">
        <f t="shared" si="25"/>
        <v>-8.8662499999996314E-2</v>
      </c>
      <c r="Q568">
        <f t="shared" si="26"/>
        <v>8.8662499999996314E-2</v>
      </c>
      <c r="Y568">
        <f>TREND(H562:H566,G562:G566,G568)</f>
        <v>9.8148833603545498</v>
      </c>
      <c r="Z568">
        <f>ABS((Y568-H568)/80*100)</f>
        <v>0.12983329955681189</v>
      </c>
      <c r="AH568">
        <f>H568-AG506</f>
        <v>9.8399924999999975</v>
      </c>
      <c r="AI568">
        <f>100*(AH568-O568)/80</f>
        <v>-0.18710937499999858</v>
      </c>
    </row>
    <row r="569" spans="1:41" x14ac:dyDescent="0.35">
      <c r="A569" t="s">
        <v>249</v>
      </c>
      <c r="B569" t="s">
        <v>231</v>
      </c>
      <c r="C569" t="s">
        <v>250</v>
      </c>
      <c r="D569">
        <v>25</v>
      </c>
      <c r="E569">
        <v>25</v>
      </c>
      <c r="F569">
        <v>-1</v>
      </c>
      <c r="G569">
        <v>-0.999969</v>
      </c>
      <c r="H569">
        <v>10</v>
      </c>
      <c r="J569">
        <v>-6264</v>
      </c>
      <c r="N569" t="s">
        <v>158</v>
      </c>
      <c r="O569">
        <f t="shared" si="24"/>
        <v>10.001239999999999</v>
      </c>
      <c r="P569">
        <f t="shared" si="25"/>
        <v>-1.5499999999990521E-3</v>
      </c>
      <c r="Q569">
        <f t="shared" si="26"/>
        <v>1.5499999999990521E-3</v>
      </c>
      <c r="S569">
        <v>50.1328125</v>
      </c>
      <c r="T569">
        <v>0.17156562500000305</v>
      </c>
      <c r="U569">
        <v>90.229687499999997</v>
      </c>
      <c r="V569">
        <v>0.28335937500001407</v>
      </c>
      <c r="W569">
        <v>80.229690551757813</v>
      </c>
      <c r="X569">
        <f>(W569-80)/80*100</f>
        <v>0.28711318969726563</v>
      </c>
      <c r="Y569">
        <f>TREND(H569:H573,G569:G573,G569)</f>
        <v>9.9604527417321407</v>
      </c>
      <c r="Z569">
        <f>ABS((Y569-H569)/80*100)</f>
        <v>4.9434072834824157E-2</v>
      </c>
      <c r="AA569">
        <f>MAX(Z569:Z573)</f>
        <v>0.10509315375473172</v>
      </c>
      <c r="AB569">
        <f>IF(ABS(MAX(P569:P575)) &gt; ABS(MIN(P569:P575)),MAX(P569:P575), MIN(P569:P575))</f>
        <v>0.28335937500001407</v>
      </c>
      <c r="AC569">
        <f>IF(ABS(AB570)&gt;ABS(AB569),AB570,AB569)</f>
        <v>0.28335937500001407</v>
      </c>
      <c r="AD569">
        <f>MAX(AD570:AD571)</f>
        <v>0.15062187499999879</v>
      </c>
      <c r="AE569">
        <f>MAX(AE570:AE590)</f>
        <v>0.23159062499999994</v>
      </c>
      <c r="AF569">
        <f>MAX(AD569,AA569)</f>
        <v>0.15062187499999879</v>
      </c>
      <c r="AG569">
        <f>H571-O571</f>
        <v>0.13725250000000244</v>
      </c>
      <c r="AH569">
        <f>H569-AG569</f>
        <v>9.8627474999999976</v>
      </c>
      <c r="AI569">
        <f>100*(AH569-O569)/80</f>
        <v>-0.1731156250000021</v>
      </c>
      <c r="AJ569">
        <v>49.995559999999998</v>
      </c>
      <c r="AK569">
        <v>0</v>
      </c>
      <c r="AL569">
        <v>90.092434999999995</v>
      </c>
      <c r="AM569">
        <v>0.11179375000001102</v>
      </c>
      <c r="AN569">
        <f>IF(ABS(MAX(AI569:AI575)) &gt; ABS(MIN(AI569:AI575)),MAX(AI569:AI575), MIN(AI569:AI575))</f>
        <v>-0.2408562500000011</v>
      </c>
      <c r="AO569">
        <f>IF(ABS(AN570)&gt;ABS(AN569),AN570,AN569)</f>
        <v>-0.2408562500000011</v>
      </c>
    </row>
    <row r="570" spans="1:41" x14ac:dyDescent="0.35">
      <c r="A570" t="s">
        <v>249</v>
      </c>
      <c r="B570" t="s">
        <v>231</v>
      </c>
      <c r="C570" t="s">
        <v>316</v>
      </c>
      <c r="D570">
        <v>25</v>
      </c>
      <c r="E570">
        <v>25</v>
      </c>
      <c r="F570">
        <v>-0.5</v>
      </c>
      <c r="G570">
        <v>-0.50037200000000004</v>
      </c>
      <c r="H570">
        <v>29.9296875</v>
      </c>
      <c r="J570">
        <v>-6264</v>
      </c>
      <c r="N570" t="s">
        <v>158</v>
      </c>
      <c r="O570">
        <f t="shared" si="24"/>
        <v>29.985119999999998</v>
      </c>
      <c r="P570">
        <f t="shared" si="25"/>
        <v>-6.9290624999998052E-2</v>
      </c>
      <c r="Q570">
        <f t="shared" si="26"/>
        <v>6.9290624999998052E-2</v>
      </c>
      <c r="Y570">
        <f>TREND(H569:H573,G569:G573,G570)</f>
        <v>30.013762023003785</v>
      </c>
      <c r="Z570">
        <f>ABS((Y570-H570)/80*100)</f>
        <v>0.10509315375473172</v>
      </c>
      <c r="AB570">
        <f>IF(ABS(T569) &gt; ABS(V569),T569,V569)</f>
        <v>0.28335937500001407</v>
      </c>
      <c r="AD570">
        <f>ABS(P571-P574)</f>
        <v>0.15062187499999879</v>
      </c>
      <c r="AE570">
        <f>ABS(P597-P569)</f>
        <v>1.9025000000001402E-2</v>
      </c>
      <c r="AH570">
        <f>H570-AG569</f>
        <v>29.792434999999998</v>
      </c>
      <c r="AI570">
        <f>100*(AH570-O570)/80</f>
        <v>-0.2408562500000011</v>
      </c>
      <c r="AN570">
        <f>IF(ABS(AK569) &gt; ABS(AM569),AK569,AM569)</f>
        <v>0.11179375000001102</v>
      </c>
    </row>
    <row r="571" spans="1:41" x14ac:dyDescent="0.35">
      <c r="A571" t="s">
        <v>249</v>
      </c>
      <c r="B571" t="s">
        <v>231</v>
      </c>
      <c r="C571" t="s">
        <v>352</v>
      </c>
      <c r="D571">
        <v>25</v>
      </c>
      <c r="E571">
        <v>25</v>
      </c>
      <c r="F571">
        <v>0</v>
      </c>
      <c r="G571">
        <v>-1.11E-4</v>
      </c>
      <c r="H571">
        <v>50.1328125</v>
      </c>
      <c r="J571">
        <v>-6268</v>
      </c>
      <c r="N571" t="s">
        <v>158</v>
      </c>
      <c r="O571">
        <f t="shared" si="24"/>
        <v>49.995559999999998</v>
      </c>
      <c r="P571">
        <f t="shared" si="25"/>
        <v>0.17156562500000305</v>
      </c>
      <c r="Q571">
        <f t="shared" si="26"/>
        <v>0.17156562500000305</v>
      </c>
      <c r="Y571">
        <f>TREND(H569:H573,G569:G573,G571)</f>
        <v>50.093723580735791</v>
      </c>
      <c r="Z571">
        <f>ABS((Y571-H571)/80*100)</f>
        <v>4.8861149080261512E-2</v>
      </c>
      <c r="AD571">
        <f>ABS(P569-P575)</f>
        <v>7.4074999999997893E-2</v>
      </c>
      <c r="AE571">
        <f>ABS(P598-P570)</f>
        <v>5.350312499999621E-2</v>
      </c>
      <c r="AH571">
        <f>H571-AG569</f>
        <v>49.995559999999998</v>
      </c>
      <c r="AI571">
        <f>100*(AH571-O571)/80</f>
        <v>0</v>
      </c>
    </row>
    <row r="572" spans="1:41" x14ac:dyDescent="0.35">
      <c r="A572" t="s">
        <v>249</v>
      </c>
      <c r="B572" t="s">
        <v>231</v>
      </c>
      <c r="C572" t="s">
        <v>389</v>
      </c>
      <c r="D572">
        <v>25</v>
      </c>
      <c r="E572">
        <v>25</v>
      </c>
      <c r="F572">
        <v>0.5</v>
      </c>
      <c r="G572">
        <v>0.49998100000000001</v>
      </c>
      <c r="H572">
        <v>70.182812499999997</v>
      </c>
      <c r="J572">
        <v>-6266</v>
      </c>
      <c r="N572" t="s">
        <v>158</v>
      </c>
      <c r="O572">
        <f t="shared" si="24"/>
        <v>69.99924</v>
      </c>
      <c r="P572">
        <f t="shared" si="25"/>
        <v>0.22946562499999601</v>
      </c>
      <c r="Q572">
        <f t="shared" si="26"/>
        <v>0.22946562499999601</v>
      </c>
      <c r="Y572">
        <f>TREND(H569:H573,G569:G573,G572)</f>
        <v>70.166901652440984</v>
      </c>
      <c r="Z572">
        <f>ABS((Y572-H572)/80*100)</f>
        <v>1.988855944876633E-2</v>
      </c>
      <c r="AE572">
        <f>ABS(P599-P571)</f>
        <v>3.391562500000056E-2</v>
      </c>
      <c r="AH572">
        <f>H572-AG569</f>
        <v>70.045559999999995</v>
      </c>
      <c r="AI572">
        <f>100*(AH572-O572)/80</f>
        <v>5.7899999999992957E-2</v>
      </c>
    </row>
    <row r="573" spans="1:41" x14ac:dyDescent="0.35">
      <c r="A573" t="s">
        <v>249</v>
      </c>
      <c r="B573" t="s">
        <v>231</v>
      </c>
      <c r="C573" t="s">
        <v>426</v>
      </c>
      <c r="D573">
        <v>25</v>
      </c>
      <c r="E573">
        <v>25</v>
      </c>
      <c r="F573">
        <v>1</v>
      </c>
      <c r="G573">
        <v>1.000075</v>
      </c>
      <c r="H573">
        <v>90.229687499999997</v>
      </c>
      <c r="J573">
        <v>-6266</v>
      </c>
      <c r="N573" t="s">
        <v>158</v>
      </c>
      <c r="O573">
        <f t="shared" si="24"/>
        <v>90.002999999999986</v>
      </c>
      <c r="P573">
        <f t="shared" si="25"/>
        <v>0.28335937500001407</v>
      </c>
      <c r="Q573">
        <f t="shared" si="26"/>
        <v>0.28335937500001407</v>
      </c>
      <c r="Y573">
        <f>TREND(H569:H573,G569:G573,G573)</f>
        <v>90.240160002087322</v>
      </c>
      <c r="Z573">
        <f>ABS((Y573-H573)/80*100)</f>
        <v>1.3090627609155803E-2</v>
      </c>
      <c r="AE573">
        <f>ABS(P600-P572)</f>
        <v>0.13816250000001418</v>
      </c>
      <c r="AH573">
        <f>H573-AG569</f>
        <v>90.092434999999995</v>
      </c>
      <c r="AI573">
        <f>100*(AH573-O573)/80</f>
        <v>0.11179375000001102</v>
      </c>
    </row>
    <row r="574" spans="1:41" x14ac:dyDescent="0.35">
      <c r="A574" t="s">
        <v>249</v>
      </c>
      <c r="B574" t="s">
        <v>231</v>
      </c>
      <c r="C574" t="s">
        <v>463</v>
      </c>
      <c r="D574">
        <v>25</v>
      </c>
      <c r="E574">
        <v>25</v>
      </c>
      <c r="F574">
        <v>0</v>
      </c>
      <c r="G574">
        <v>1.2799999999999999E-4</v>
      </c>
      <c r="H574">
        <v>50.021875000000001</v>
      </c>
      <c r="J574">
        <v>-6264</v>
      </c>
      <c r="N574" t="s">
        <v>158</v>
      </c>
      <c r="O574">
        <f t="shared" si="24"/>
        <v>50.005119999999998</v>
      </c>
      <c r="P574">
        <f t="shared" si="25"/>
        <v>2.0943750000004258E-2</v>
      </c>
      <c r="Q574">
        <f t="shared" si="26"/>
        <v>2.0943750000004258E-2</v>
      </c>
      <c r="Y574">
        <f>TREND(H569:H573,G569:G573,G574)</f>
        <v>50.103316794702693</v>
      </c>
      <c r="Z574">
        <f>ABS((Y574-H574)/80*100)</f>
        <v>0.10180224337836385</v>
      </c>
      <c r="AE574">
        <f>ABS(P601-P573)</f>
        <v>0.2151656249999867</v>
      </c>
      <c r="AH574">
        <f>H574-AG569</f>
        <v>49.884622499999999</v>
      </c>
      <c r="AI574">
        <f>100*(AH574-O574)/80</f>
        <v>-0.15062187499999879</v>
      </c>
    </row>
    <row r="575" spans="1:41" x14ac:dyDescent="0.35">
      <c r="A575" t="s">
        <v>249</v>
      </c>
      <c r="B575" t="s">
        <v>231</v>
      </c>
      <c r="C575" t="s">
        <v>501</v>
      </c>
      <c r="D575">
        <v>25</v>
      </c>
      <c r="E575">
        <v>25</v>
      </c>
      <c r="F575">
        <v>-1</v>
      </c>
      <c r="G575">
        <v>-0.999888</v>
      </c>
      <c r="H575">
        <v>10.0625</v>
      </c>
      <c r="J575">
        <v>-6266</v>
      </c>
      <c r="N575" t="s">
        <v>158</v>
      </c>
      <c r="O575">
        <f t="shared" si="24"/>
        <v>10.004480000000001</v>
      </c>
      <c r="P575">
        <f t="shared" si="25"/>
        <v>7.252499999999884E-2</v>
      </c>
      <c r="Q575">
        <f t="shared" si="26"/>
        <v>7.252499999999884E-2</v>
      </c>
      <c r="Y575">
        <f>TREND(H569:H573,G569:G573,G575)</f>
        <v>9.9637039983485423</v>
      </c>
      <c r="Z575">
        <f>ABS((Y575-H575)/80*100)</f>
        <v>0.12349500206432218</v>
      </c>
      <c r="AE575">
        <f>ABS(P602-P574)</f>
        <v>2.9543750000007307E-2</v>
      </c>
      <c r="AH575">
        <f>H575-AG569</f>
        <v>9.9252474999999976</v>
      </c>
      <c r="AI575">
        <f>100*(AH575-O575)/80</f>
        <v>-9.9040625000004212E-2</v>
      </c>
    </row>
    <row r="576" spans="1:41" x14ac:dyDescent="0.35">
      <c r="A576" t="s">
        <v>249</v>
      </c>
      <c r="B576" t="s">
        <v>231</v>
      </c>
      <c r="C576" t="s">
        <v>538</v>
      </c>
      <c r="D576">
        <v>-20</v>
      </c>
      <c r="E576">
        <v>-20.100000000000001</v>
      </c>
      <c r="F576">
        <v>-1</v>
      </c>
      <c r="G576">
        <v>-1.000467</v>
      </c>
      <c r="H576">
        <v>10.5453125</v>
      </c>
      <c r="J576">
        <v>-23409</v>
      </c>
      <c r="N576" t="s">
        <v>158</v>
      </c>
      <c r="O576">
        <f t="shared" si="24"/>
        <v>9.9813200000000002</v>
      </c>
      <c r="P576">
        <f t="shared" si="25"/>
        <v>0.70499062499999932</v>
      </c>
      <c r="Q576">
        <f t="shared" si="26"/>
        <v>0.70499062499999932</v>
      </c>
      <c r="S576">
        <v>50.301562500000003</v>
      </c>
      <c r="T576">
        <v>0.41495312500000381</v>
      </c>
      <c r="U576">
        <v>90.787499999999994</v>
      </c>
      <c r="V576">
        <v>0.98102499999999537</v>
      </c>
      <c r="W576">
        <v>80.242185974121099</v>
      </c>
      <c r="X576">
        <f>(W576-80)/80*100</f>
        <v>0.30273246765137429</v>
      </c>
      <c r="Y576">
        <f>TREND(H576:H580,G576:G580,G576)</f>
        <v>10.356441342463263</v>
      </c>
      <c r="Z576">
        <f>ABS((Y576-H576)/80*100)</f>
        <v>0.23608894692092042</v>
      </c>
      <c r="AA576">
        <f>MAX(Z576:Z580)</f>
        <v>0.23608894692092042</v>
      </c>
      <c r="AB576">
        <f>IF(ABS(MAX(P576:P582)) &gt; ABS(MIN(P576:P582)),MAX(P576:P582), MIN(P576:P582))</f>
        <v>0.98102499999999537</v>
      </c>
      <c r="AC576">
        <f>IF(ABS(AB577)&gt;ABS(AB576),AB577,AB576)</f>
        <v>0.98102499999999537</v>
      </c>
      <c r="AE576">
        <f>ABS(P603-P575)</f>
        <v>5.7387499999999037E-2</v>
      </c>
      <c r="AH576">
        <f>H576-AG569</f>
        <v>10.408059999999997</v>
      </c>
      <c r="AI576">
        <f>100*(AH576-O576)/80</f>
        <v>0.53342499999999626</v>
      </c>
      <c r="AJ576">
        <v>50.16431</v>
      </c>
      <c r="AK576">
        <v>0.24338750000000076</v>
      </c>
      <c r="AL576">
        <v>90.650247499999992</v>
      </c>
      <c r="AM576">
        <v>0.80945937499999232</v>
      </c>
      <c r="AN576">
        <f>IF(ABS(MAX(AI576:AI582)) &gt; ABS(MIN(AI576:AI582)),MAX(AI576:AI582), MIN(AI576:AI582))</f>
        <v>0.80945937499999232</v>
      </c>
      <c r="AO576">
        <f>IF(ABS(AN577)&gt;ABS(AN576),AN577,AN576)</f>
        <v>0.80945937499999232</v>
      </c>
    </row>
    <row r="577" spans="1:41" x14ac:dyDescent="0.35">
      <c r="A577" t="s">
        <v>249</v>
      </c>
      <c r="B577" t="s">
        <v>231</v>
      </c>
      <c r="C577" t="s">
        <v>574</v>
      </c>
      <c r="D577">
        <v>-20</v>
      </c>
      <c r="E577">
        <v>-20</v>
      </c>
      <c r="F577">
        <v>-0.5</v>
      </c>
      <c r="G577">
        <v>-0.50002800000000003</v>
      </c>
      <c r="H577">
        <v>30.317187499999999</v>
      </c>
      <c r="J577">
        <v>-23452</v>
      </c>
      <c r="N577" t="s">
        <v>158</v>
      </c>
      <c r="O577">
        <f t="shared" si="24"/>
        <v>29.99888</v>
      </c>
      <c r="P577">
        <f t="shared" si="25"/>
        <v>0.3978843749999994</v>
      </c>
      <c r="Q577">
        <f t="shared" si="26"/>
        <v>0.3978843749999994</v>
      </c>
      <c r="Y577">
        <f>TREND(H576:H580,G576:G580,G577)</f>
        <v>30.441509059528251</v>
      </c>
      <c r="Z577">
        <f>ABS((Y577-H577)/80*100)</f>
        <v>0.15540194941031427</v>
      </c>
      <c r="AB577">
        <f>IF(ABS(T576) &gt; ABS(V576),T576,V576)</f>
        <v>0.98102499999999537</v>
      </c>
      <c r="AE577">
        <f>ABS(P625-P569)</f>
        <v>0.21256562499999854</v>
      </c>
      <c r="AH577">
        <f>H577-AG569</f>
        <v>30.179934999999997</v>
      </c>
      <c r="AI577">
        <f>100*(AH577-O577)/80</f>
        <v>0.22631874999999635</v>
      </c>
      <c r="AN577">
        <f>IF(ABS(AK576) &gt; ABS(AM576),AK576,AM576)</f>
        <v>0.80945937499999232</v>
      </c>
    </row>
    <row r="578" spans="1:41" x14ac:dyDescent="0.35">
      <c r="A578" t="s">
        <v>249</v>
      </c>
      <c r="B578" t="s">
        <v>231</v>
      </c>
      <c r="C578" t="s">
        <v>611</v>
      </c>
      <c r="D578">
        <v>-20</v>
      </c>
      <c r="E578">
        <v>-20.100000000000001</v>
      </c>
      <c r="F578">
        <v>0</v>
      </c>
      <c r="G578">
        <v>-7.6000000000000004E-4</v>
      </c>
      <c r="H578">
        <v>50.301562500000003</v>
      </c>
      <c r="J578">
        <v>-23475</v>
      </c>
      <c r="N578" t="s">
        <v>158</v>
      </c>
      <c r="O578">
        <f t="shared" si="24"/>
        <v>49.9696</v>
      </c>
      <c r="P578">
        <f t="shared" si="25"/>
        <v>0.41495312500000381</v>
      </c>
      <c r="Q578">
        <f t="shared" si="26"/>
        <v>0.41495312500000381</v>
      </c>
      <c r="Y578">
        <f>TREND(H576:H580,G576:G580,G578)</f>
        <v>50.479578812212601</v>
      </c>
      <c r="Z578">
        <f>ABS((Y578-H578)/80*100)</f>
        <v>0.22252039026574799</v>
      </c>
      <c r="AE578">
        <f>ABS(P626-P570)</f>
        <v>0.16240625000000453</v>
      </c>
      <c r="AH578">
        <f>H578-AG569</f>
        <v>50.16431</v>
      </c>
      <c r="AI578">
        <f>100*(AH578-O578)/80</f>
        <v>0.24338750000000076</v>
      </c>
    </row>
    <row r="579" spans="1:41" x14ac:dyDescent="0.35">
      <c r="A579" t="s">
        <v>249</v>
      </c>
      <c r="B579" t="s">
        <v>231</v>
      </c>
      <c r="C579" t="s">
        <v>647</v>
      </c>
      <c r="D579">
        <v>-20</v>
      </c>
      <c r="E579">
        <v>-20</v>
      </c>
      <c r="F579">
        <v>0.5</v>
      </c>
      <c r="G579">
        <v>0.499971</v>
      </c>
      <c r="H579">
        <v>70.55</v>
      </c>
      <c r="J579">
        <v>-23504</v>
      </c>
      <c r="N579" t="s">
        <v>158</v>
      </c>
      <c r="O579">
        <f t="shared" si="24"/>
        <v>69.998840000000001</v>
      </c>
      <c r="P579">
        <f t="shared" si="25"/>
        <v>0.68894999999999484</v>
      </c>
      <c r="Q579">
        <f t="shared" si="26"/>
        <v>0.68894999999999484</v>
      </c>
      <c r="Y579">
        <f>TREND(H576:H580,G576:G580,G579)</f>
        <v>70.576365919200015</v>
      </c>
      <c r="Z579">
        <f>ABS((Y579-H579)/80*100)</f>
        <v>3.2957399000022036E-2</v>
      </c>
      <c r="AE579">
        <f>ABS(P627-P571)</f>
        <v>0.17551562499999562</v>
      </c>
      <c r="AH579">
        <f>H579-AG569</f>
        <v>70.412747499999995</v>
      </c>
      <c r="AI579">
        <f>100*(AH579-O579)/80</f>
        <v>0.51738437499999179</v>
      </c>
    </row>
    <row r="580" spans="1:41" x14ac:dyDescent="0.35">
      <c r="A580" t="s">
        <v>249</v>
      </c>
      <c r="B580" t="s">
        <v>231</v>
      </c>
      <c r="C580" t="s">
        <v>683</v>
      </c>
      <c r="D580">
        <v>-20</v>
      </c>
      <c r="E580">
        <v>-19.8</v>
      </c>
      <c r="F580">
        <v>1</v>
      </c>
      <c r="G580">
        <v>1.000067</v>
      </c>
      <c r="H580">
        <v>90.787499999999994</v>
      </c>
      <c r="J580">
        <v>-23534</v>
      </c>
      <c r="N580" t="s">
        <v>158</v>
      </c>
      <c r="O580">
        <f t="shared" si="24"/>
        <v>90.002679999999998</v>
      </c>
      <c r="P580">
        <f t="shared" si="25"/>
        <v>0.98102499999999537</v>
      </c>
      <c r="Q580">
        <f t="shared" si="26"/>
        <v>0.98102499999999537</v>
      </c>
      <c r="Y580">
        <f>TREND(H576:H580,G576:G580,G580)</f>
        <v>90.647667366595869</v>
      </c>
      <c r="Z580">
        <f>ABS((Y580-H580)/80*100)</f>
        <v>0.17479079175515722</v>
      </c>
      <c r="AE580">
        <f>ABS(P628-P572)</f>
        <v>2.4624999999822705E-3</v>
      </c>
      <c r="AH580">
        <f>H580-AG569</f>
        <v>90.650247499999992</v>
      </c>
      <c r="AI580">
        <f>100*(AH580-O580)/80</f>
        <v>0.80945937499999232</v>
      </c>
    </row>
    <row r="581" spans="1:41" x14ac:dyDescent="0.35">
      <c r="A581" t="s">
        <v>249</v>
      </c>
      <c r="B581" t="s">
        <v>231</v>
      </c>
      <c r="C581" t="s">
        <v>720</v>
      </c>
      <c r="D581">
        <v>-20</v>
      </c>
      <c r="E581">
        <v>-20.100000000000001</v>
      </c>
      <c r="F581">
        <v>0</v>
      </c>
      <c r="G581">
        <v>-2.02E-4</v>
      </c>
      <c r="H581">
        <v>50.364062500000003</v>
      </c>
      <c r="J581">
        <v>-23553</v>
      </c>
      <c r="N581" t="s">
        <v>158</v>
      </c>
      <c r="O581">
        <f t="shared" si="24"/>
        <v>49.99192</v>
      </c>
      <c r="P581">
        <f t="shared" si="25"/>
        <v>0.46517812500000311</v>
      </c>
      <c r="Q581">
        <f t="shared" si="26"/>
        <v>0.46517812500000311</v>
      </c>
      <c r="Y581">
        <f>TREND(H576:H580,G576:G580,G581)</f>
        <v>50.501974084735572</v>
      </c>
      <c r="Z581">
        <f>ABS((Y581-H581)/80*100)</f>
        <v>0.17238948091946149</v>
      </c>
      <c r="AE581">
        <f>ABS(P629-P573)</f>
        <v>0.11401562499997908</v>
      </c>
      <c r="AH581">
        <f>H581-AG569</f>
        <v>50.22681</v>
      </c>
      <c r="AI581">
        <f>100*(AH581-O581)/80</f>
        <v>0.29361250000000005</v>
      </c>
    </row>
    <row r="582" spans="1:41" x14ac:dyDescent="0.35">
      <c r="A582" t="s">
        <v>249</v>
      </c>
      <c r="B582" t="s">
        <v>231</v>
      </c>
      <c r="C582" t="s">
        <v>756</v>
      </c>
      <c r="D582">
        <v>-20</v>
      </c>
      <c r="E582">
        <v>-20</v>
      </c>
      <c r="F582">
        <v>-1</v>
      </c>
      <c r="G582">
        <v>-1.0000180000000001</v>
      </c>
      <c r="H582">
        <v>10.59375</v>
      </c>
      <c r="J582">
        <v>-23588</v>
      </c>
      <c r="N582" t="s">
        <v>158</v>
      </c>
      <c r="O582">
        <f t="shared" si="24"/>
        <v>9.9992799999999971</v>
      </c>
      <c r="P582">
        <f t="shared" si="25"/>
        <v>0.74308750000000368</v>
      </c>
      <c r="Q582">
        <f t="shared" si="26"/>
        <v>0.74308750000000368</v>
      </c>
      <c r="Y582">
        <f>TREND(H576:H580,G576:G580,G582)</f>
        <v>10.374461911213821</v>
      </c>
      <c r="Z582">
        <f>ABS((Y582-H582)/80*100)</f>
        <v>0.27411011098272375</v>
      </c>
      <c r="AE582">
        <f>ABS(P630-P574)</f>
        <v>4.7181250000001285E-2</v>
      </c>
      <c r="AH582">
        <f>H582-AG569</f>
        <v>10.456497499999998</v>
      </c>
      <c r="AI582">
        <f>100*(AH582-O582)/80</f>
        <v>0.57152187500000062</v>
      </c>
    </row>
    <row r="583" spans="1:41" x14ac:dyDescent="0.35">
      <c r="A583" t="s">
        <v>249</v>
      </c>
      <c r="B583" t="s">
        <v>231</v>
      </c>
      <c r="C583" t="s">
        <v>793</v>
      </c>
      <c r="D583">
        <v>0</v>
      </c>
      <c r="E583">
        <v>0</v>
      </c>
      <c r="F583">
        <v>-1</v>
      </c>
      <c r="G583">
        <v>-1.000151</v>
      </c>
      <c r="H583">
        <v>10.2890625</v>
      </c>
      <c r="J583">
        <v>-16558</v>
      </c>
      <c r="N583" t="s">
        <v>158</v>
      </c>
      <c r="O583">
        <f t="shared" si="24"/>
        <v>9.9939599999999995</v>
      </c>
      <c r="P583">
        <f t="shared" si="25"/>
        <v>0.36887812500000061</v>
      </c>
      <c r="Q583">
        <f t="shared" si="26"/>
        <v>0.36887812500000061</v>
      </c>
      <c r="S583">
        <v>50.181249999999999</v>
      </c>
      <c r="T583">
        <v>0.22741250000000157</v>
      </c>
      <c r="U583">
        <v>90.537499999999994</v>
      </c>
      <c r="V583">
        <v>0.6701749999999862</v>
      </c>
      <c r="W583">
        <v>80.248435974121094</v>
      </c>
      <c r="X583">
        <f>(W583-80)/80*100</f>
        <v>0.31054496765136719</v>
      </c>
      <c r="Y583">
        <f>TREND(H583:H587,G583:G587,G583)</f>
        <v>10.170478375280766</v>
      </c>
      <c r="Z583">
        <f>ABS((Y583-H583)/80*100)</f>
        <v>0.14823015589904287</v>
      </c>
      <c r="AA583">
        <f>MAX(Z583:Z587)</f>
        <v>0.18799239018015612</v>
      </c>
      <c r="AB583">
        <f>IF(ABS(MAX(P583:P589)) &gt; ABS(MIN(P583:P589)),MAX(P583:P589), MIN(P583:P589))</f>
        <v>0.6701749999999862</v>
      </c>
      <c r="AC583">
        <f>IF(ABS(AB584)&gt;ABS(AB583),AB584,AB583)</f>
        <v>0.6701749999999862</v>
      </c>
      <c r="AE583">
        <f>ABS(P631-P575)</f>
        <v>9.1578124999998067E-2</v>
      </c>
      <c r="AH583">
        <f>H583-AG569</f>
        <v>10.151809999999998</v>
      </c>
      <c r="AI583">
        <f>100*(AH583-O583)/80</f>
        <v>0.19731249999999756</v>
      </c>
      <c r="AJ583">
        <v>50.043997499999996</v>
      </c>
      <c r="AK583">
        <v>5.5846874999998519E-2</v>
      </c>
      <c r="AL583">
        <v>90.400247499999992</v>
      </c>
      <c r="AM583">
        <v>0.49860937499998315</v>
      </c>
      <c r="AN583">
        <f>IF(ABS(MAX(AI583:AI589)) &gt; ABS(MIN(AI583:AI589)),MAX(AI583:AI589), MIN(AI583:AI589))</f>
        <v>0.49860937499998315</v>
      </c>
      <c r="AO583">
        <f>IF(ABS(AN584)&gt;ABS(AN583),AN584,AN583)</f>
        <v>0.49860937499998315</v>
      </c>
    </row>
    <row r="584" spans="1:41" x14ac:dyDescent="0.35">
      <c r="A584" t="s">
        <v>249</v>
      </c>
      <c r="B584" t="s">
        <v>231</v>
      </c>
      <c r="C584" t="s">
        <v>829</v>
      </c>
      <c r="D584">
        <v>0</v>
      </c>
      <c r="E584">
        <v>0.1</v>
      </c>
      <c r="F584">
        <v>-0.5</v>
      </c>
      <c r="G584">
        <v>-0.50048599999999999</v>
      </c>
      <c r="H584">
        <v>30.15625</v>
      </c>
      <c r="J584">
        <v>-16543</v>
      </c>
      <c r="N584" t="s">
        <v>158</v>
      </c>
      <c r="O584">
        <f t="shared" si="24"/>
        <v>29.980560000000001</v>
      </c>
      <c r="P584">
        <f t="shared" si="25"/>
        <v>0.21961249999999932</v>
      </c>
      <c r="Q584">
        <f t="shared" si="26"/>
        <v>0.21961249999999932</v>
      </c>
      <c r="Y584">
        <f>TREND(H583:H587,G583:G587,G584)</f>
        <v>30.234918518278434</v>
      </c>
      <c r="Z584">
        <f>ABS((Y584-H584)/80*100)</f>
        <v>9.8335647848042385E-2</v>
      </c>
      <c r="AB584">
        <f>IF(ABS(T583) &gt; ABS(V583),T583,V583)</f>
        <v>0.6701749999999862</v>
      </c>
      <c r="AE584">
        <f>ABS(P625-P597)</f>
        <v>0.23159062499999994</v>
      </c>
      <c r="AH584">
        <f>H584-AG569</f>
        <v>30.018997499999998</v>
      </c>
      <c r="AI584">
        <f>100*(AH584-O584)/80</f>
        <v>4.804687499999627E-2</v>
      </c>
      <c r="AN584">
        <f>IF(ABS(AK583) &gt; ABS(AM583),AK583,AM583)</f>
        <v>0.49860937499998315</v>
      </c>
    </row>
    <row r="585" spans="1:41" x14ac:dyDescent="0.35">
      <c r="A585" t="s">
        <v>249</v>
      </c>
      <c r="B585" t="s">
        <v>231</v>
      </c>
      <c r="C585" t="s">
        <v>865</v>
      </c>
      <c r="D585">
        <v>0</v>
      </c>
      <c r="E585">
        <v>0</v>
      </c>
      <c r="F585">
        <v>0</v>
      </c>
      <c r="G585">
        <v>-1.7E-5</v>
      </c>
      <c r="H585">
        <v>50.181249999999999</v>
      </c>
      <c r="J585">
        <v>-16530</v>
      </c>
      <c r="N585" t="s">
        <v>158</v>
      </c>
      <c r="O585">
        <f t="shared" ref="O585:O648" si="27">(((G585--1)*(40))+10)</f>
        <v>49.999319999999997</v>
      </c>
      <c r="P585">
        <f t="shared" ref="P585:P648" si="28">100*(H585-O585)/80</f>
        <v>0.22741250000000157</v>
      </c>
      <c r="Q585">
        <f t="shared" ref="Q585:Q648" si="29">ABS(P585)</f>
        <v>0.22741250000000157</v>
      </c>
      <c r="Y585">
        <f>TREND(H583:H587,G583:G587,G585)</f>
        <v>50.331643912144123</v>
      </c>
      <c r="Z585">
        <f>ABS((Y585-H585)/80*100)</f>
        <v>0.18799239018015612</v>
      </c>
      <c r="AE585">
        <f>ABS(P626-P598)</f>
        <v>0.21590937500000074</v>
      </c>
      <c r="AH585">
        <f>H585-AG569</f>
        <v>50.043997499999996</v>
      </c>
      <c r="AI585">
        <f>100*(AH585-O585)/80</f>
        <v>5.5846874999998519E-2</v>
      </c>
    </row>
    <row r="586" spans="1:41" x14ac:dyDescent="0.35">
      <c r="A586" t="s">
        <v>249</v>
      </c>
      <c r="B586" t="s">
        <v>231</v>
      </c>
      <c r="C586" t="s">
        <v>902</v>
      </c>
      <c r="D586">
        <v>0</v>
      </c>
      <c r="E586">
        <v>0</v>
      </c>
      <c r="F586">
        <v>0.5</v>
      </c>
      <c r="G586">
        <v>0.49959100000000001</v>
      </c>
      <c r="H586">
        <v>70.456249999999997</v>
      </c>
      <c r="J586">
        <v>-16519</v>
      </c>
      <c r="N586" t="s">
        <v>158</v>
      </c>
      <c r="O586">
        <f t="shared" si="27"/>
        <v>69.983640000000008</v>
      </c>
      <c r="P586">
        <f t="shared" si="28"/>
        <v>0.59076249999998609</v>
      </c>
      <c r="Q586">
        <f t="shared" si="29"/>
        <v>0.59076249999998609</v>
      </c>
      <c r="Y586">
        <f>TREND(H583:H587,G583:G587,G586)</f>
        <v>70.393795175416074</v>
      </c>
      <c r="Z586">
        <f>ABS((Y586-H586)/80*100)</f>
        <v>7.8068530729904495E-2</v>
      </c>
      <c r="AE586">
        <f>ABS(P627-P599)</f>
        <v>0.14159999999999506</v>
      </c>
      <c r="AH586">
        <f>H586-AG569</f>
        <v>70.318997499999995</v>
      </c>
      <c r="AI586">
        <f>100*(AH586-O586)/80</f>
        <v>0.41919687499998304</v>
      </c>
    </row>
    <row r="587" spans="1:41" x14ac:dyDescent="0.35">
      <c r="A587" t="s">
        <v>249</v>
      </c>
      <c r="B587" t="s">
        <v>231</v>
      </c>
      <c r="C587" t="s">
        <v>939</v>
      </c>
      <c r="D587">
        <v>0</v>
      </c>
      <c r="E587">
        <v>0.1</v>
      </c>
      <c r="F587">
        <v>1</v>
      </c>
      <c r="G587">
        <v>1.0000340000000001</v>
      </c>
      <c r="H587">
        <v>90.537499999999994</v>
      </c>
      <c r="J587">
        <v>-16489</v>
      </c>
      <c r="N587" t="s">
        <v>158</v>
      </c>
      <c r="O587">
        <f t="shared" si="27"/>
        <v>90.001360000000005</v>
      </c>
      <c r="P587">
        <f t="shared" si="28"/>
        <v>0.6701749999999862</v>
      </c>
      <c r="Q587">
        <f t="shared" si="29"/>
        <v>0.6701749999999862</v>
      </c>
      <c r="Y587">
        <f>TREND(H583:H587,G583:G587,G587)</f>
        <v>90.489476518880565</v>
      </c>
      <c r="Z587">
        <f>ABS((Y587-H587)/80*100)</f>
        <v>6.0029351399286675E-2</v>
      </c>
      <c r="AE587">
        <f>ABS(P628-P600)</f>
        <v>0.14062499999999645</v>
      </c>
      <c r="AH587">
        <f>H587-AG569</f>
        <v>90.400247499999992</v>
      </c>
      <c r="AI587">
        <f>100*(AH587-O587)/80</f>
        <v>0.49860937499998315</v>
      </c>
    </row>
    <row r="588" spans="1:41" x14ac:dyDescent="0.35">
      <c r="A588" t="s">
        <v>249</v>
      </c>
      <c r="B588" t="s">
        <v>231</v>
      </c>
      <c r="C588" t="s">
        <v>975</v>
      </c>
      <c r="D588">
        <v>0</v>
      </c>
      <c r="E588">
        <v>-0.1</v>
      </c>
      <c r="F588">
        <v>0</v>
      </c>
      <c r="G588">
        <v>-1.7699999999999999E-4</v>
      </c>
      <c r="H588">
        <v>50.1953125</v>
      </c>
      <c r="J588">
        <v>-16466</v>
      </c>
      <c r="N588" t="s">
        <v>158</v>
      </c>
      <c r="O588">
        <f t="shared" si="27"/>
        <v>49.992919999999998</v>
      </c>
      <c r="P588">
        <f t="shared" si="28"/>
        <v>0.25299062500000247</v>
      </c>
      <c r="Q588">
        <f t="shared" si="29"/>
        <v>0.25299062500000247</v>
      </c>
      <c r="Y588">
        <f>TREND(H583:H587,G583:G587,G588)</f>
        <v>50.325218986598252</v>
      </c>
      <c r="Z588">
        <f>ABS((Y588-H588)/80*100)</f>
        <v>0.16238310824781443</v>
      </c>
      <c r="AE588">
        <f>ABS(P629-P601)</f>
        <v>0.10115000000000762</v>
      </c>
      <c r="AH588">
        <f>H588-AG569</f>
        <v>50.058059999999998</v>
      </c>
      <c r="AI588">
        <f>100*(AH588-O588)/80</f>
        <v>8.1424999999999415E-2</v>
      </c>
    </row>
    <row r="589" spans="1:41" x14ac:dyDescent="0.35">
      <c r="A589" t="s">
        <v>249</v>
      </c>
      <c r="B589" t="s">
        <v>231</v>
      </c>
      <c r="C589" t="s">
        <v>1011</v>
      </c>
      <c r="D589">
        <v>0</v>
      </c>
      <c r="E589">
        <v>0</v>
      </c>
      <c r="F589">
        <v>-1</v>
      </c>
      <c r="G589">
        <v>-1.000246</v>
      </c>
      <c r="H589">
        <v>10.324999999999999</v>
      </c>
      <c r="J589">
        <v>-16437</v>
      </c>
      <c r="N589" t="s">
        <v>158</v>
      </c>
      <c r="O589">
        <f t="shared" si="27"/>
        <v>9.9901600000000013</v>
      </c>
      <c r="P589">
        <f t="shared" si="28"/>
        <v>0.41854999999999754</v>
      </c>
      <c r="Q589">
        <f t="shared" si="29"/>
        <v>0.41854999999999754</v>
      </c>
      <c r="Y589">
        <f>TREND(H583:H587,G583:G587,G589)</f>
        <v>10.1666635757379</v>
      </c>
      <c r="Z589">
        <f>ABS((Y589-H589)/80*100)</f>
        <v>0.19792053032762436</v>
      </c>
      <c r="AE589">
        <f>ABS(P630-P602)</f>
        <v>1.7637499999993977E-2</v>
      </c>
      <c r="AH589">
        <f>H589-AG569</f>
        <v>10.187747499999997</v>
      </c>
      <c r="AI589">
        <f>100*(AH589-O589)/80</f>
        <v>0.24698437499999448</v>
      </c>
    </row>
    <row r="590" spans="1:41" x14ac:dyDescent="0.35">
      <c r="A590" t="s">
        <v>249</v>
      </c>
      <c r="B590" t="s">
        <v>231</v>
      </c>
      <c r="C590" t="s">
        <v>1047</v>
      </c>
      <c r="D590">
        <v>10</v>
      </c>
      <c r="E590">
        <v>10</v>
      </c>
      <c r="F590">
        <v>-1</v>
      </c>
      <c r="G590">
        <v>-1.000041</v>
      </c>
      <c r="H590">
        <v>10.3453125</v>
      </c>
      <c r="J590">
        <v>-12317</v>
      </c>
      <c r="N590" t="s">
        <v>158</v>
      </c>
      <c r="O590">
        <f t="shared" si="27"/>
        <v>9.9983600000000017</v>
      </c>
      <c r="P590">
        <f t="shared" si="28"/>
        <v>0.43369062499999833</v>
      </c>
      <c r="Q590">
        <f t="shared" si="29"/>
        <v>0.43369062499999833</v>
      </c>
      <c r="S590">
        <v>50.173437499999999</v>
      </c>
      <c r="T590">
        <v>0.22369687499999458</v>
      </c>
      <c r="U590">
        <v>90.403125000000003</v>
      </c>
      <c r="V590">
        <v>0.51775625000001213</v>
      </c>
      <c r="W590">
        <v>80.057809448242182</v>
      </c>
      <c r="X590">
        <f>(W590-80)/80*100</f>
        <v>7.226181030272727E-2</v>
      </c>
      <c r="Y590">
        <f>TREND(H590:H594,G590:G594,G590)</f>
        <v>10.168679167002196</v>
      </c>
      <c r="Z590">
        <f>ABS((Y590-H590)/80*100)</f>
        <v>0.22079166624725532</v>
      </c>
      <c r="AA590">
        <f>MAX(Z590:Z594)</f>
        <v>0.2390887311276213</v>
      </c>
      <c r="AB590">
        <f>IF(ABS(MAX(P590:P596)) &gt; ABS(MIN(P590:P596)),MAX(P590:P596), MIN(P590:P596))</f>
        <v>0.51775625000001213</v>
      </c>
      <c r="AC590">
        <f>IF(ABS(AB591)&gt;ABS(AB590),AB591,AB590)</f>
        <v>0.51775625000001213</v>
      </c>
      <c r="AE590">
        <f>ABS(P631-P603)</f>
        <v>0.1489656249999971</v>
      </c>
      <c r="AH590">
        <f>H590-AG569</f>
        <v>10.208059999999998</v>
      </c>
      <c r="AI590">
        <f>100*(AH590-O590)/80</f>
        <v>0.26212499999999528</v>
      </c>
      <c r="AJ590">
        <v>50.036184999999996</v>
      </c>
      <c r="AK590">
        <v>5.2131249999991525E-2</v>
      </c>
      <c r="AL590">
        <v>90.2658725</v>
      </c>
      <c r="AM590">
        <v>0.34619062500000908</v>
      </c>
      <c r="AN590">
        <f>IF(ABS(MAX(AI590:AI596)) &gt; ABS(MIN(AI590:AI596)),MAX(AI590:AI596), MIN(AI590:AI596))</f>
        <v>0.34619062500000908</v>
      </c>
      <c r="AO590">
        <f>IF(ABS(AN591)&gt;ABS(AN590),AN591,AN590)</f>
        <v>0.34619062500000908</v>
      </c>
    </row>
    <row r="591" spans="1:41" x14ac:dyDescent="0.35">
      <c r="A591" t="s">
        <v>249</v>
      </c>
      <c r="B591" t="s">
        <v>231</v>
      </c>
      <c r="C591" t="s">
        <v>1083</v>
      </c>
      <c r="D591">
        <v>10</v>
      </c>
      <c r="E591">
        <v>10</v>
      </c>
      <c r="F591">
        <v>-0.5</v>
      </c>
      <c r="G591">
        <v>-0.50006700000000004</v>
      </c>
      <c r="H591">
        <v>30.020312499999999</v>
      </c>
      <c r="J591">
        <v>-12302</v>
      </c>
      <c r="N591" t="s">
        <v>158</v>
      </c>
      <c r="O591">
        <f t="shared" si="27"/>
        <v>29.997319999999998</v>
      </c>
      <c r="P591">
        <f t="shared" si="28"/>
        <v>2.8740625000001074E-2</v>
      </c>
      <c r="Q591">
        <f t="shared" si="29"/>
        <v>2.8740625000001074E-2</v>
      </c>
      <c r="Y591">
        <f>TREND(H590:H594,G590:G594,G591)</f>
        <v>30.211583484902096</v>
      </c>
      <c r="Z591">
        <f>ABS((Y591-H591)/80*100)</f>
        <v>0.2390887311276213</v>
      </c>
      <c r="AB591">
        <f>IF(ABS(T590) &gt; ABS(V590),T590,V590)</f>
        <v>0.51775625000001213</v>
      </c>
      <c r="AH591">
        <f>H591-AG569</f>
        <v>29.883059999999997</v>
      </c>
      <c r="AI591">
        <f>100*(AH591-O591)/80</f>
        <v>-0.14282500000000198</v>
      </c>
      <c r="AN591">
        <f>IF(ABS(AK590) &gt; ABS(AM590),AK590,AM590)</f>
        <v>0.34619062500000908</v>
      </c>
    </row>
    <row r="592" spans="1:41" x14ac:dyDescent="0.35">
      <c r="A592" t="s">
        <v>249</v>
      </c>
      <c r="B592" t="s">
        <v>1111</v>
      </c>
      <c r="C592" t="s">
        <v>1120</v>
      </c>
      <c r="D592">
        <v>10</v>
      </c>
      <c r="E592">
        <v>10</v>
      </c>
      <c r="F592">
        <v>0</v>
      </c>
      <c r="G592">
        <v>-1.3799999999999999E-4</v>
      </c>
      <c r="H592">
        <v>50.173437499999999</v>
      </c>
      <c r="J592">
        <v>-12287</v>
      </c>
      <c r="N592" t="s">
        <v>158</v>
      </c>
      <c r="O592">
        <f t="shared" si="27"/>
        <v>49.994480000000003</v>
      </c>
      <c r="P592">
        <f t="shared" si="28"/>
        <v>0.22369687499999458</v>
      </c>
      <c r="Q592">
        <f t="shared" si="29"/>
        <v>0.22369687499999458</v>
      </c>
      <c r="Y592">
        <f>TREND(H590:H594,G590:G594,G592)</f>
        <v>50.25268384760772</v>
      </c>
      <c r="Z592">
        <f>ABS((Y592-H592)/80*100)</f>
        <v>9.9057934509652043E-2</v>
      </c>
      <c r="AH592">
        <f>H592-AG569</f>
        <v>50.036184999999996</v>
      </c>
      <c r="AI592">
        <f>100*(AH592-O592)/80</f>
        <v>5.2131249999991525E-2</v>
      </c>
    </row>
    <row r="593" spans="1:41" x14ac:dyDescent="0.35">
      <c r="A593" t="s">
        <v>249</v>
      </c>
      <c r="B593" t="s">
        <v>1111</v>
      </c>
      <c r="C593" t="s">
        <v>1157</v>
      </c>
      <c r="D593">
        <v>10</v>
      </c>
      <c r="E593">
        <v>10</v>
      </c>
      <c r="F593">
        <v>0.5</v>
      </c>
      <c r="G593">
        <v>0.49992700000000001</v>
      </c>
      <c r="H593">
        <v>70.325000000000003</v>
      </c>
      <c r="J593">
        <v>-12287</v>
      </c>
      <c r="N593" t="s">
        <v>158</v>
      </c>
      <c r="O593">
        <f t="shared" si="27"/>
        <v>69.997079999999997</v>
      </c>
      <c r="P593">
        <f t="shared" si="28"/>
        <v>0.40990000000000748</v>
      </c>
      <c r="Q593">
        <f t="shared" si="29"/>
        <v>0.40990000000000748</v>
      </c>
      <c r="Y593">
        <f>TREND(H590:H594,G590:G594,G593)</f>
        <v>70.299236163789402</v>
      </c>
      <c r="Z593">
        <f>ABS((Y593-H593)/80*100)</f>
        <v>3.2204795263250929E-2</v>
      </c>
      <c r="AH593">
        <f>H593-AG569</f>
        <v>70.1877475</v>
      </c>
      <c r="AI593">
        <f>100*(AH593-O593)/80</f>
        <v>0.23833437500000443</v>
      </c>
    </row>
    <row r="594" spans="1:41" x14ac:dyDescent="0.35">
      <c r="A594" t="s">
        <v>249</v>
      </c>
      <c r="B594" t="s">
        <v>1111</v>
      </c>
      <c r="C594" t="s">
        <v>1195</v>
      </c>
      <c r="D594">
        <v>10</v>
      </c>
      <c r="E594">
        <v>10</v>
      </c>
      <c r="F594">
        <v>1</v>
      </c>
      <c r="G594">
        <v>0.99972300000000003</v>
      </c>
      <c r="H594">
        <v>90.403125000000003</v>
      </c>
      <c r="J594">
        <v>-12268</v>
      </c>
      <c r="N594" t="s">
        <v>158</v>
      </c>
      <c r="O594">
        <f t="shared" si="27"/>
        <v>89.988919999999993</v>
      </c>
      <c r="P594">
        <f t="shared" si="28"/>
        <v>0.51775625000001213</v>
      </c>
      <c r="Q594">
        <f t="shared" si="29"/>
        <v>0.51775625000001213</v>
      </c>
      <c r="Y594">
        <f>TREND(H590:H594,G590:G594,G594)</f>
        <v>90.335004836698587</v>
      </c>
      <c r="Z594">
        <f>ABS((Y594-H594)/80*100)</f>
        <v>8.5150204126769324E-2</v>
      </c>
      <c r="AH594">
        <f>H594-AG569</f>
        <v>90.2658725</v>
      </c>
      <c r="AI594">
        <f>100*(AH594-O594)/80</f>
        <v>0.34619062500000908</v>
      </c>
    </row>
    <row r="595" spans="1:41" x14ac:dyDescent="0.35">
      <c r="A595" t="s">
        <v>249</v>
      </c>
      <c r="B595" t="s">
        <v>1111</v>
      </c>
      <c r="C595" t="s">
        <v>1231</v>
      </c>
      <c r="D595">
        <v>10</v>
      </c>
      <c r="E595">
        <v>10</v>
      </c>
      <c r="F595">
        <v>0</v>
      </c>
      <c r="G595">
        <v>-1.7100000000000001E-4</v>
      </c>
      <c r="H595">
        <v>50.1171875</v>
      </c>
      <c r="J595">
        <v>-12263</v>
      </c>
      <c r="N595" t="s">
        <v>158</v>
      </c>
      <c r="O595">
        <f t="shared" si="27"/>
        <v>49.993159999999996</v>
      </c>
      <c r="P595">
        <f t="shared" si="28"/>
        <v>0.15503437500000494</v>
      </c>
      <c r="Q595">
        <f t="shared" si="29"/>
        <v>0.15503437500000494</v>
      </c>
      <c r="Y595">
        <f>TREND(H590:H594,G590:G594,G595)</f>
        <v>50.251360947131914</v>
      </c>
      <c r="Z595">
        <f>ABS((Y595-H595)/80*100)</f>
        <v>0.16771680891489282</v>
      </c>
      <c r="AH595">
        <f>H595-AG569</f>
        <v>49.979934999999998</v>
      </c>
      <c r="AI595">
        <f>100*(AH595-O595)/80</f>
        <v>-1.653124999999811E-2</v>
      </c>
    </row>
    <row r="596" spans="1:41" x14ac:dyDescent="0.35">
      <c r="A596" t="s">
        <v>249</v>
      </c>
      <c r="B596" t="s">
        <v>1111</v>
      </c>
      <c r="C596" t="s">
        <v>1267</v>
      </c>
      <c r="D596">
        <v>10</v>
      </c>
      <c r="E596">
        <v>10</v>
      </c>
      <c r="F596">
        <v>-1</v>
      </c>
      <c r="G596">
        <v>-0.99984300000000004</v>
      </c>
      <c r="H596">
        <v>10.2015625</v>
      </c>
      <c r="J596">
        <v>-12261</v>
      </c>
      <c r="N596" t="s">
        <v>158</v>
      </c>
      <c r="O596">
        <f t="shared" si="27"/>
        <v>10.006279999999999</v>
      </c>
      <c r="P596">
        <f t="shared" si="28"/>
        <v>0.24410312500000142</v>
      </c>
      <c r="Q596">
        <f t="shared" si="29"/>
        <v>0.24410312500000142</v>
      </c>
      <c r="Y596">
        <f>TREND(H590:H594,G590:G594,G596)</f>
        <v>10.176616569857025</v>
      </c>
      <c r="Z596">
        <f>ABS((Y596-H596)/80*100)</f>
        <v>3.1182412678718571E-2</v>
      </c>
      <c r="AH596">
        <f>H596-AG569</f>
        <v>10.064309999999997</v>
      </c>
      <c r="AI596">
        <f>100*(AH596-O596)/80</f>
        <v>7.2537499999998367E-2</v>
      </c>
    </row>
    <row r="597" spans="1:41" x14ac:dyDescent="0.35">
      <c r="A597" t="s">
        <v>249</v>
      </c>
      <c r="B597" t="s">
        <v>1111</v>
      </c>
      <c r="C597" t="s">
        <v>1304</v>
      </c>
      <c r="D597">
        <v>25</v>
      </c>
      <c r="E597">
        <v>25</v>
      </c>
      <c r="F597">
        <v>-1</v>
      </c>
      <c r="G597">
        <v>-1.0000370000000001</v>
      </c>
      <c r="H597">
        <v>10.012499999999999</v>
      </c>
      <c r="J597">
        <v>-6568</v>
      </c>
      <c r="N597" t="s">
        <v>158</v>
      </c>
      <c r="O597">
        <f t="shared" si="27"/>
        <v>9.9985199999999974</v>
      </c>
      <c r="P597">
        <f t="shared" si="28"/>
        <v>1.747500000000235E-2</v>
      </c>
      <c r="Q597">
        <f t="shared" si="29"/>
        <v>1.747500000000235E-2</v>
      </c>
      <c r="S597">
        <v>50.1</v>
      </c>
      <c r="T597">
        <v>0.13765000000000249</v>
      </c>
      <c r="U597">
        <v>90.387500000000003</v>
      </c>
      <c r="V597">
        <v>0.49852500000000077</v>
      </c>
      <c r="W597">
        <v>80.374996948242185</v>
      </c>
      <c r="X597">
        <f>(W597-80)/80*100</f>
        <v>0.46874618530273082</v>
      </c>
      <c r="Y597">
        <f>TREND(H597:H601,G597:G601,G597)</f>
        <v>9.9441203981582333</v>
      </c>
      <c r="Z597">
        <f>ABS((Y597-H597)/80*100)</f>
        <v>8.5474502302207434E-2</v>
      </c>
      <c r="AA597">
        <f>MAX(Z597:Z601)</f>
        <v>8.5474502302207434E-2</v>
      </c>
      <c r="AB597">
        <f>IF(ABS(MAX(P597:P603)) &gt; ABS(MIN(P597:P603)),MAX(P597:P603), MIN(P597:P603))</f>
        <v>0.49852500000000077</v>
      </c>
      <c r="AC597">
        <f>IF(ABS(AB598)&gt;ABS(AB597),AB598,AB597)</f>
        <v>0.49852500000000077</v>
      </c>
      <c r="AH597">
        <f>H597-AG569</f>
        <v>9.8752474999999968</v>
      </c>
      <c r="AI597">
        <f>100*(AH597-O597)/80</f>
        <v>-0.1540906250000007</v>
      </c>
      <c r="AJ597">
        <v>49.962747499999999</v>
      </c>
      <c r="AK597">
        <v>-3.391562500000056E-2</v>
      </c>
      <c r="AL597">
        <v>90.2502475</v>
      </c>
      <c r="AM597">
        <v>0.32695937499999772</v>
      </c>
      <c r="AN597">
        <f>IF(ABS(MAX(AI597:AI603)) &gt; ABS(MIN(AI597:AI603)),MAX(AI597:AI603), MIN(AI597:AI603))</f>
        <v>0.32695937499999772</v>
      </c>
      <c r="AO597">
        <f>IF(ABS(AN598)&gt;ABS(AN597),AN598,AN597)</f>
        <v>0.32695937499999772</v>
      </c>
    </row>
    <row r="598" spans="1:41" x14ac:dyDescent="0.35">
      <c r="A598" t="s">
        <v>249</v>
      </c>
      <c r="B598" t="s">
        <v>1111</v>
      </c>
      <c r="C598" t="s">
        <v>1340</v>
      </c>
      <c r="D598">
        <v>25</v>
      </c>
      <c r="E598">
        <v>25</v>
      </c>
      <c r="F598">
        <v>-0.5</v>
      </c>
      <c r="G598">
        <v>-0.50015299999999996</v>
      </c>
      <c r="H598">
        <v>29.981249999999999</v>
      </c>
      <c r="J598">
        <v>-6548</v>
      </c>
      <c r="N598" t="s">
        <v>158</v>
      </c>
      <c r="O598">
        <f t="shared" si="27"/>
        <v>29.993880000000001</v>
      </c>
      <c r="P598">
        <f t="shared" si="28"/>
        <v>-1.5787500000001842E-2</v>
      </c>
      <c r="Q598">
        <f t="shared" si="29"/>
        <v>1.5787500000001842E-2</v>
      </c>
      <c r="Y598">
        <f>TREND(H597:H601,G597:G601,G598)</f>
        <v>30.047108834452708</v>
      </c>
      <c r="Z598">
        <f>ABS((Y598-H598)/80*100)</f>
        <v>8.2323543065885296E-2</v>
      </c>
      <c r="AB598">
        <f>IF(ABS(T597) &gt; ABS(V597),T597,V597)</f>
        <v>0.49852500000000077</v>
      </c>
      <c r="AH598">
        <f>H598-AG569</f>
        <v>29.843997499999997</v>
      </c>
      <c r="AI598">
        <f>100*(AH598-O598)/80</f>
        <v>-0.18735312500000489</v>
      </c>
      <c r="AN598">
        <f>IF(ABS(AK597) &gt; ABS(AM597),AK597,AM597)</f>
        <v>0.32695937499999772</v>
      </c>
    </row>
    <row r="599" spans="1:41" x14ac:dyDescent="0.35">
      <c r="A599" t="s">
        <v>249</v>
      </c>
      <c r="B599" t="s">
        <v>1111</v>
      </c>
      <c r="C599" t="s">
        <v>1376</v>
      </c>
      <c r="D599">
        <v>25</v>
      </c>
      <c r="E599">
        <v>25</v>
      </c>
      <c r="F599">
        <v>0</v>
      </c>
      <c r="G599">
        <v>-2.5300000000000002E-4</v>
      </c>
      <c r="H599">
        <v>50.1</v>
      </c>
      <c r="J599">
        <v>-6537</v>
      </c>
      <c r="N599" t="s">
        <v>158</v>
      </c>
      <c r="O599">
        <f t="shared" si="27"/>
        <v>49.989879999999999</v>
      </c>
      <c r="P599">
        <f t="shared" si="28"/>
        <v>0.13765000000000249</v>
      </c>
      <c r="Q599">
        <f t="shared" si="29"/>
        <v>0.13765000000000249</v>
      </c>
      <c r="Y599">
        <f>TREND(H597:H601,G597:G601,G599)</f>
        <v>50.150740715656347</v>
      </c>
      <c r="Z599">
        <f>ABS((Y599-H599)/80*100)</f>
        <v>6.3425894570432462E-2</v>
      </c>
      <c r="AH599">
        <f>H599-AG569</f>
        <v>49.962747499999999</v>
      </c>
      <c r="AI599">
        <f>100*(AH599-O599)/80</f>
        <v>-3.391562500000056E-2</v>
      </c>
    </row>
    <row r="600" spans="1:41" x14ac:dyDescent="0.35">
      <c r="A600" t="s">
        <v>249</v>
      </c>
      <c r="B600" t="s">
        <v>1111</v>
      </c>
      <c r="C600" t="s">
        <v>1413</v>
      </c>
      <c r="D600">
        <v>25</v>
      </c>
      <c r="E600">
        <v>25</v>
      </c>
      <c r="F600">
        <v>0.5</v>
      </c>
      <c r="G600">
        <v>0.49987399999999999</v>
      </c>
      <c r="H600">
        <v>70.2890625</v>
      </c>
      <c r="J600">
        <v>-6520</v>
      </c>
      <c r="N600" t="s">
        <v>158</v>
      </c>
      <c r="O600">
        <f t="shared" si="27"/>
        <v>69.994959999999992</v>
      </c>
      <c r="P600">
        <f t="shared" si="28"/>
        <v>0.36762812500001019</v>
      </c>
      <c r="Q600">
        <f t="shared" si="29"/>
        <v>0.36762812500001019</v>
      </c>
      <c r="Y600">
        <f>TREND(H597:H601,G597:G601,G600)</f>
        <v>70.263501471508988</v>
      </c>
      <c r="Z600">
        <f>ABS((Y600-H600)/80*100)</f>
        <v>3.1951285613764924E-2</v>
      </c>
      <c r="AH600">
        <f>H600-AG569</f>
        <v>70.151809999999998</v>
      </c>
      <c r="AI600">
        <f>100*(AH600-O600)/80</f>
        <v>0.19606250000000713</v>
      </c>
    </row>
    <row r="601" spans="1:41" x14ac:dyDescent="0.35">
      <c r="A601" t="s">
        <v>249</v>
      </c>
      <c r="B601" t="s">
        <v>1111</v>
      </c>
      <c r="C601" t="s">
        <v>1450</v>
      </c>
      <c r="D601">
        <v>25</v>
      </c>
      <c r="E601">
        <v>25</v>
      </c>
      <c r="F601">
        <v>1</v>
      </c>
      <c r="G601">
        <v>0.99971699999999997</v>
      </c>
      <c r="H601">
        <v>90.387500000000003</v>
      </c>
      <c r="J601">
        <v>-6497</v>
      </c>
      <c r="N601" t="s">
        <v>158</v>
      </c>
      <c r="O601">
        <f t="shared" si="27"/>
        <v>89.988680000000002</v>
      </c>
      <c r="P601">
        <f t="shared" si="28"/>
        <v>0.49852500000000077</v>
      </c>
      <c r="Q601">
        <f t="shared" si="29"/>
        <v>0.49852500000000077</v>
      </c>
      <c r="Y601">
        <f>TREND(H597:H601,G597:G601,G601)</f>
        <v>90.364841080223684</v>
      </c>
      <c r="Z601">
        <f>ABS((Y601-H601)/80*100)</f>
        <v>2.8323649720398695E-2</v>
      </c>
      <c r="AH601">
        <f>H601-AG569</f>
        <v>90.2502475</v>
      </c>
      <c r="AI601">
        <f>100*(AH601-O601)/80</f>
        <v>0.32695937499999772</v>
      </c>
    </row>
    <row r="602" spans="1:41" x14ac:dyDescent="0.35">
      <c r="A602" t="s">
        <v>249</v>
      </c>
      <c r="B602" t="s">
        <v>1111</v>
      </c>
      <c r="C602" t="s">
        <v>1486</v>
      </c>
      <c r="D602">
        <v>25</v>
      </c>
      <c r="E602">
        <v>25</v>
      </c>
      <c r="F602">
        <v>0</v>
      </c>
      <c r="G602">
        <v>1.7200000000000001E-4</v>
      </c>
      <c r="H602">
        <v>50</v>
      </c>
      <c r="J602">
        <v>-6486</v>
      </c>
      <c r="N602" t="s">
        <v>158</v>
      </c>
      <c r="O602">
        <f t="shared" si="27"/>
        <v>50.006880000000002</v>
      </c>
      <c r="P602">
        <f t="shared" si="28"/>
        <v>-8.6000000000030496E-3</v>
      </c>
      <c r="Q602">
        <f t="shared" si="29"/>
        <v>8.6000000000030496E-3</v>
      </c>
      <c r="Y602">
        <f>TREND(H597:H601,G597:G601,G602)</f>
        <v>50.16783222105645</v>
      </c>
      <c r="Z602">
        <f>ABS((Y602-H602)/80*100)</f>
        <v>0.2097902763205628</v>
      </c>
      <c r="AH602">
        <f>H602-AG569</f>
        <v>49.862747499999998</v>
      </c>
      <c r="AI602">
        <f>100*(AH602-O602)/80</f>
        <v>-0.1801656250000061</v>
      </c>
    </row>
    <row r="603" spans="1:41" x14ac:dyDescent="0.35">
      <c r="A603" t="s">
        <v>249</v>
      </c>
      <c r="B603" t="s">
        <v>1111</v>
      </c>
      <c r="C603" t="s">
        <v>1523</v>
      </c>
      <c r="D603">
        <v>25</v>
      </c>
      <c r="E603">
        <v>25</v>
      </c>
      <c r="F603">
        <v>-1</v>
      </c>
      <c r="G603">
        <v>-0.999942</v>
      </c>
      <c r="H603">
        <v>10.106249999999999</v>
      </c>
      <c r="J603">
        <v>-6471</v>
      </c>
      <c r="N603" t="s">
        <v>158</v>
      </c>
      <c r="O603">
        <f t="shared" si="27"/>
        <v>10.002320000000001</v>
      </c>
      <c r="P603">
        <f t="shared" si="28"/>
        <v>0.12991249999999788</v>
      </c>
      <c r="Q603">
        <f t="shared" si="29"/>
        <v>0.12991249999999788</v>
      </c>
      <c r="Y603">
        <f>TREND(H597:H601,G597:G601,G603)</f>
        <v>9.9479408523064947</v>
      </c>
      <c r="Z603">
        <f>ABS((Y603-H603)/80*100)</f>
        <v>0.19788643461688071</v>
      </c>
      <c r="AH603">
        <f>H603-AG569</f>
        <v>9.9689974999999968</v>
      </c>
      <c r="AI603">
        <f>100*(AH603-O603)/80</f>
        <v>-4.1653125000005176E-2</v>
      </c>
    </row>
    <row r="604" spans="1:41" x14ac:dyDescent="0.35">
      <c r="A604" t="s">
        <v>249</v>
      </c>
      <c r="B604" t="s">
        <v>1111</v>
      </c>
      <c r="C604" t="s">
        <v>1560</v>
      </c>
      <c r="D604">
        <v>50</v>
      </c>
      <c r="E604">
        <v>50</v>
      </c>
      <c r="F604">
        <v>-1</v>
      </c>
      <c r="G604">
        <v>-0.99991300000000005</v>
      </c>
      <c r="H604">
        <v>10.081250000000001</v>
      </c>
      <c r="J604">
        <v>2920</v>
      </c>
      <c r="N604" t="s">
        <v>158</v>
      </c>
      <c r="O604">
        <f t="shared" si="27"/>
        <v>10.003479999999998</v>
      </c>
      <c r="P604">
        <f t="shared" si="28"/>
        <v>9.7212500000003477E-2</v>
      </c>
      <c r="Q604">
        <f t="shared" si="29"/>
        <v>9.7212500000003477E-2</v>
      </c>
      <c r="S604">
        <v>50.126562499999999</v>
      </c>
      <c r="T604">
        <v>0.15915312499999779</v>
      </c>
      <c r="U604">
        <v>90.2265625</v>
      </c>
      <c r="V604">
        <v>0.28395312499998937</v>
      </c>
      <c r="W604">
        <v>80.145312500000003</v>
      </c>
      <c r="X604">
        <f>(W604-80)/80*100</f>
        <v>0.18164062500000355</v>
      </c>
      <c r="Y604">
        <f>TREND(H604:H608,G604:G608,G604)</f>
        <v>10.044100810425711</v>
      </c>
      <c r="Z604">
        <f>ABS((Y604-H604)/80*100)</f>
        <v>4.64364869678624E-2</v>
      </c>
      <c r="AA604">
        <f>MAX(Z604:Z608)</f>
        <v>6.7963164237423435E-2</v>
      </c>
      <c r="AB604">
        <f>IF(ABS(MAX(P604:P610)) &gt; ABS(MIN(P604:P610)),MAX(P604:P610), MIN(P604:P610))</f>
        <v>0.28395312499998937</v>
      </c>
      <c r="AC604">
        <f>IF(ABS(AB605)&gt;ABS(AB604),AB605,AB604)</f>
        <v>0.28395312499998937</v>
      </c>
      <c r="AH604">
        <f>H604-AG569</f>
        <v>9.9439974999999983</v>
      </c>
      <c r="AI604">
        <f>100*(AH604-O604)/80</f>
        <v>-7.4353124999999576E-2</v>
      </c>
      <c r="AJ604">
        <v>49.989309999999996</v>
      </c>
      <c r="AK604">
        <v>-1.2412500000005267E-2</v>
      </c>
      <c r="AL604">
        <v>90.089309999999998</v>
      </c>
      <c r="AM604">
        <v>0.11238749999998632</v>
      </c>
      <c r="AN604">
        <f>IF(ABS(MAX(AI604:AI610)) &gt; ABS(MIN(AI604:AI610)),MAX(AI604:AI610), MIN(AI604:AI610))</f>
        <v>-0.12809687500000333</v>
      </c>
      <c r="AO604">
        <f>IF(ABS(AN605)&gt;ABS(AN604),AN605,AN604)</f>
        <v>-0.12809687500000333</v>
      </c>
    </row>
    <row r="605" spans="1:41" x14ac:dyDescent="0.35">
      <c r="A605" t="s">
        <v>249</v>
      </c>
      <c r="B605" t="s">
        <v>1111</v>
      </c>
      <c r="C605" t="s">
        <v>1596</v>
      </c>
      <c r="D605">
        <v>50</v>
      </c>
      <c r="E605">
        <v>50</v>
      </c>
      <c r="F605">
        <v>-0.5</v>
      </c>
      <c r="G605">
        <v>-0.50063500000000005</v>
      </c>
      <c r="H605">
        <v>30.009374999999999</v>
      </c>
      <c r="J605">
        <v>2949</v>
      </c>
      <c r="N605" t="s">
        <v>158</v>
      </c>
      <c r="O605">
        <f t="shared" si="27"/>
        <v>29.974599999999999</v>
      </c>
      <c r="P605">
        <f t="shared" si="28"/>
        <v>4.3468749999999723E-2</v>
      </c>
      <c r="Q605">
        <f t="shared" si="29"/>
        <v>4.3468749999999723E-2</v>
      </c>
      <c r="Y605">
        <f>TREND(H604:H608,G604:G608,G605)</f>
        <v>30.063745531389937</v>
      </c>
      <c r="Z605">
        <f>ABS((Y605-H605)/80*100)</f>
        <v>6.7963164237423435E-2</v>
      </c>
      <c r="AB605">
        <f>IF(ABS(T604) &gt; ABS(V604),T604,V604)</f>
        <v>0.28395312499998937</v>
      </c>
      <c r="AH605">
        <f>H605-AG569</f>
        <v>29.872122499999996</v>
      </c>
      <c r="AI605">
        <f>100*(AH605-O605)/80</f>
        <v>-0.12809687500000333</v>
      </c>
      <c r="AN605">
        <f>IF(ABS(AK604) &gt; ABS(AM604),AK604,AM604)</f>
        <v>0.11238749999998632</v>
      </c>
    </row>
    <row r="606" spans="1:41" x14ac:dyDescent="0.35">
      <c r="A606" t="s">
        <v>249</v>
      </c>
      <c r="B606" t="s">
        <v>1111</v>
      </c>
      <c r="C606" t="s">
        <v>1634</v>
      </c>
      <c r="D606">
        <v>50</v>
      </c>
      <c r="E606">
        <v>50</v>
      </c>
      <c r="F606">
        <v>0</v>
      </c>
      <c r="G606">
        <v>-1.9000000000000001E-5</v>
      </c>
      <c r="H606">
        <v>50.126562499999999</v>
      </c>
      <c r="J606">
        <v>2981</v>
      </c>
      <c r="N606" t="s">
        <v>158</v>
      </c>
      <c r="O606">
        <f t="shared" si="27"/>
        <v>49.99924</v>
      </c>
      <c r="P606">
        <f t="shared" si="28"/>
        <v>0.15915312499999779</v>
      </c>
      <c r="Q606">
        <f t="shared" si="29"/>
        <v>0.15915312499999779</v>
      </c>
      <c r="Y606">
        <f>TREND(H604:H608,G604:G608,G606)</f>
        <v>50.137040292285121</v>
      </c>
      <c r="Z606">
        <f>ABS((Y606-H606)/80*100)</f>
        <v>1.3097240356403363E-2</v>
      </c>
      <c r="AH606">
        <f>H606-AG569</f>
        <v>49.989309999999996</v>
      </c>
      <c r="AI606">
        <f>100*(AH606-O606)/80</f>
        <v>-1.2412500000005267E-2</v>
      </c>
    </row>
    <row r="607" spans="1:41" x14ac:dyDescent="0.35">
      <c r="A607" t="s">
        <v>249</v>
      </c>
      <c r="B607" t="s">
        <v>1111</v>
      </c>
      <c r="C607" t="s">
        <v>1670</v>
      </c>
      <c r="D607">
        <v>50</v>
      </c>
      <c r="E607">
        <v>50</v>
      </c>
      <c r="F607">
        <v>0.5</v>
      </c>
      <c r="G607">
        <v>0.499726</v>
      </c>
      <c r="H607">
        <v>70.2109375</v>
      </c>
      <c r="J607">
        <v>3018</v>
      </c>
      <c r="N607" t="s">
        <v>158</v>
      </c>
      <c r="O607">
        <f t="shared" si="27"/>
        <v>69.989039999999989</v>
      </c>
      <c r="P607">
        <f t="shared" si="28"/>
        <v>0.27737187500001426</v>
      </c>
      <c r="Q607">
        <f t="shared" si="29"/>
        <v>0.27737187500001426</v>
      </c>
      <c r="Y607">
        <f>TREND(H604:H608,G604:G608,G607)</f>
        <v>70.175410400878462</v>
      </c>
      <c r="Z607">
        <f>ABS((Y607-H607)/80*100)</f>
        <v>4.4408873901922163E-2</v>
      </c>
      <c r="AH607">
        <f>H607-AG569</f>
        <v>70.073684999999998</v>
      </c>
      <c r="AI607">
        <f>100*(AH607-O607)/80</f>
        <v>0.1058062500000112</v>
      </c>
    </row>
    <row r="608" spans="1:41" x14ac:dyDescent="0.35">
      <c r="A608" t="s">
        <v>249</v>
      </c>
      <c r="B608" t="s">
        <v>1111</v>
      </c>
      <c r="C608" t="s">
        <v>1707</v>
      </c>
      <c r="D608">
        <v>50</v>
      </c>
      <c r="E608">
        <v>50</v>
      </c>
      <c r="F608">
        <v>1</v>
      </c>
      <c r="G608">
        <v>0.99998500000000001</v>
      </c>
      <c r="H608">
        <v>90.2265625</v>
      </c>
      <c r="J608">
        <v>3041</v>
      </c>
      <c r="N608" t="s">
        <v>158</v>
      </c>
      <c r="O608">
        <f t="shared" si="27"/>
        <v>89.999400000000009</v>
      </c>
      <c r="P608">
        <f t="shared" si="28"/>
        <v>0.28395312499998937</v>
      </c>
      <c r="Q608">
        <f t="shared" si="29"/>
        <v>0.28395312499998937</v>
      </c>
      <c r="Y608">
        <f>TREND(H604:H608,G604:G608,G608)</f>
        <v>90.234390465020766</v>
      </c>
      <c r="Z608">
        <f>ABS((Y608-H608)/80*100)</f>
        <v>9.784956275957768E-3</v>
      </c>
      <c r="AH608">
        <f>H608-AG569</f>
        <v>90.089309999999998</v>
      </c>
      <c r="AI608">
        <f>100*(AH608-O608)/80</f>
        <v>0.11238749999998632</v>
      </c>
    </row>
    <row r="609" spans="1:41" x14ac:dyDescent="0.35">
      <c r="A609" t="s">
        <v>249</v>
      </c>
      <c r="B609" t="s">
        <v>1111</v>
      </c>
      <c r="C609" t="s">
        <v>1744</v>
      </c>
      <c r="D609">
        <v>50</v>
      </c>
      <c r="E609">
        <v>50</v>
      </c>
      <c r="F609">
        <v>0</v>
      </c>
      <c r="G609">
        <v>-1.1900000000000001E-4</v>
      </c>
      <c r="H609">
        <v>50.1484375</v>
      </c>
      <c r="J609">
        <v>3071</v>
      </c>
      <c r="N609" t="s">
        <v>158</v>
      </c>
      <c r="O609">
        <f t="shared" si="27"/>
        <v>49.995240000000003</v>
      </c>
      <c r="P609">
        <f t="shared" si="28"/>
        <v>0.19149687499999679</v>
      </c>
      <c r="Q609">
        <f t="shared" si="29"/>
        <v>0.19149687499999679</v>
      </c>
      <c r="Y609">
        <f>TREND(H604:H608,G604:G608,G609)</f>
        <v>50.133030573306726</v>
      </c>
      <c r="Z609">
        <f>ABS((Y609-H609)/80*100)</f>
        <v>1.925865836659213E-2</v>
      </c>
      <c r="AH609">
        <f>H609-AG569</f>
        <v>50.011184999999998</v>
      </c>
      <c r="AI609">
        <f>100*(AH609-O609)/80</f>
        <v>1.9931249999993739E-2</v>
      </c>
    </row>
    <row r="610" spans="1:41" x14ac:dyDescent="0.35">
      <c r="A610" t="s">
        <v>249</v>
      </c>
      <c r="B610" t="s">
        <v>1111</v>
      </c>
      <c r="C610" t="s">
        <v>1780</v>
      </c>
      <c r="D610">
        <v>50</v>
      </c>
      <c r="E610">
        <v>50</v>
      </c>
      <c r="F610">
        <v>-1</v>
      </c>
      <c r="G610">
        <v>-1.000359</v>
      </c>
      <c r="H610">
        <v>10.143750000000001</v>
      </c>
      <c r="J610">
        <v>3106</v>
      </c>
      <c r="N610" t="s">
        <v>158</v>
      </c>
      <c r="O610">
        <f t="shared" si="27"/>
        <v>9.9856400000000001</v>
      </c>
      <c r="P610">
        <f t="shared" si="28"/>
        <v>0.1976375000000008</v>
      </c>
      <c r="Q610">
        <f t="shared" si="29"/>
        <v>0.1976375000000008</v>
      </c>
      <c r="Y610">
        <f>TREND(H604:H608,G604:G608,G610)</f>
        <v>10.026217463782061</v>
      </c>
      <c r="Z610">
        <f>ABS((Y610-H610)/80*100)</f>
        <v>0.14691567027242503</v>
      </c>
      <c r="AH610">
        <f>H610-AG569</f>
        <v>10.006497499999998</v>
      </c>
      <c r="AI610">
        <f>100*(AH610-O610)/80</f>
        <v>2.6071874999997746E-2</v>
      </c>
    </row>
    <row r="611" spans="1:41" x14ac:dyDescent="0.35">
      <c r="A611" t="s">
        <v>249</v>
      </c>
      <c r="B611" t="s">
        <v>1111</v>
      </c>
      <c r="C611" t="s">
        <v>1818</v>
      </c>
      <c r="D611">
        <v>70</v>
      </c>
      <c r="E611">
        <v>70</v>
      </c>
      <c r="F611">
        <v>-1</v>
      </c>
      <c r="G611">
        <v>-1.0003930000000001</v>
      </c>
      <c r="H611">
        <v>10.265625</v>
      </c>
      <c r="J611">
        <v>10773</v>
      </c>
      <c r="N611" t="s">
        <v>158</v>
      </c>
      <c r="O611">
        <f t="shared" si="27"/>
        <v>9.9842799999999965</v>
      </c>
      <c r="P611">
        <f t="shared" si="28"/>
        <v>0.35168125000000439</v>
      </c>
      <c r="Q611">
        <f t="shared" si="29"/>
        <v>0.35168125000000439</v>
      </c>
      <c r="S611">
        <v>50.246875000000003</v>
      </c>
      <c r="T611">
        <v>0.30974375000000443</v>
      </c>
      <c r="U611">
        <v>90.123437499999994</v>
      </c>
      <c r="V611">
        <v>0.17949687499998035</v>
      </c>
      <c r="W611">
        <v>79.857810974121094</v>
      </c>
      <c r="X611">
        <f>(W611-80)/80*100</f>
        <v>-0.17773628234863281</v>
      </c>
      <c r="Y611">
        <f>TREND(H611:H615,G611:G615,G611)</f>
        <v>10.261551009762869</v>
      </c>
      <c r="Z611">
        <f>ABS((Y611-H611)/80*100)</f>
        <v>5.0924877964142468E-3</v>
      </c>
      <c r="AA611">
        <f>MAX(Z611:Z615)</f>
        <v>5.4359601014475345E-2</v>
      </c>
      <c r="AB611">
        <f>IF(ABS(MAX(P611:P617)) &gt; ABS(MIN(P611:P617)),MAX(P611:P617), MIN(P611:P617))</f>
        <v>0.35290937499999453</v>
      </c>
      <c r="AC611">
        <f>IF(ABS(AB612)&gt;ABS(AB611),AB612,AB611)</f>
        <v>0.35290937499999453</v>
      </c>
      <c r="AH611">
        <f>H611-AG569</f>
        <v>10.128372499999998</v>
      </c>
      <c r="AI611">
        <f>100*(AH611-O611)/80</f>
        <v>0.18011562500000133</v>
      </c>
      <c r="AJ611">
        <v>50.1096225</v>
      </c>
      <c r="AK611">
        <v>0.13817812500000137</v>
      </c>
      <c r="AL611">
        <v>89.986184999999992</v>
      </c>
      <c r="AM611">
        <v>7.9312499999772967E-3</v>
      </c>
      <c r="AN611">
        <f>IF(ABS(MAX(AI611:AI617)) &gt; ABS(MIN(AI611:AI617)),MAX(AI611:AI617), MIN(AI611:AI617))</f>
        <v>0.18134374999999148</v>
      </c>
      <c r="AO611">
        <f>IF(ABS(AN612)&gt;ABS(AN611),AN612,AN611)</f>
        <v>0.18134374999999148</v>
      </c>
    </row>
    <row r="612" spans="1:41" x14ac:dyDescent="0.35">
      <c r="A612" t="s">
        <v>249</v>
      </c>
      <c r="B612" t="s">
        <v>1111</v>
      </c>
      <c r="C612" t="s">
        <v>1855</v>
      </c>
      <c r="D612">
        <v>70</v>
      </c>
      <c r="E612">
        <v>70</v>
      </c>
      <c r="F612">
        <v>-0.5</v>
      </c>
      <c r="G612">
        <v>-0.50020299999999995</v>
      </c>
      <c r="H612">
        <v>30.2109375</v>
      </c>
      <c r="J612">
        <v>10808</v>
      </c>
      <c r="N612" t="s">
        <v>158</v>
      </c>
      <c r="O612">
        <f t="shared" si="27"/>
        <v>29.991880000000002</v>
      </c>
      <c r="P612">
        <f t="shared" si="28"/>
        <v>0.27382187499999766</v>
      </c>
      <c r="Q612">
        <f t="shared" si="29"/>
        <v>0.27382187499999766</v>
      </c>
      <c r="Y612">
        <f>TREND(H611:H615,G611:G615,G612)</f>
        <v>30.244315995346714</v>
      </c>
      <c r="Z612">
        <f>ABS((Y612-H612)/80*100)</f>
        <v>4.1723119183392221E-2</v>
      </c>
      <c r="AB612">
        <f>IF(ABS(T611) &gt; ABS(V611),T611,V611)</f>
        <v>0.30974375000000443</v>
      </c>
      <c r="AH612">
        <f>H612-AG569</f>
        <v>30.073684999999998</v>
      </c>
      <c r="AI612">
        <f>100*(AH612-O612)/80</f>
        <v>0.10225624999999461</v>
      </c>
      <c r="AN612">
        <f>IF(ABS(AK611) &gt; ABS(AM611),AK611,AM611)</f>
        <v>0.13817812500000137</v>
      </c>
    </row>
    <row r="613" spans="1:41" x14ac:dyDescent="0.35">
      <c r="A613" t="s">
        <v>249</v>
      </c>
      <c r="B613" t="s">
        <v>1111</v>
      </c>
      <c r="C613" t="s">
        <v>1891</v>
      </c>
      <c r="D613">
        <v>70</v>
      </c>
      <c r="E613">
        <v>70</v>
      </c>
      <c r="F613">
        <v>0</v>
      </c>
      <c r="G613">
        <v>-2.3E-5</v>
      </c>
      <c r="H613">
        <v>50.246875000000003</v>
      </c>
      <c r="J613">
        <v>10834</v>
      </c>
      <c r="N613" t="s">
        <v>158</v>
      </c>
      <c r="O613">
        <f t="shared" si="27"/>
        <v>49.999079999999999</v>
      </c>
      <c r="P613">
        <f t="shared" si="28"/>
        <v>0.30974375000000443</v>
      </c>
      <c r="Q613">
        <f t="shared" si="29"/>
        <v>0.30974375000000443</v>
      </c>
      <c r="Y613">
        <f>TREND(H611:H615,G611:G615,G613)</f>
        <v>50.226681477442163</v>
      </c>
      <c r="Z613">
        <f>ABS((Y613-H613)/80*100)</f>
        <v>2.5241903197299465E-2</v>
      </c>
      <c r="AH613">
        <f>H613-AG569</f>
        <v>50.1096225</v>
      </c>
      <c r="AI613">
        <f>100*(AH613-O613)/80</f>
        <v>0.13817812500000137</v>
      </c>
    </row>
    <row r="614" spans="1:41" x14ac:dyDescent="0.35">
      <c r="A614" t="s">
        <v>249</v>
      </c>
      <c r="B614" t="s">
        <v>1111</v>
      </c>
      <c r="C614" t="s">
        <v>1927</v>
      </c>
      <c r="D614">
        <v>70</v>
      </c>
      <c r="E614">
        <v>70</v>
      </c>
      <c r="F614">
        <v>0.5</v>
      </c>
      <c r="G614">
        <v>0.49989800000000001</v>
      </c>
      <c r="H614">
        <v>70.2421875</v>
      </c>
      <c r="J614">
        <v>10870</v>
      </c>
      <c r="N614" t="s">
        <v>158</v>
      </c>
      <c r="O614">
        <f t="shared" si="27"/>
        <v>69.995919999999998</v>
      </c>
      <c r="P614">
        <f t="shared" si="28"/>
        <v>0.30783437500000232</v>
      </c>
      <c r="Q614">
        <f t="shared" si="29"/>
        <v>0.30783437500000232</v>
      </c>
      <c r="Y614">
        <f>TREND(H611:H615,G611:G615,G614)</f>
        <v>70.19869981918842</v>
      </c>
      <c r="Z614">
        <f>ABS((Y614-H614)/80*100)</f>
        <v>5.4359601014475345E-2</v>
      </c>
      <c r="AH614">
        <f>H614-AG569</f>
        <v>70.104934999999998</v>
      </c>
      <c r="AI614">
        <f>100*(AH614-O614)/80</f>
        <v>0.13626874999999927</v>
      </c>
    </row>
    <row r="615" spans="1:41" x14ac:dyDescent="0.35">
      <c r="A615" t="s">
        <v>249</v>
      </c>
      <c r="B615" t="s">
        <v>1111</v>
      </c>
      <c r="C615" t="s">
        <v>1964</v>
      </c>
      <c r="D615">
        <v>70</v>
      </c>
      <c r="E615">
        <v>70</v>
      </c>
      <c r="F615">
        <v>1</v>
      </c>
      <c r="G615">
        <v>0.99949600000000005</v>
      </c>
      <c r="H615">
        <v>90.123437499999994</v>
      </c>
      <c r="J615">
        <v>10896</v>
      </c>
      <c r="N615" t="s">
        <v>158</v>
      </c>
      <c r="O615">
        <f t="shared" si="27"/>
        <v>89.97984000000001</v>
      </c>
      <c r="P615">
        <f t="shared" si="28"/>
        <v>0.17949687499998035</v>
      </c>
      <c r="Q615">
        <f t="shared" si="29"/>
        <v>0.17949687499998035</v>
      </c>
      <c r="Y615">
        <f>TREND(H611:H615,G611:G615,G615)</f>
        <v>90.157814198259814</v>
      </c>
      <c r="Z615">
        <f>ABS((Y615-H615)/80*100)</f>
        <v>4.2970872824774631E-2</v>
      </c>
      <c r="AH615">
        <f>H615-AG569</f>
        <v>89.986184999999992</v>
      </c>
      <c r="AI615">
        <f>100*(AH615-O615)/80</f>
        <v>7.9312499999772967E-3</v>
      </c>
    </row>
    <row r="616" spans="1:41" x14ac:dyDescent="0.35">
      <c r="A616" t="s">
        <v>249</v>
      </c>
      <c r="B616" t="s">
        <v>1111</v>
      </c>
      <c r="C616" t="s">
        <v>2000</v>
      </c>
      <c r="D616">
        <v>70</v>
      </c>
      <c r="E616">
        <v>70</v>
      </c>
      <c r="F616">
        <v>0</v>
      </c>
      <c r="G616">
        <v>-4.0999999999999999E-4</v>
      </c>
      <c r="H616">
        <v>50.239062500000003</v>
      </c>
      <c r="J616">
        <v>10913</v>
      </c>
      <c r="N616" t="s">
        <v>158</v>
      </c>
      <c r="O616">
        <f t="shared" si="27"/>
        <v>49.983599999999996</v>
      </c>
      <c r="P616">
        <f t="shared" si="28"/>
        <v>0.31932812500000907</v>
      </c>
      <c r="Q616">
        <f t="shared" si="29"/>
        <v>0.31932812500000907</v>
      </c>
      <c r="Y616">
        <f>TREND(H611:H615,G611:G615,G616)</f>
        <v>50.211220692441621</v>
      </c>
      <c r="Z616">
        <f>ABS((Y616-H616)/80*100)</f>
        <v>3.480225944797688E-2</v>
      </c>
      <c r="AH616">
        <f>H616-AG569</f>
        <v>50.10181</v>
      </c>
      <c r="AI616">
        <f>100*(AH616-O616)/80</f>
        <v>0.14776250000000601</v>
      </c>
    </row>
    <row r="617" spans="1:41" x14ac:dyDescent="0.35">
      <c r="A617" t="s">
        <v>249</v>
      </c>
      <c r="B617" t="s">
        <v>1111</v>
      </c>
      <c r="C617" t="s">
        <v>2037</v>
      </c>
      <c r="D617">
        <v>70</v>
      </c>
      <c r="E617">
        <v>70</v>
      </c>
      <c r="F617">
        <v>-1</v>
      </c>
      <c r="G617">
        <v>-1.0000659999999999</v>
      </c>
      <c r="H617">
        <v>10.2796875</v>
      </c>
      <c r="J617">
        <v>10944</v>
      </c>
      <c r="N617" t="s">
        <v>158</v>
      </c>
      <c r="O617">
        <f t="shared" si="27"/>
        <v>9.997360000000004</v>
      </c>
      <c r="P617">
        <f t="shared" si="28"/>
        <v>0.35290937499999453</v>
      </c>
      <c r="Q617">
        <f t="shared" si="29"/>
        <v>0.35290937499999453</v>
      </c>
      <c r="Y617">
        <f>TREND(H611:H615,G611:G615,G617)</f>
        <v>10.2746147738331</v>
      </c>
      <c r="Z617">
        <f>ABS((Y617-H617)/80*100)</f>
        <v>6.3409077086240551E-3</v>
      </c>
      <c r="AH617">
        <f>H617-AG569</f>
        <v>10.142434999999997</v>
      </c>
      <c r="AI617">
        <f>100*(AH617-O617)/80</f>
        <v>0.18134374999999148</v>
      </c>
    </row>
    <row r="618" spans="1:41" x14ac:dyDescent="0.35">
      <c r="A618" t="s">
        <v>249</v>
      </c>
      <c r="B618" t="s">
        <v>1111</v>
      </c>
      <c r="C618" t="s">
        <v>2073</v>
      </c>
      <c r="D618">
        <v>85</v>
      </c>
      <c r="E618">
        <v>85</v>
      </c>
      <c r="F618">
        <v>-1</v>
      </c>
      <c r="G618">
        <v>-1.0001230000000001</v>
      </c>
      <c r="H618">
        <v>10.4140625</v>
      </c>
      <c r="J618">
        <v>16715</v>
      </c>
      <c r="N618" t="s">
        <v>158</v>
      </c>
      <c r="O618">
        <f t="shared" si="27"/>
        <v>9.9950799999999962</v>
      </c>
      <c r="P618">
        <f t="shared" si="28"/>
        <v>0.52372812500000476</v>
      </c>
      <c r="Q618">
        <f t="shared" si="29"/>
        <v>0.52372812500000476</v>
      </c>
      <c r="S618">
        <v>50.364062500000003</v>
      </c>
      <c r="T618">
        <v>0.46257812500000384</v>
      </c>
      <c r="U618">
        <v>90.057812499999997</v>
      </c>
      <c r="V618">
        <v>7.3915624999987273E-2</v>
      </c>
      <c r="W618">
        <v>79.643753051757813</v>
      </c>
      <c r="X618">
        <f>(W618-80)/80*100</f>
        <v>-0.44530868530273432</v>
      </c>
      <c r="Y618">
        <f>TREND(H618:H622,G618:G622,G618)</f>
        <v>10.446585626131224</v>
      </c>
      <c r="Z618">
        <f>ABS((Y618-H618)/80*100)</f>
        <v>4.0653907664029987E-2</v>
      </c>
      <c r="AA618">
        <f>MAX(Z618:Z622)</f>
        <v>0.1142276574667811</v>
      </c>
      <c r="AB618">
        <f>IF(ABS(MAX(P618:P624)) &gt; ABS(MIN(P618:P624)),MAX(P618:P624), MIN(P618:P624))</f>
        <v>0.6534062499999993</v>
      </c>
      <c r="AC618">
        <f>IF(ABS(AB619)&gt;ABS(AB618),AB619,AB618)</f>
        <v>0.6534062499999993</v>
      </c>
      <c r="AH618">
        <f>H618-AG569</f>
        <v>10.276809999999998</v>
      </c>
      <c r="AI618">
        <f>100*(AH618-O618)/80</f>
        <v>0.35216250000000171</v>
      </c>
      <c r="AJ618">
        <v>50.22681</v>
      </c>
      <c r="AK618">
        <v>0.29101250000000078</v>
      </c>
      <c r="AL618">
        <v>89.920559999999995</v>
      </c>
      <c r="AM618">
        <v>-9.765000000001578E-2</v>
      </c>
      <c r="AN618">
        <f>IF(ABS(MAX(AI618:AI624)) &gt; ABS(MIN(AI618:AI624)),MAX(AI618:AI624), MIN(AI618:AI624))</f>
        <v>0.48184062499999625</v>
      </c>
      <c r="AO618">
        <f>IF(ABS(AN619)&gt;ABS(AN618),AN619,AN618)</f>
        <v>0.48184062499999625</v>
      </c>
    </row>
    <row r="619" spans="1:41" x14ac:dyDescent="0.35">
      <c r="A619" t="s">
        <v>249</v>
      </c>
      <c r="B619" t="s">
        <v>1111</v>
      </c>
      <c r="C619" t="s">
        <v>2109</v>
      </c>
      <c r="D619">
        <v>85</v>
      </c>
      <c r="E619">
        <v>85</v>
      </c>
      <c r="F619">
        <v>-0.5</v>
      </c>
      <c r="G619">
        <v>-0.50014400000000003</v>
      </c>
      <c r="H619">
        <v>30.339062500000001</v>
      </c>
      <c r="J619">
        <v>16745</v>
      </c>
      <c r="N619" t="s">
        <v>158</v>
      </c>
      <c r="O619">
        <f t="shared" si="27"/>
        <v>29.994239999999998</v>
      </c>
      <c r="P619">
        <f t="shared" si="28"/>
        <v>0.43102812500000365</v>
      </c>
      <c r="Q619">
        <f t="shared" si="29"/>
        <v>0.43102812500000365</v>
      </c>
      <c r="Y619">
        <f>TREND(H618:H622,G618:G622,G619)</f>
        <v>30.370504422351448</v>
      </c>
      <c r="Z619">
        <f>ABS((Y619-H619)/80*100)</f>
        <v>3.9302402939309644E-2</v>
      </c>
      <c r="AB619">
        <f>IF(ABS(T618) &gt; ABS(V618),T618,V618)</f>
        <v>0.46257812500000384</v>
      </c>
      <c r="AH619">
        <f>H619-AG569</f>
        <v>30.201809999999998</v>
      </c>
      <c r="AI619">
        <f>100*(AH619-O619)/80</f>
        <v>0.2594625000000006</v>
      </c>
      <c r="AN619">
        <f>IF(ABS(AK618) &gt; ABS(AM618),AK618,AM618)</f>
        <v>0.29101250000000078</v>
      </c>
    </row>
    <row r="620" spans="1:41" x14ac:dyDescent="0.35">
      <c r="A620" t="s">
        <v>249</v>
      </c>
      <c r="B620" t="s">
        <v>1111</v>
      </c>
      <c r="C620" t="s">
        <v>2145</v>
      </c>
      <c r="D620">
        <v>85</v>
      </c>
      <c r="E620">
        <v>85</v>
      </c>
      <c r="F620">
        <v>0</v>
      </c>
      <c r="G620">
        <v>-1.4999999999999999E-4</v>
      </c>
      <c r="H620">
        <v>50.364062500000003</v>
      </c>
      <c r="J620">
        <v>16773</v>
      </c>
      <c r="N620" t="s">
        <v>158</v>
      </c>
      <c r="O620">
        <f t="shared" si="27"/>
        <v>49.994</v>
      </c>
      <c r="P620">
        <f t="shared" si="28"/>
        <v>0.46257812500000384</v>
      </c>
      <c r="Q620">
        <f t="shared" si="29"/>
        <v>0.46257812500000384</v>
      </c>
      <c r="Y620">
        <f>TREND(H618:H622,G618:G622,G620)</f>
        <v>50.295020961240752</v>
      </c>
      <c r="Z620">
        <f>ABS((Y620-H620)/80*100)</f>
        <v>8.6301923449063622E-2</v>
      </c>
      <c r="AH620">
        <f>H620-AG569</f>
        <v>50.22681</v>
      </c>
      <c r="AI620">
        <f>100*(AH620-O620)/80</f>
        <v>0.29101250000000078</v>
      </c>
    </row>
    <row r="621" spans="1:41" x14ac:dyDescent="0.35">
      <c r="A621" t="s">
        <v>249</v>
      </c>
      <c r="B621" t="s">
        <v>1111</v>
      </c>
      <c r="C621" t="s">
        <v>2183</v>
      </c>
      <c r="D621">
        <v>85</v>
      </c>
      <c r="E621">
        <v>85</v>
      </c>
      <c r="F621">
        <v>0.5</v>
      </c>
      <c r="G621">
        <v>0.49981500000000001</v>
      </c>
      <c r="H621">
        <v>70.3046875</v>
      </c>
      <c r="J621">
        <v>16788</v>
      </c>
      <c r="N621" t="s">
        <v>158</v>
      </c>
      <c r="O621">
        <f t="shared" si="27"/>
        <v>69.992599999999996</v>
      </c>
      <c r="P621">
        <f t="shared" si="28"/>
        <v>0.39010937500000509</v>
      </c>
      <c r="Q621">
        <f t="shared" si="29"/>
        <v>0.39010937500000509</v>
      </c>
      <c r="Y621">
        <f>TREND(H618:H622,G618:G622,G621)</f>
        <v>70.218381864303154</v>
      </c>
      <c r="Z621">
        <f>ABS((Y621-H621)/80*100)</f>
        <v>0.10788204462105709</v>
      </c>
      <c r="AH621">
        <f>H621-AG569</f>
        <v>70.167434999999998</v>
      </c>
      <c r="AI621">
        <f>100*(AH621-O621)/80</f>
        <v>0.21854375000000203</v>
      </c>
    </row>
    <row r="622" spans="1:41" x14ac:dyDescent="0.35">
      <c r="A622" t="s">
        <v>249</v>
      </c>
      <c r="B622" t="s">
        <v>1111</v>
      </c>
      <c r="C622" t="s">
        <v>2219</v>
      </c>
      <c r="D622">
        <v>85</v>
      </c>
      <c r="E622">
        <v>85</v>
      </c>
      <c r="F622">
        <v>1</v>
      </c>
      <c r="G622">
        <v>0.99996700000000005</v>
      </c>
      <c r="H622">
        <v>90.057812499999997</v>
      </c>
      <c r="J622">
        <v>16809</v>
      </c>
      <c r="N622" t="s">
        <v>158</v>
      </c>
      <c r="O622">
        <f t="shared" si="27"/>
        <v>89.998680000000007</v>
      </c>
      <c r="P622">
        <f t="shared" si="28"/>
        <v>7.3915624999987273E-2</v>
      </c>
      <c r="Q622">
        <f t="shared" si="29"/>
        <v>7.3915624999987273E-2</v>
      </c>
      <c r="Y622">
        <f>TREND(H618:H622,G618:G622,G622)</f>
        <v>90.149194625973422</v>
      </c>
      <c r="Z622">
        <f>ABS((Y622-H622)/80*100)</f>
        <v>0.1142276574667811</v>
      </c>
      <c r="AH622">
        <f>H622-AG569</f>
        <v>89.920559999999995</v>
      </c>
      <c r="AI622">
        <f>100*(AH622-O622)/80</f>
        <v>-9.765000000001578E-2</v>
      </c>
    </row>
    <row r="623" spans="1:41" x14ac:dyDescent="0.35">
      <c r="A623" t="s">
        <v>249</v>
      </c>
      <c r="B623" t="s">
        <v>1111</v>
      </c>
      <c r="C623" t="s">
        <v>2255</v>
      </c>
      <c r="D623">
        <v>85</v>
      </c>
      <c r="E623">
        <v>85</v>
      </c>
      <c r="F623">
        <v>0</v>
      </c>
      <c r="G623">
        <v>1.1400000000000001E-4</v>
      </c>
      <c r="H623">
        <v>50.295312500000001</v>
      </c>
      <c r="J623">
        <v>16833</v>
      </c>
      <c r="N623" t="s">
        <v>158</v>
      </c>
      <c r="O623">
        <f t="shared" si="27"/>
        <v>50.004559999999998</v>
      </c>
      <c r="P623">
        <f t="shared" si="28"/>
        <v>0.3634406250000044</v>
      </c>
      <c r="Q623">
        <f t="shared" si="29"/>
        <v>0.3634406250000044</v>
      </c>
      <c r="Y623">
        <f>TREND(H618:H622,G618:G622,G623)</f>
        <v>50.305541232216534</v>
      </c>
      <c r="Z623">
        <f>ABS((Y623-H623)/80*100)</f>
        <v>1.2785915270665527E-2</v>
      </c>
      <c r="AH623">
        <f>H623-AG569</f>
        <v>50.158059999999999</v>
      </c>
      <c r="AI623">
        <f>100*(AH623-O623)/80</f>
        <v>0.19187500000000135</v>
      </c>
    </row>
    <row r="624" spans="1:41" x14ac:dyDescent="0.35">
      <c r="A624" t="s">
        <v>249</v>
      </c>
      <c r="B624" t="s">
        <v>1111</v>
      </c>
      <c r="C624" t="s">
        <v>2292</v>
      </c>
      <c r="D624">
        <v>85</v>
      </c>
      <c r="E624">
        <v>85</v>
      </c>
      <c r="F624">
        <v>-1</v>
      </c>
      <c r="G624">
        <v>-0.999865</v>
      </c>
      <c r="H624">
        <v>10.528124999999999</v>
      </c>
      <c r="J624">
        <v>16850</v>
      </c>
      <c r="N624" t="s">
        <v>158</v>
      </c>
      <c r="O624">
        <f t="shared" si="27"/>
        <v>10.0054</v>
      </c>
      <c r="P624">
        <f t="shared" si="28"/>
        <v>0.6534062499999993</v>
      </c>
      <c r="Q624">
        <f t="shared" si="29"/>
        <v>0.6534062499999993</v>
      </c>
      <c r="Y624">
        <f>TREND(H618:H622,G618:G622,G624)</f>
        <v>10.456866800039386</v>
      </c>
      <c r="Z624">
        <f>ABS((Y624-H624)/80*100)</f>
        <v>8.9072749950767083E-2</v>
      </c>
      <c r="AH624">
        <f>H624-AG569</f>
        <v>10.390872499999997</v>
      </c>
      <c r="AI624">
        <f>100*(AH624-O624)/80</f>
        <v>0.48184062499999625</v>
      </c>
    </row>
    <row r="625" spans="1:41" x14ac:dyDescent="0.35">
      <c r="A625" t="s">
        <v>249</v>
      </c>
      <c r="B625" t="s">
        <v>1111</v>
      </c>
      <c r="C625" t="s">
        <v>2329</v>
      </c>
      <c r="D625">
        <v>25</v>
      </c>
      <c r="E625">
        <v>25</v>
      </c>
      <c r="F625">
        <v>-1</v>
      </c>
      <c r="G625">
        <v>-1.0002880000000001</v>
      </c>
      <c r="H625">
        <v>9.8171874999999993</v>
      </c>
      <c r="J625">
        <v>-5398</v>
      </c>
      <c r="N625" t="s">
        <v>158</v>
      </c>
      <c r="O625">
        <f t="shared" si="27"/>
        <v>9.9884799999999974</v>
      </c>
      <c r="P625">
        <f t="shared" si="28"/>
        <v>-0.21411562499999759</v>
      </c>
      <c r="Q625">
        <f t="shared" si="29"/>
        <v>0.21411562499999759</v>
      </c>
      <c r="S625">
        <v>50</v>
      </c>
      <c r="T625">
        <v>-3.9499999999925706E-3</v>
      </c>
      <c r="U625">
        <v>90.3125</v>
      </c>
      <c r="V625">
        <v>0.39737499999999315</v>
      </c>
      <c r="W625">
        <v>80.495312499999997</v>
      </c>
      <c r="X625">
        <f>(W625-80)/80*100</f>
        <v>0.61914062499999645</v>
      </c>
      <c r="Y625">
        <f>TREND(H625:H629,G625:G629,G625)</f>
        <v>9.7473430087085546</v>
      </c>
      <c r="Z625">
        <f>ABS((Y625-H625)/80*100)</f>
        <v>8.7305614114305818E-2</v>
      </c>
      <c r="AA625">
        <f>MAX(Z625:Z629)</f>
        <v>9.8413078037591362E-2</v>
      </c>
      <c r="AB625">
        <f>IF(ABS(MAX(P625:P631)) &gt; ABS(MIN(P625:P631)),MAX(P625:P631), MIN(P625:P631))</f>
        <v>0.39737499999999315</v>
      </c>
      <c r="AC625">
        <f>IF(ABS(AB626)&gt;ABS(AB625),AB626,AB625)</f>
        <v>0.39737499999999315</v>
      </c>
      <c r="AH625">
        <f>H625-AG569</f>
        <v>9.6799349999999968</v>
      </c>
      <c r="AI625">
        <f>100*(AH625-O625)/80</f>
        <v>-0.38568125000000064</v>
      </c>
      <c r="AJ625">
        <v>49.862747499999998</v>
      </c>
      <c r="AK625">
        <v>-0.17551562499999562</v>
      </c>
      <c r="AL625">
        <v>90.175247499999998</v>
      </c>
      <c r="AM625">
        <v>0.2258093749999901</v>
      </c>
      <c r="AN625">
        <f>IF(ABS(MAX(AI625:AI631)) &gt; ABS(MIN(AI625:AI631)),MAX(AI625:AI631), MIN(AI625:AI631))</f>
        <v>-0.40326250000000563</v>
      </c>
      <c r="AO625">
        <f>IF(ABS(AN626)&gt;ABS(AN625),AN626,AN625)</f>
        <v>-0.40326250000000563</v>
      </c>
    </row>
    <row r="626" spans="1:41" x14ac:dyDescent="0.35">
      <c r="A626" t="s">
        <v>249</v>
      </c>
      <c r="B626" t="s">
        <v>1111</v>
      </c>
      <c r="C626" t="s">
        <v>2366</v>
      </c>
      <c r="D626">
        <v>25</v>
      </c>
      <c r="E626">
        <v>25</v>
      </c>
      <c r="F626">
        <v>-0.5</v>
      </c>
      <c r="G626">
        <v>-0.50032699999999997</v>
      </c>
      <c r="H626">
        <v>29.801562499999999</v>
      </c>
      <c r="J626">
        <v>-5460</v>
      </c>
      <c r="N626" t="s">
        <v>158</v>
      </c>
      <c r="O626">
        <f t="shared" si="27"/>
        <v>29.986920000000001</v>
      </c>
      <c r="P626">
        <f t="shared" si="28"/>
        <v>-0.23169687500000258</v>
      </c>
      <c r="Q626">
        <f t="shared" si="29"/>
        <v>0.23169687500000258</v>
      </c>
      <c r="Y626">
        <f>TREND(H625:H629,G625:G629,G626)</f>
        <v>29.880292962430072</v>
      </c>
      <c r="Z626">
        <f>ABS((Y626-H626)/80*100)</f>
        <v>9.8413078037591362E-2</v>
      </c>
      <c r="AB626">
        <f>IF(ABS(T625) &gt; ABS(V625),T625,V625)</f>
        <v>0.39737499999999315</v>
      </c>
      <c r="AH626">
        <f>H626-AG569</f>
        <v>29.664309999999997</v>
      </c>
      <c r="AI626">
        <f>100*(AH626-O626)/80</f>
        <v>-0.40326250000000563</v>
      </c>
      <c r="AN626">
        <f>IF(ABS(AK625) &gt; ABS(AM625),AK625,AM625)</f>
        <v>0.2258093749999901</v>
      </c>
    </row>
    <row r="627" spans="1:41" x14ac:dyDescent="0.35">
      <c r="A627" t="s">
        <v>249</v>
      </c>
      <c r="B627" t="s">
        <v>1111</v>
      </c>
      <c r="C627" t="s">
        <v>2402</v>
      </c>
      <c r="D627">
        <v>25</v>
      </c>
      <c r="E627">
        <v>25</v>
      </c>
      <c r="F627">
        <v>0</v>
      </c>
      <c r="G627">
        <v>7.8999999999999996E-5</v>
      </c>
      <c r="H627">
        <v>50</v>
      </c>
      <c r="J627">
        <v>-5525</v>
      </c>
      <c r="N627" t="s">
        <v>158</v>
      </c>
      <c r="O627">
        <f t="shared" si="27"/>
        <v>50.003159999999994</v>
      </c>
      <c r="P627">
        <f t="shared" si="28"/>
        <v>-3.9499999999925706E-3</v>
      </c>
      <c r="Q627">
        <f t="shared" si="29"/>
        <v>3.9499999999925706E-3</v>
      </c>
      <c r="Y627">
        <f>TREND(H625:H629,G625:G629,G627)</f>
        <v>50.031162639348807</v>
      </c>
      <c r="Z627">
        <f>ABS((Y627-H627)/80*100)</f>
        <v>3.895329918600865E-2</v>
      </c>
      <c r="AH627">
        <f>H627-AG569</f>
        <v>49.862747499999998</v>
      </c>
      <c r="AI627">
        <f>100*(AH627-O627)/80</f>
        <v>-0.17551562499999562</v>
      </c>
    </row>
    <row r="628" spans="1:41" x14ac:dyDescent="0.35">
      <c r="A628" t="s">
        <v>249</v>
      </c>
      <c r="B628" t="s">
        <v>1111</v>
      </c>
      <c r="C628" t="s">
        <v>2439</v>
      </c>
      <c r="D628">
        <v>25</v>
      </c>
      <c r="E628">
        <v>25</v>
      </c>
      <c r="F628">
        <v>0.5</v>
      </c>
      <c r="G628">
        <v>0.49987399999999999</v>
      </c>
      <c r="H628">
        <v>70.176562500000003</v>
      </c>
      <c r="J628">
        <v>-5581</v>
      </c>
      <c r="N628" t="s">
        <v>158</v>
      </c>
      <c r="O628">
        <f t="shared" si="27"/>
        <v>69.994959999999992</v>
      </c>
      <c r="P628">
        <f t="shared" si="28"/>
        <v>0.22700312500001374</v>
      </c>
      <c r="Q628">
        <f t="shared" si="29"/>
        <v>0.22700312500001374</v>
      </c>
      <c r="Y628">
        <f>TREND(H625:H629,G625:G629,G628)</f>
        <v>70.157427932282147</v>
      </c>
      <c r="Z628">
        <f>ABS((Y628-H628)/80*100)</f>
        <v>2.3918209647320055E-2</v>
      </c>
      <c r="AH628">
        <f>H628-AG569</f>
        <v>70.03931</v>
      </c>
      <c r="AI628">
        <f>100*(AH628-O628)/80</f>
        <v>5.5437500000010687E-2</v>
      </c>
    </row>
    <row r="629" spans="1:41" x14ac:dyDescent="0.35">
      <c r="A629" t="s">
        <v>249</v>
      </c>
      <c r="B629" t="s">
        <v>1111</v>
      </c>
      <c r="C629" t="s">
        <v>2476</v>
      </c>
      <c r="D629">
        <v>25</v>
      </c>
      <c r="E629">
        <v>25</v>
      </c>
      <c r="F629">
        <v>1</v>
      </c>
      <c r="G629">
        <v>0.999865</v>
      </c>
      <c r="H629">
        <v>90.3125</v>
      </c>
      <c r="J629">
        <v>-5626</v>
      </c>
      <c r="N629" t="s">
        <v>158</v>
      </c>
      <c r="O629">
        <f t="shared" si="27"/>
        <v>89.994600000000005</v>
      </c>
      <c r="P629">
        <f t="shared" si="28"/>
        <v>0.39737499999999315</v>
      </c>
      <c r="Q629">
        <f t="shared" si="29"/>
        <v>0.39737499999999315</v>
      </c>
      <c r="Y629">
        <f>TREND(H625:H629,G625:G629,G629)</f>
        <v>90.291585957230438</v>
      </c>
      <c r="Z629">
        <f>ABS((Y629-H629)/80*100)</f>
        <v>2.6142553461951937E-2</v>
      </c>
      <c r="AH629">
        <f>H629-AG569</f>
        <v>90.175247499999998</v>
      </c>
      <c r="AI629">
        <f>100*(AH629-O629)/80</f>
        <v>0.2258093749999901</v>
      </c>
    </row>
    <row r="630" spans="1:41" x14ac:dyDescent="0.35">
      <c r="A630" t="s">
        <v>249</v>
      </c>
      <c r="B630" t="s">
        <v>1111</v>
      </c>
      <c r="C630" t="s">
        <v>2513</v>
      </c>
      <c r="D630">
        <v>25</v>
      </c>
      <c r="E630">
        <v>25</v>
      </c>
      <c r="F630">
        <v>0</v>
      </c>
      <c r="G630">
        <v>5.5999999999999999E-5</v>
      </c>
      <c r="H630">
        <v>49.981250000000003</v>
      </c>
      <c r="J630">
        <v>-5669</v>
      </c>
      <c r="N630" t="s">
        <v>158</v>
      </c>
      <c r="O630">
        <f t="shared" si="27"/>
        <v>50.00224</v>
      </c>
      <c r="P630">
        <f t="shared" si="28"/>
        <v>-2.6237499999997027E-2</v>
      </c>
      <c r="Q630">
        <f t="shared" si="29"/>
        <v>2.6237499999997027E-2</v>
      </c>
      <c r="Y630">
        <f>TREND(H625:H629,G625:G629,G630)</f>
        <v>50.030236451408278</v>
      </c>
      <c r="Z630">
        <f>ABS((Y630-H630)/80*100)</f>
        <v>6.123306426034425E-2</v>
      </c>
      <c r="AH630">
        <f>H630-AG569</f>
        <v>49.8439975</v>
      </c>
      <c r="AI630">
        <f>100*(AH630-O630)/80</f>
        <v>-0.19780312500000008</v>
      </c>
    </row>
    <row r="631" spans="1:41" x14ac:dyDescent="0.35">
      <c r="A631" t="s">
        <v>249</v>
      </c>
      <c r="B631" t="s">
        <v>1111</v>
      </c>
      <c r="C631" t="s">
        <v>2548</v>
      </c>
      <c r="D631">
        <v>25</v>
      </c>
      <c r="E631">
        <v>25</v>
      </c>
      <c r="F631">
        <v>-1</v>
      </c>
      <c r="G631">
        <v>-1.000283</v>
      </c>
      <c r="H631">
        <v>9.9734374999999993</v>
      </c>
      <c r="J631">
        <v>-5721</v>
      </c>
      <c r="N631" t="s">
        <v>158</v>
      </c>
      <c r="O631">
        <f t="shared" si="27"/>
        <v>9.9886799999999987</v>
      </c>
      <c r="P631">
        <f t="shared" si="28"/>
        <v>-1.9053124999999227E-2</v>
      </c>
      <c r="Q631">
        <f t="shared" si="29"/>
        <v>1.9053124999999227E-2</v>
      </c>
      <c r="Y631">
        <f>TREND(H625:H629,G625:G629,G631)</f>
        <v>9.7475443539130211</v>
      </c>
      <c r="Z631">
        <f>ABS((Y631-H631)/80*100)</f>
        <v>0.28236643260872274</v>
      </c>
      <c r="AH631">
        <f>H631-AG569</f>
        <v>9.8361849999999968</v>
      </c>
      <c r="AI631">
        <f>100*(AH631-O631)/80</f>
        <v>-0.19061875000000228</v>
      </c>
    </row>
    <row r="632" spans="1:41" x14ac:dyDescent="0.35">
      <c r="A632" t="s">
        <v>251</v>
      </c>
      <c r="B632" t="s">
        <v>231</v>
      </c>
      <c r="C632" t="s">
        <v>250</v>
      </c>
      <c r="D632">
        <v>25</v>
      </c>
      <c r="E632">
        <v>25</v>
      </c>
      <c r="F632">
        <v>-1</v>
      </c>
      <c r="G632">
        <v>-0.99998200000000004</v>
      </c>
      <c r="H632">
        <v>9.984375</v>
      </c>
      <c r="J632">
        <v>-6279</v>
      </c>
      <c r="N632" t="s">
        <v>180</v>
      </c>
      <c r="O632">
        <f t="shared" si="27"/>
        <v>10.000719999999998</v>
      </c>
      <c r="P632">
        <f t="shared" si="28"/>
        <v>-2.0431249999997014E-2</v>
      </c>
      <c r="Q632">
        <f t="shared" si="29"/>
        <v>2.0431249999997014E-2</v>
      </c>
      <c r="S632">
        <v>50.079687499999999</v>
      </c>
      <c r="T632">
        <v>9.8909374999998079E-2</v>
      </c>
      <c r="U632">
        <v>90.110937500000006</v>
      </c>
      <c r="V632">
        <v>0.14697187500001263</v>
      </c>
      <c r="W632">
        <v>80.126564025878906</v>
      </c>
      <c r="X632">
        <f>(W632-80)/80*100</f>
        <v>0.15820503234863281</v>
      </c>
      <c r="Y632">
        <f>TREND(H632:H636,G632:G636,G632)</f>
        <v>9.9813300123459641</v>
      </c>
      <c r="Z632">
        <f>ABS((Y632-H632)/80*100)</f>
        <v>3.806234567544919E-3</v>
      </c>
      <c r="AA632">
        <f>MAX(Z632:Z636)</f>
        <v>7.0721638272246423E-2</v>
      </c>
      <c r="AB632">
        <f>IF(ABS(MAX(P632:P638)) &gt; ABS(MIN(P632:P638)),MAX(P632:P638), MIN(P632:P638))</f>
        <v>0.21242499999999609</v>
      </c>
      <c r="AC632">
        <f>IF(ABS(AB633)&gt;ABS(AB632),AB633,AB632)</f>
        <v>0.21242499999999609</v>
      </c>
      <c r="AD632">
        <f>MAX(AD633:AD634)</f>
        <v>8.2687499999993808E-2</v>
      </c>
      <c r="AE632">
        <f>MAX(AE633:AE653)</f>
        <v>0.24563749999999551</v>
      </c>
      <c r="AF632">
        <f>MAX(AD632,AA632)</f>
        <v>8.2687499999993808E-2</v>
      </c>
      <c r="AG632">
        <f>H634-O634</f>
        <v>7.9127499999998463E-2</v>
      </c>
      <c r="AH632">
        <f>H632-AG632</f>
        <v>9.9052475000000015</v>
      </c>
      <c r="AI632">
        <f>100*(AH632-O632)/80</f>
        <v>-0.11934062499999509</v>
      </c>
      <c r="AJ632">
        <v>50.00056</v>
      </c>
      <c r="AK632">
        <v>0</v>
      </c>
      <c r="AL632">
        <v>90.031810000000007</v>
      </c>
      <c r="AM632">
        <v>4.8062500000014552E-2</v>
      </c>
      <c r="AN632">
        <f>IF(ABS(MAX(AI632:AI638)) &gt; ABS(MIN(AI632:AI638)),MAX(AI632:AI638), MIN(AI632:AI638))</f>
        <v>-0.11934062499999509</v>
      </c>
      <c r="AO632">
        <f>IF(ABS(AN633)&gt;ABS(AN632),AN633,AN632)</f>
        <v>-0.11934062499999509</v>
      </c>
    </row>
    <row r="633" spans="1:41" x14ac:dyDescent="0.35">
      <c r="A633" t="s">
        <v>251</v>
      </c>
      <c r="B633" t="s">
        <v>231</v>
      </c>
      <c r="C633" t="s">
        <v>317</v>
      </c>
      <c r="D633">
        <v>25</v>
      </c>
      <c r="E633">
        <v>25</v>
      </c>
      <c r="F633">
        <v>-0.5</v>
      </c>
      <c r="G633">
        <v>-0.50042799999999998</v>
      </c>
      <c r="H633">
        <v>29.978124999999999</v>
      </c>
      <c r="J633">
        <v>-6267</v>
      </c>
      <c r="N633" t="s">
        <v>180</v>
      </c>
      <c r="O633">
        <f t="shared" si="27"/>
        <v>29.982880000000002</v>
      </c>
      <c r="P633">
        <f t="shared" si="28"/>
        <v>-5.9437500000036891E-3</v>
      </c>
      <c r="Q633">
        <f t="shared" si="29"/>
        <v>5.9437500000036891E-3</v>
      </c>
      <c r="Y633">
        <f>TREND(H632:H636,G632:G636,G633)</f>
        <v>30.007707446466448</v>
      </c>
      <c r="Z633">
        <f>ABS((Y633-H633)/80*100)</f>
        <v>3.6978058083061427E-2</v>
      </c>
      <c r="AB633">
        <f>IF(ABS(T632) &gt; ABS(V632),T632,V632)</f>
        <v>0.14697187500001263</v>
      </c>
      <c r="AD633">
        <f>ABS(P634-P637)</f>
        <v>2.1271875000001828E-2</v>
      </c>
      <c r="AE633">
        <f>ABS(P660-P632)</f>
        <v>0.16100312499999658</v>
      </c>
      <c r="AH633">
        <f>H633-AG632</f>
        <v>29.8989975</v>
      </c>
      <c r="AI633">
        <f>100*(AH633-O633)/80</f>
        <v>-0.10485312500000177</v>
      </c>
      <c r="AN633">
        <f>IF(ABS(AK632) &gt; ABS(AM632),AK632,AM632)</f>
        <v>4.8062500000014552E-2</v>
      </c>
    </row>
    <row r="634" spans="1:41" x14ac:dyDescent="0.35">
      <c r="A634" t="s">
        <v>251</v>
      </c>
      <c r="B634" t="s">
        <v>231</v>
      </c>
      <c r="C634" t="s">
        <v>353</v>
      </c>
      <c r="D634">
        <v>25</v>
      </c>
      <c r="E634">
        <v>25</v>
      </c>
      <c r="F634">
        <v>0</v>
      </c>
      <c r="G634">
        <v>1.4E-5</v>
      </c>
      <c r="H634">
        <v>50.079687499999999</v>
      </c>
      <c r="J634">
        <v>-6276</v>
      </c>
      <c r="N634" t="s">
        <v>180</v>
      </c>
      <c r="O634">
        <f t="shared" si="27"/>
        <v>50.00056</v>
      </c>
      <c r="P634">
        <f t="shared" si="28"/>
        <v>9.8909374999998079E-2</v>
      </c>
      <c r="Q634">
        <f t="shared" si="29"/>
        <v>9.8909374999998079E-2</v>
      </c>
      <c r="Y634">
        <f>TREND(H632:H636,G632:G636,G634)</f>
        <v>50.069683480861372</v>
      </c>
      <c r="Z634">
        <f>ABS((Y634-H634)/80*100)</f>
        <v>1.2505023923283787E-2</v>
      </c>
      <c r="AD634">
        <f>ABS(P632-P638)</f>
        <v>8.2687499999993808E-2</v>
      </c>
      <c r="AE634">
        <f>ABS(P661-P633)</f>
        <v>0.13579687500000492</v>
      </c>
      <c r="AH634">
        <f>H634-AG632</f>
        <v>50.00056</v>
      </c>
      <c r="AI634">
        <f>100*(AH634-O634)/80</f>
        <v>0</v>
      </c>
    </row>
    <row r="635" spans="1:41" x14ac:dyDescent="0.35">
      <c r="A635" t="s">
        <v>251</v>
      </c>
      <c r="B635" t="s">
        <v>231</v>
      </c>
      <c r="C635" t="s">
        <v>390</v>
      </c>
      <c r="D635">
        <v>25</v>
      </c>
      <c r="E635">
        <v>25</v>
      </c>
      <c r="F635">
        <v>0.5</v>
      </c>
      <c r="G635">
        <v>0.49981399999999998</v>
      </c>
      <c r="H635">
        <v>70.162499999999994</v>
      </c>
      <c r="J635">
        <v>-6276</v>
      </c>
      <c r="N635" t="s">
        <v>180</v>
      </c>
      <c r="O635">
        <f t="shared" si="27"/>
        <v>69.992559999999997</v>
      </c>
      <c r="P635">
        <f t="shared" si="28"/>
        <v>0.21242499999999609</v>
      </c>
      <c r="Q635">
        <f t="shared" si="29"/>
        <v>0.21242499999999609</v>
      </c>
      <c r="Y635">
        <f>TREND(H632:H636,G632:G636,G635)</f>
        <v>70.105922689382197</v>
      </c>
      <c r="Z635">
        <f>ABS((Y635-H635)/80*100)</f>
        <v>7.0721638272246423E-2</v>
      </c>
      <c r="AE635">
        <f>ABS(P662-P634)</f>
        <v>0.12319062499999589</v>
      </c>
      <c r="AH635">
        <f>H635-AG632</f>
        <v>70.083372499999996</v>
      </c>
      <c r="AI635">
        <f>100*(AH635-O635)/80</f>
        <v>0.11351562499999801</v>
      </c>
    </row>
    <row r="636" spans="1:41" x14ac:dyDescent="0.35">
      <c r="A636" t="s">
        <v>251</v>
      </c>
      <c r="B636" t="s">
        <v>231</v>
      </c>
      <c r="C636" t="s">
        <v>427</v>
      </c>
      <c r="D636">
        <v>25</v>
      </c>
      <c r="E636">
        <v>25</v>
      </c>
      <c r="F636">
        <v>1</v>
      </c>
      <c r="G636">
        <v>0.999834</v>
      </c>
      <c r="H636">
        <v>90.110937500000006</v>
      </c>
      <c r="J636">
        <v>-6279</v>
      </c>
      <c r="N636" t="s">
        <v>180</v>
      </c>
      <c r="O636">
        <f t="shared" si="27"/>
        <v>89.993359999999996</v>
      </c>
      <c r="P636">
        <f t="shared" si="28"/>
        <v>0.14697187500001263</v>
      </c>
      <c r="Q636">
        <f t="shared" si="29"/>
        <v>0.14697187500001263</v>
      </c>
      <c r="Y636">
        <f>TREND(H632:H636,G632:G636,G636)</f>
        <v>90.15098137094401</v>
      </c>
      <c r="Z636">
        <f>ABS((Y636-H636)/80*100)</f>
        <v>5.0054838680004821E-2</v>
      </c>
      <c r="AE636">
        <f>ABS(P663-P635)</f>
        <v>0.11404375000001465</v>
      </c>
      <c r="AH636">
        <f>H636-AG632</f>
        <v>90.031810000000007</v>
      </c>
      <c r="AI636">
        <f>100*(AH636-O636)/80</f>
        <v>4.8062500000014552E-2</v>
      </c>
    </row>
    <row r="637" spans="1:41" x14ac:dyDescent="0.35">
      <c r="A637" t="s">
        <v>251</v>
      </c>
      <c r="B637" t="s">
        <v>231</v>
      </c>
      <c r="C637" t="s">
        <v>464</v>
      </c>
      <c r="D637">
        <v>25</v>
      </c>
      <c r="E637">
        <v>25</v>
      </c>
      <c r="F637">
        <v>0</v>
      </c>
      <c r="G637">
        <v>1.66E-4</v>
      </c>
      <c r="H637">
        <v>50.068750000000001</v>
      </c>
      <c r="J637">
        <v>-6279</v>
      </c>
      <c r="N637" t="s">
        <v>180</v>
      </c>
      <c r="O637">
        <f t="shared" si="27"/>
        <v>50.006640000000004</v>
      </c>
      <c r="P637">
        <f t="shared" si="28"/>
        <v>7.7637499999996251E-2</v>
      </c>
      <c r="Q637">
        <f t="shared" si="29"/>
        <v>7.7637499999996251E-2</v>
      </c>
      <c r="Y637">
        <f>TREND(H632:H636,G632:G636,G637)</f>
        <v>50.075776934962406</v>
      </c>
      <c r="Z637">
        <f>ABS((Y637-H637)/80*100)</f>
        <v>8.7836687030051763E-3</v>
      </c>
      <c r="AE637">
        <f>ABS(P664-P636)</f>
        <v>0.2229093749999933</v>
      </c>
      <c r="AH637">
        <f>H637-AG632</f>
        <v>49.989622500000003</v>
      </c>
      <c r="AI637">
        <f>100*(AH637-O637)/80</f>
        <v>-2.1271875000001828E-2</v>
      </c>
    </row>
    <row r="638" spans="1:41" x14ac:dyDescent="0.35">
      <c r="A638" t="s">
        <v>251</v>
      </c>
      <c r="B638" t="s">
        <v>231</v>
      </c>
      <c r="C638" t="s">
        <v>501</v>
      </c>
      <c r="D638">
        <v>25</v>
      </c>
      <c r="E638">
        <v>25</v>
      </c>
      <c r="F638">
        <v>-1</v>
      </c>
      <c r="G638">
        <v>-0.99991699999999994</v>
      </c>
      <c r="H638">
        <v>10.053125</v>
      </c>
      <c r="J638">
        <v>-6274</v>
      </c>
      <c r="N638" t="s">
        <v>180</v>
      </c>
      <c r="O638">
        <f t="shared" si="27"/>
        <v>10.003320000000002</v>
      </c>
      <c r="P638">
        <f t="shared" si="28"/>
        <v>6.2256249999996793E-2</v>
      </c>
      <c r="Q638">
        <f t="shared" si="29"/>
        <v>6.2256249999996793E-2</v>
      </c>
      <c r="Y638">
        <f>TREND(H632:H636,G632:G636,G638)</f>
        <v>9.9839357657444339</v>
      </c>
      <c r="Z638">
        <f>ABS((Y638-H638)/80*100)</f>
        <v>8.6486542819457224E-2</v>
      </c>
      <c r="AE638">
        <f>ABS(P665-P637)</f>
        <v>0.12880312500000102</v>
      </c>
      <c r="AH638">
        <f>H638-AG632</f>
        <v>9.9739975000000012</v>
      </c>
      <c r="AI638">
        <f>100*(AH638-O638)/80</f>
        <v>-3.6653125000001285E-2</v>
      </c>
    </row>
    <row r="639" spans="1:41" x14ac:dyDescent="0.35">
      <c r="A639" t="s">
        <v>251</v>
      </c>
      <c r="B639" t="s">
        <v>231</v>
      </c>
      <c r="C639" t="s">
        <v>538</v>
      </c>
      <c r="D639">
        <v>-20</v>
      </c>
      <c r="E639">
        <v>-20.2</v>
      </c>
      <c r="F639">
        <v>-1</v>
      </c>
      <c r="G639">
        <v>-1.000488</v>
      </c>
      <c r="H639">
        <v>9.7312499999999993</v>
      </c>
      <c r="J639">
        <v>-23710</v>
      </c>
      <c r="N639" t="s">
        <v>180</v>
      </c>
      <c r="O639">
        <f t="shared" si="27"/>
        <v>9.9804799999999982</v>
      </c>
      <c r="P639">
        <f t="shared" si="28"/>
        <v>-0.31153749999999869</v>
      </c>
      <c r="Q639">
        <f t="shared" si="29"/>
        <v>0.31153749999999869</v>
      </c>
      <c r="S639">
        <v>50.160937500000003</v>
      </c>
      <c r="T639">
        <v>0.23412187499999959</v>
      </c>
      <c r="U639">
        <v>90.2</v>
      </c>
      <c r="V639">
        <v>0.24494999999999933</v>
      </c>
      <c r="W639">
        <v>80.468746948242185</v>
      </c>
      <c r="X639">
        <f>(W639-80)/80*100</f>
        <v>0.58593368530273082</v>
      </c>
      <c r="Y639">
        <f>TREND(H639:H643,G639:G643,G639)</f>
        <v>9.804054636382304</v>
      </c>
      <c r="Z639">
        <f>ABS((Y639-H639)/80*100)</f>
        <v>9.1005795477880902E-2</v>
      </c>
      <c r="AA639">
        <f>MAX(Z639:Z643)</f>
        <v>0.23716150886409437</v>
      </c>
      <c r="AB639">
        <f>IF(ABS(MAX(P639:P645)) &gt; ABS(MIN(P639:P645)),MAX(P639:P645), MIN(P639:P645))</f>
        <v>0.53445312500000952</v>
      </c>
      <c r="AC639">
        <f>IF(ABS(AB640)&gt;ABS(AB639),AB640,AB639)</f>
        <v>0.53445312500000952</v>
      </c>
      <c r="AE639">
        <f>ABS(P666-P638)</f>
        <v>0.10096250000000584</v>
      </c>
      <c r="AH639">
        <f>H639-AG632</f>
        <v>9.6521225000000008</v>
      </c>
      <c r="AI639">
        <f>100*(AH639-O639)/80</f>
        <v>-0.41044687499999677</v>
      </c>
      <c r="AJ639">
        <v>50.081810000000004</v>
      </c>
      <c r="AK639">
        <v>0.13521250000000151</v>
      </c>
      <c r="AL639">
        <v>90.120872500000004</v>
      </c>
      <c r="AM639">
        <v>0.14604062500000126</v>
      </c>
      <c r="AN639">
        <f>IF(ABS(MAX(AI639:AI645)) &gt; ABS(MIN(AI639:AI645)),MAX(AI639:AI645), MIN(AI639:AI645))</f>
        <v>-0.449171874999994</v>
      </c>
      <c r="AO639">
        <f>IF(ABS(AN640)&gt;ABS(AN639),AN640,AN639)</f>
        <v>-0.449171874999994</v>
      </c>
    </row>
    <row r="640" spans="1:41" x14ac:dyDescent="0.35">
      <c r="A640" t="s">
        <v>251</v>
      </c>
      <c r="B640" t="s">
        <v>231</v>
      </c>
      <c r="C640" t="s">
        <v>575</v>
      </c>
      <c r="D640">
        <v>-20</v>
      </c>
      <c r="E640">
        <v>-19.899999999999999</v>
      </c>
      <c r="F640">
        <v>-0.5</v>
      </c>
      <c r="G640">
        <v>-0.49998999999999999</v>
      </c>
      <c r="H640">
        <v>29.9375</v>
      </c>
      <c r="J640">
        <v>-23754</v>
      </c>
      <c r="N640" t="s">
        <v>180</v>
      </c>
      <c r="O640">
        <f t="shared" si="27"/>
        <v>30.000400000000003</v>
      </c>
      <c r="P640">
        <f t="shared" si="28"/>
        <v>-7.8625000000003276E-2</v>
      </c>
      <c r="Q640">
        <f t="shared" si="29"/>
        <v>7.8625000000003276E-2</v>
      </c>
      <c r="Y640">
        <f>TREND(H639:H643,G639:G643,G640)</f>
        <v>29.962155737198628</v>
      </c>
      <c r="Z640">
        <f>ABS((Y640-H640)/80*100)</f>
        <v>3.0819671498285576E-2</v>
      </c>
      <c r="AB640">
        <f>IF(ABS(T639) &gt; ABS(V639),T639,V639)</f>
        <v>0.24494999999999933</v>
      </c>
      <c r="AE640">
        <f>ABS(P688-P632)</f>
        <v>8.2478125000005065E-2</v>
      </c>
      <c r="AH640">
        <f>H640-AG632</f>
        <v>29.858372500000002</v>
      </c>
      <c r="AI640">
        <f>100*(AH640-O640)/80</f>
        <v>-0.17753437500000135</v>
      </c>
      <c r="AN640">
        <f>IF(ABS(AK639) &gt; ABS(AM639),AK639,AM639)</f>
        <v>0.14604062500000126</v>
      </c>
    </row>
    <row r="641" spans="1:41" x14ac:dyDescent="0.35">
      <c r="A641" t="s">
        <v>251</v>
      </c>
      <c r="B641" t="s">
        <v>231</v>
      </c>
      <c r="C641" t="s">
        <v>612</v>
      </c>
      <c r="D641">
        <v>-20</v>
      </c>
      <c r="E641">
        <v>-20.100000000000001</v>
      </c>
      <c r="F641">
        <v>0</v>
      </c>
      <c r="G641">
        <v>-6.5899999999999997E-4</v>
      </c>
      <c r="H641">
        <v>50.160937500000003</v>
      </c>
      <c r="J641">
        <v>-23774</v>
      </c>
      <c r="N641" t="s">
        <v>180</v>
      </c>
      <c r="O641">
        <f t="shared" si="27"/>
        <v>49.973640000000003</v>
      </c>
      <c r="P641">
        <f t="shared" si="28"/>
        <v>0.23412187499999959</v>
      </c>
      <c r="Q641">
        <f t="shared" si="29"/>
        <v>0.23412187499999959</v>
      </c>
      <c r="Y641">
        <f>TREND(H639:H643,G639:G643,G641)</f>
        <v>50.073254644230659</v>
      </c>
      <c r="Z641">
        <f>ABS((Y641-H641)/80*100)</f>
        <v>0.10960356971168039</v>
      </c>
      <c r="AE641">
        <f>ABS(P689-P633)</f>
        <v>2.362499999999379E-2</v>
      </c>
      <c r="AH641">
        <f>H641-AG632</f>
        <v>50.081810000000004</v>
      </c>
      <c r="AI641">
        <f>100*(AH641-O641)/80</f>
        <v>0.13521250000000151</v>
      </c>
    </row>
    <row r="642" spans="1:41" x14ac:dyDescent="0.35">
      <c r="A642" t="s">
        <v>251</v>
      </c>
      <c r="B642" t="s">
        <v>231</v>
      </c>
      <c r="C642" t="s">
        <v>648</v>
      </c>
      <c r="D642">
        <v>-20</v>
      </c>
      <c r="E642">
        <v>-19.899999999999999</v>
      </c>
      <c r="F642">
        <v>0.5</v>
      </c>
      <c r="G642">
        <v>0.499975</v>
      </c>
      <c r="H642">
        <v>70.426562500000003</v>
      </c>
      <c r="J642">
        <v>-23807</v>
      </c>
      <c r="N642" t="s">
        <v>180</v>
      </c>
      <c r="O642">
        <f t="shared" si="27"/>
        <v>69.998999999999995</v>
      </c>
      <c r="P642">
        <f t="shared" si="28"/>
        <v>0.53445312500000952</v>
      </c>
      <c r="Q642">
        <f t="shared" si="29"/>
        <v>0.53445312500000952</v>
      </c>
      <c r="Y642">
        <f>TREND(H639:H643,G639:G643,G642)</f>
        <v>70.236833292908727</v>
      </c>
      <c r="Z642">
        <f>ABS((Y642-H642)/80*100)</f>
        <v>0.23716150886409437</v>
      </c>
      <c r="AE642">
        <f>ABS(P690-P634)</f>
        <v>0.12244687499999962</v>
      </c>
      <c r="AH642">
        <f>H642-AG632</f>
        <v>70.347435000000004</v>
      </c>
      <c r="AI642">
        <f>100*(AH642-O642)/80</f>
        <v>0.43554375000001144</v>
      </c>
    </row>
    <row r="643" spans="1:41" x14ac:dyDescent="0.35">
      <c r="A643" t="s">
        <v>251</v>
      </c>
      <c r="B643" t="s">
        <v>231</v>
      </c>
      <c r="C643" t="s">
        <v>684</v>
      </c>
      <c r="D643">
        <v>-20</v>
      </c>
      <c r="E643">
        <v>-19.8</v>
      </c>
      <c r="F643">
        <v>1</v>
      </c>
      <c r="G643">
        <v>1.0001009999999999</v>
      </c>
      <c r="H643">
        <v>90.2</v>
      </c>
      <c r="J643">
        <v>-23842</v>
      </c>
      <c r="N643" t="s">
        <v>180</v>
      </c>
      <c r="O643">
        <f t="shared" si="27"/>
        <v>90.004040000000003</v>
      </c>
      <c r="P643">
        <f t="shared" si="28"/>
        <v>0.24494999999999933</v>
      </c>
      <c r="Q643">
        <f t="shared" si="29"/>
        <v>0.24494999999999933</v>
      </c>
      <c r="Y643">
        <f>TREND(H639:H643,G639:G643,G643)</f>
        <v>90.379951689279665</v>
      </c>
      <c r="Z643">
        <f>ABS((Y643-H643)/80*100)</f>
        <v>0.22493961159957718</v>
      </c>
      <c r="AE643">
        <f>ABS(P691-P635)</f>
        <v>2.084062499999817E-2</v>
      </c>
      <c r="AH643">
        <f>H643-AG632</f>
        <v>90.120872500000004</v>
      </c>
      <c r="AI643">
        <f>100*(AH643-O643)/80</f>
        <v>0.14604062500000126</v>
      </c>
    </row>
    <row r="644" spans="1:41" x14ac:dyDescent="0.35">
      <c r="A644" t="s">
        <v>251</v>
      </c>
      <c r="B644" t="s">
        <v>231</v>
      </c>
      <c r="C644" t="s">
        <v>721</v>
      </c>
      <c r="D644">
        <v>-20</v>
      </c>
      <c r="E644">
        <v>-20.100000000000001</v>
      </c>
      <c r="F644">
        <v>0</v>
      </c>
      <c r="G644">
        <v>-1.0900000000000001E-4</v>
      </c>
      <c r="H644">
        <v>50.268749999999997</v>
      </c>
      <c r="J644">
        <v>-23868</v>
      </c>
      <c r="N644" t="s">
        <v>180</v>
      </c>
      <c r="O644">
        <f t="shared" si="27"/>
        <v>49.995640000000002</v>
      </c>
      <c r="P644">
        <f t="shared" si="28"/>
        <v>0.3413874999999944</v>
      </c>
      <c r="Q644">
        <f t="shared" si="29"/>
        <v>0.3413874999999944</v>
      </c>
      <c r="Y644">
        <f>TREND(H639:H643,G639:G643,G644)</f>
        <v>50.095406492200979</v>
      </c>
      <c r="Z644">
        <f>ABS((Y644-H644)/80*100)</f>
        <v>0.21667938474877246</v>
      </c>
      <c r="AE644">
        <f>ABS(P692-P636)</f>
        <v>8.263749999999348E-2</v>
      </c>
      <c r="AH644">
        <f>H644-AG632</f>
        <v>50.189622499999999</v>
      </c>
      <c r="AI644">
        <f>100*(AH644-O644)/80</f>
        <v>0.24247812499999633</v>
      </c>
    </row>
    <row r="645" spans="1:41" x14ac:dyDescent="0.35">
      <c r="A645" t="s">
        <v>251</v>
      </c>
      <c r="B645" t="s">
        <v>231</v>
      </c>
      <c r="C645" t="s">
        <v>757</v>
      </c>
      <c r="D645">
        <v>-20</v>
      </c>
      <c r="E645">
        <v>-20</v>
      </c>
      <c r="F645">
        <v>-1</v>
      </c>
      <c r="G645">
        <v>-1.0000260000000001</v>
      </c>
      <c r="H645">
        <v>9.71875</v>
      </c>
      <c r="J645">
        <v>-23888</v>
      </c>
      <c r="N645" t="s">
        <v>180</v>
      </c>
      <c r="O645">
        <f t="shared" si="27"/>
        <v>9.9989599999999967</v>
      </c>
      <c r="P645">
        <f t="shared" si="28"/>
        <v>-0.35026249999999592</v>
      </c>
      <c r="Q645">
        <f t="shared" si="29"/>
        <v>0.35026249999999592</v>
      </c>
      <c r="Y645">
        <f>TREND(H639:H643,G639:G643,G645)</f>
        <v>9.82266218867737</v>
      </c>
      <c r="Z645">
        <f>ABS((Y645-H645)/80*100)</f>
        <v>0.12989023584671244</v>
      </c>
      <c r="AE645">
        <f>ABS(P693-P637)</f>
        <v>4.8334375000003149E-2</v>
      </c>
      <c r="AH645">
        <f>H645-AG632</f>
        <v>9.6396225000000015</v>
      </c>
      <c r="AI645">
        <f>100*(AH645-O645)/80</f>
        <v>-0.449171874999994</v>
      </c>
    </row>
    <row r="646" spans="1:41" x14ac:dyDescent="0.35">
      <c r="A646" t="s">
        <v>251</v>
      </c>
      <c r="B646" t="s">
        <v>231</v>
      </c>
      <c r="C646" t="s">
        <v>793</v>
      </c>
      <c r="D646">
        <v>0</v>
      </c>
      <c r="E646">
        <v>0</v>
      </c>
      <c r="F646">
        <v>-1</v>
      </c>
      <c r="G646">
        <v>-1.000186</v>
      </c>
      <c r="H646">
        <v>9.9890624999999993</v>
      </c>
      <c r="J646">
        <v>-16733</v>
      </c>
      <c r="N646" t="s">
        <v>180</v>
      </c>
      <c r="O646">
        <f t="shared" si="27"/>
        <v>9.9925599999999992</v>
      </c>
      <c r="P646">
        <f t="shared" si="28"/>
        <v>-4.371874999999914E-3</v>
      </c>
      <c r="Q646">
        <f t="shared" si="29"/>
        <v>4.371874999999914E-3</v>
      </c>
      <c r="S646">
        <v>50.142187499999999</v>
      </c>
      <c r="T646">
        <v>0.18458437500000535</v>
      </c>
      <c r="U646">
        <v>90.190624999999997</v>
      </c>
      <c r="V646">
        <v>0.24858124999999731</v>
      </c>
      <c r="W646">
        <v>80.20156555175781</v>
      </c>
      <c r="X646">
        <f>(W646-80)/80*100</f>
        <v>0.25195693969726207</v>
      </c>
      <c r="Y646">
        <f>TREND(H646:H650,G646:G650,G646)</f>
        <v>10.024541082909245</v>
      </c>
      <c r="Z646">
        <f>ABS((Y646-H646)/80*100)</f>
        <v>4.4348228636557074E-2</v>
      </c>
      <c r="AA646">
        <f>MAX(Z646:Z650)</f>
        <v>0.16671103508663521</v>
      </c>
      <c r="AB646">
        <f>IF(ABS(MAX(P646:P652)) &gt; ABS(MIN(P646:P652)),MAX(P646:P652), MIN(P646:P652))</f>
        <v>0.45269999999998589</v>
      </c>
      <c r="AC646">
        <f>IF(ABS(AB647)&gt;ABS(AB646),AB647,AB646)</f>
        <v>0.45269999999998589</v>
      </c>
      <c r="AE646">
        <f>ABS(P694-P638)</f>
        <v>9.0921874999991825E-2</v>
      </c>
      <c r="AH646">
        <f>H646-AG632</f>
        <v>9.9099350000000008</v>
      </c>
      <c r="AI646">
        <f>100*(AH646-O646)/80</f>
        <v>-0.10328124999999799</v>
      </c>
      <c r="AJ646">
        <v>50.06306</v>
      </c>
      <c r="AK646">
        <v>8.5675000000007273E-2</v>
      </c>
      <c r="AL646">
        <v>90.111497499999999</v>
      </c>
      <c r="AM646">
        <v>0.14967187499999923</v>
      </c>
      <c r="AN646">
        <f>IF(ABS(MAX(AI646:AI652)) &gt; ABS(MIN(AI646:AI652)),MAX(AI646:AI652), MIN(AI646:AI652))</f>
        <v>0.35379062499998781</v>
      </c>
      <c r="AO646">
        <f>IF(ABS(AN647)&gt;ABS(AN646),AN647,AN646)</f>
        <v>0.35379062499998781</v>
      </c>
    </row>
    <row r="647" spans="1:41" x14ac:dyDescent="0.35">
      <c r="A647" t="s">
        <v>251</v>
      </c>
      <c r="B647" t="s">
        <v>231</v>
      </c>
      <c r="C647" t="s">
        <v>830</v>
      </c>
      <c r="D647">
        <v>0</v>
      </c>
      <c r="E647">
        <v>0.1</v>
      </c>
      <c r="F647">
        <v>-0.5</v>
      </c>
      <c r="G647">
        <v>-0.50046400000000002</v>
      </c>
      <c r="H647">
        <v>30.092187500000001</v>
      </c>
      <c r="J647">
        <v>-16724</v>
      </c>
      <c r="N647" t="s">
        <v>180</v>
      </c>
      <c r="O647">
        <f t="shared" si="27"/>
        <v>29.981439999999999</v>
      </c>
      <c r="P647">
        <f t="shared" si="28"/>
        <v>0.13843437500000277</v>
      </c>
      <c r="Q647">
        <f t="shared" si="29"/>
        <v>0.13843437500000277</v>
      </c>
      <c r="Y647">
        <f>TREND(H646:H650,G646:G650,G647)</f>
        <v>30.078993128780837</v>
      </c>
      <c r="Z647">
        <f>ABS((Y647-H647)/80*100)</f>
        <v>1.6492964023955281E-2</v>
      </c>
      <c r="AB647">
        <f>IF(ABS(T646) &gt; ABS(V646),T646,V646)</f>
        <v>0.24858124999999731</v>
      </c>
      <c r="AE647">
        <f>ABS(P688-P660)</f>
        <v>0.24348125000000165</v>
      </c>
      <c r="AH647">
        <f>H647-AG632</f>
        <v>30.013060000000003</v>
      </c>
      <c r="AI647">
        <f>100*(AH647-O647)/80</f>
        <v>3.9525000000004695E-2</v>
      </c>
      <c r="AN647">
        <f>IF(ABS(AK646) &gt; ABS(AM646),AK646,AM646)</f>
        <v>0.14967187499999923</v>
      </c>
    </row>
    <row r="648" spans="1:41" x14ac:dyDescent="0.35">
      <c r="A648" t="s">
        <v>251</v>
      </c>
      <c r="B648" t="s">
        <v>231</v>
      </c>
      <c r="C648" t="s">
        <v>866</v>
      </c>
      <c r="D648">
        <v>0</v>
      </c>
      <c r="E648">
        <v>0</v>
      </c>
      <c r="F648">
        <v>0</v>
      </c>
      <c r="G648">
        <v>-1.37E-4</v>
      </c>
      <c r="H648">
        <v>50.142187499999999</v>
      </c>
      <c r="J648">
        <v>-16702</v>
      </c>
      <c r="N648" t="s">
        <v>180</v>
      </c>
      <c r="O648">
        <f t="shared" si="27"/>
        <v>49.994519999999994</v>
      </c>
      <c r="P648">
        <f t="shared" si="28"/>
        <v>0.18458437500000535</v>
      </c>
      <c r="Q648">
        <f t="shared" si="29"/>
        <v>0.18458437500000535</v>
      </c>
      <c r="Y648">
        <f>TREND(H646:H650,G646:G650,G648)</f>
        <v>50.157724560966727</v>
      </c>
      <c r="Z648">
        <f>ABS((Y648-H648)/80*100)</f>
        <v>1.9421326208410861E-2</v>
      </c>
      <c r="AE648">
        <f>ABS(P689-P661)</f>
        <v>0.15942187499999871</v>
      </c>
      <c r="AH648">
        <f>H648-AG632</f>
        <v>50.06306</v>
      </c>
      <c r="AI648">
        <f>100*(AH648-O648)/80</f>
        <v>8.5675000000007273E-2</v>
      </c>
    </row>
    <row r="649" spans="1:41" x14ac:dyDescent="0.35">
      <c r="A649" t="s">
        <v>251</v>
      </c>
      <c r="B649" t="s">
        <v>231</v>
      </c>
      <c r="C649" t="s">
        <v>902</v>
      </c>
      <c r="D649">
        <v>0</v>
      </c>
      <c r="E649">
        <v>0</v>
      </c>
      <c r="F649">
        <v>0.5</v>
      </c>
      <c r="G649">
        <v>0.49969599999999997</v>
      </c>
      <c r="H649">
        <v>70.349999999999994</v>
      </c>
      <c r="J649">
        <v>-16691</v>
      </c>
      <c r="N649" t="s">
        <v>180</v>
      </c>
      <c r="O649">
        <f t="shared" ref="O649:O712" si="30">(((G649--1)*(40))+10)</f>
        <v>69.987840000000006</v>
      </c>
      <c r="P649">
        <f t="shared" ref="P649:P712" si="31">100*(H649-O649)/80</f>
        <v>0.45269999999998589</v>
      </c>
      <c r="Q649">
        <f t="shared" ref="Q649:Q712" si="32">ABS(P649)</f>
        <v>0.45269999999998589</v>
      </c>
      <c r="Y649">
        <f>TREND(H646:H650,G646:G650,G649)</f>
        <v>70.216631171930686</v>
      </c>
      <c r="Z649">
        <f>ABS((Y649-H649)/80*100)</f>
        <v>0.16671103508663521</v>
      </c>
      <c r="AE649">
        <f>ABS(P690-P662)</f>
        <v>0.24563749999999551</v>
      </c>
      <c r="AH649">
        <f>H649-AG632</f>
        <v>70.270872499999996</v>
      </c>
      <c r="AI649">
        <f>100*(AH649-O649)/80</f>
        <v>0.35379062499998781</v>
      </c>
    </row>
    <row r="650" spans="1:41" x14ac:dyDescent="0.35">
      <c r="A650" t="s">
        <v>251</v>
      </c>
      <c r="B650" t="s">
        <v>231</v>
      </c>
      <c r="C650" t="s">
        <v>939</v>
      </c>
      <c r="D650">
        <v>0</v>
      </c>
      <c r="E650">
        <v>0.1</v>
      </c>
      <c r="F650">
        <v>1</v>
      </c>
      <c r="G650">
        <v>0.99979399999999996</v>
      </c>
      <c r="H650">
        <v>90.190624999999997</v>
      </c>
      <c r="J650">
        <v>-16676</v>
      </c>
      <c r="N650" t="s">
        <v>180</v>
      </c>
      <c r="O650">
        <f t="shared" si="30"/>
        <v>89.991759999999999</v>
      </c>
      <c r="P650">
        <f t="shared" si="31"/>
        <v>0.24858124999999731</v>
      </c>
      <c r="Q650">
        <f t="shared" si="32"/>
        <v>0.24858124999999731</v>
      </c>
      <c r="Y650">
        <f>TREND(H646:H650,G646:G650,G650)</f>
        <v>90.286172555412492</v>
      </c>
      <c r="Z650">
        <f>ABS((Y650-H650)/80*100)</f>
        <v>0.11943444426561813</v>
      </c>
      <c r="AE650">
        <f>ABS(P691-P663)</f>
        <v>9.3203125000016485E-2</v>
      </c>
      <c r="AH650">
        <f>H650-AG632</f>
        <v>90.111497499999999</v>
      </c>
      <c r="AI650">
        <f>100*(AH650-O650)/80</f>
        <v>0.14967187499999923</v>
      </c>
    </row>
    <row r="651" spans="1:41" x14ac:dyDescent="0.35">
      <c r="A651" t="s">
        <v>251</v>
      </c>
      <c r="B651" t="s">
        <v>231</v>
      </c>
      <c r="C651" t="s">
        <v>976</v>
      </c>
      <c r="D651">
        <v>0</v>
      </c>
      <c r="E651">
        <v>-0.1</v>
      </c>
      <c r="F651">
        <v>0</v>
      </c>
      <c r="G651">
        <v>-1.84E-4</v>
      </c>
      <c r="H651">
        <v>50.240625000000001</v>
      </c>
      <c r="J651">
        <v>-16647</v>
      </c>
      <c r="N651" t="s">
        <v>180</v>
      </c>
      <c r="O651">
        <f t="shared" si="30"/>
        <v>49.992640000000002</v>
      </c>
      <c r="P651">
        <f t="shared" si="31"/>
        <v>0.30998124999999987</v>
      </c>
      <c r="Q651">
        <f t="shared" si="32"/>
        <v>0.30998124999999987</v>
      </c>
      <c r="Y651">
        <f>TREND(H646:H650,G646:G650,G651)</f>
        <v>50.15583839376545</v>
      </c>
      <c r="Z651">
        <f>ABS((Y651-H651)/80*100)</f>
        <v>0.10598325779318962</v>
      </c>
      <c r="AE651">
        <f>ABS(P692-P664)</f>
        <v>0.14027187499999982</v>
      </c>
      <c r="AH651">
        <f>H651-AG632</f>
        <v>50.161497500000003</v>
      </c>
      <c r="AI651">
        <f>100*(AH651-O651)/80</f>
        <v>0.2110718750000018</v>
      </c>
    </row>
    <row r="652" spans="1:41" x14ac:dyDescent="0.35">
      <c r="A652" t="s">
        <v>251</v>
      </c>
      <c r="B652" t="s">
        <v>231</v>
      </c>
      <c r="C652" t="s">
        <v>1012</v>
      </c>
      <c r="D652">
        <v>0</v>
      </c>
      <c r="E652">
        <v>0</v>
      </c>
      <c r="F652">
        <v>-1</v>
      </c>
      <c r="G652">
        <v>-1.0001100000000001</v>
      </c>
      <c r="H652">
        <v>10.0546875</v>
      </c>
      <c r="J652">
        <v>-16616</v>
      </c>
      <c r="N652" t="s">
        <v>180</v>
      </c>
      <c r="O652">
        <f t="shared" si="30"/>
        <v>9.9955999999999978</v>
      </c>
      <c r="P652">
        <f t="shared" si="31"/>
        <v>7.3859375000002725E-2</v>
      </c>
      <c r="Q652">
        <f t="shared" si="32"/>
        <v>7.3859375000002725E-2</v>
      </c>
      <c r="Y652">
        <f>TREND(H646:H650,G646:G650,G652)</f>
        <v>10.027591055404926</v>
      </c>
      <c r="Z652">
        <f>ABS((Y652-H652)/80*100)</f>
        <v>3.3870555743842345E-2</v>
      </c>
      <c r="AE652">
        <f>ABS(P693-P665)</f>
        <v>0.17713750000000417</v>
      </c>
      <c r="AH652">
        <f>H652-AG632</f>
        <v>9.9755600000000015</v>
      </c>
      <c r="AI652">
        <f>100*(AH652-O652)/80</f>
        <v>-2.5049999999995354E-2</v>
      </c>
    </row>
    <row r="653" spans="1:41" x14ac:dyDescent="0.35">
      <c r="A653" t="s">
        <v>251</v>
      </c>
      <c r="B653" t="s">
        <v>231</v>
      </c>
      <c r="C653" t="s">
        <v>1048</v>
      </c>
      <c r="D653">
        <v>10</v>
      </c>
      <c r="E653">
        <v>10</v>
      </c>
      <c r="F653">
        <v>-1</v>
      </c>
      <c r="G653">
        <v>-0.99984200000000001</v>
      </c>
      <c r="H653">
        <v>10.104687500000001</v>
      </c>
      <c r="J653">
        <v>-12417</v>
      </c>
      <c r="N653" t="s">
        <v>180</v>
      </c>
      <c r="O653">
        <f t="shared" si="30"/>
        <v>10.006319999999999</v>
      </c>
      <c r="P653">
        <f t="shared" si="31"/>
        <v>0.12295937500000242</v>
      </c>
      <c r="Q653">
        <f t="shared" si="32"/>
        <v>0.12295937500000242</v>
      </c>
      <c r="S653">
        <v>50.198437499999997</v>
      </c>
      <c r="T653">
        <v>0.25514687499999411</v>
      </c>
      <c r="U653">
        <v>90.259375000000006</v>
      </c>
      <c r="V653">
        <v>0.33821875000001</v>
      </c>
      <c r="W653">
        <v>80.154689025878909</v>
      </c>
      <c r="X653">
        <f>(W653-80)/80*100</f>
        <v>0.19336128234863637</v>
      </c>
      <c r="Y653">
        <f>TREND(H653:H657,G653:G657,G653)</f>
        <v>10.086906516617503</v>
      </c>
      <c r="Z653">
        <f>ABS((Y653-H653)/80*100)</f>
        <v>2.2226229228121674E-2</v>
      </c>
      <c r="AA653">
        <f>MAX(Z653:Z657)</f>
        <v>6.4465460953204712E-2</v>
      </c>
      <c r="AB653">
        <f>IF(ABS(MAX(P653:P659)) &gt; ABS(MIN(P653:P659)),MAX(P653:P659), MIN(P653:P659))</f>
        <v>0.3738406249999926</v>
      </c>
      <c r="AC653">
        <f>IF(ABS(AB654)&gt;ABS(AB653),AB654,AB653)</f>
        <v>0.3738406249999926</v>
      </c>
      <c r="AE653">
        <f>ABS(P694-P666)</f>
        <v>0.19188437499999766</v>
      </c>
      <c r="AH653">
        <f>H653-AG632</f>
        <v>10.025560000000002</v>
      </c>
      <c r="AI653">
        <f>100*(AH653-O653)/80</f>
        <v>2.4050000000004346E-2</v>
      </c>
      <c r="AJ653">
        <v>50.119309999999999</v>
      </c>
      <c r="AK653">
        <v>0.15623749999999603</v>
      </c>
      <c r="AL653">
        <v>90.180247500000007</v>
      </c>
      <c r="AM653">
        <v>0.23930937500001193</v>
      </c>
      <c r="AN653">
        <f>IF(ABS(MAX(AI653:AI659)) &gt; ABS(MIN(AI653:AI659)),MAX(AI653:AI659), MIN(AI653:AI659))</f>
        <v>0.27493124999999452</v>
      </c>
      <c r="AO653">
        <f>IF(ABS(AN654)&gt;ABS(AN653),AN654,AN653)</f>
        <v>0.27493124999999452</v>
      </c>
    </row>
    <row r="654" spans="1:41" x14ac:dyDescent="0.35">
      <c r="A654" t="s">
        <v>251</v>
      </c>
      <c r="B654" t="s">
        <v>231</v>
      </c>
      <c r="C654" t="s">
        <v>1084</v>
      </c>
      <c r="D654">
        <v>10</v>
      </c>
      <c r="E654">
        <v>10</v>
      </c>
      <c r="F654">
        <v>-0.5</v>
      </c>
      <c r="G654">
        <v>-0.500108</v>
      </c>
      <c r="H654">
        <v>30.082812499999999</v>
      </c>
      <c r="J654">
        <v>-12411</v>
      </c>
      <c r="N654" t="s">
        <v>180</v>
      </c>
      <c r="O654">
        <f t="shared" si="30"/>
        <v>29.99568</v>
      </c>
      <c r="P654">
        <f t="shared" si="31"/>
        <v>0.10891562499999896</v>
      </c>
      <c r="Q654">
        <f t="shared" si="32"/>
        <v>0.10891562499999896</v>
      </c>
      <c r="Y654">
        <f>TREND(H653:H657,G653:G657,G654)</f>
        <v>30.131884132569301</v>
      </c>
      <c r="Z654">
        <f>ABS((Y654-H654)/80*100)</f>
        <v>6.1339540711626839E-2</v>
      </c>
      <c r="AB654">
        <f>IF(ABS(T653) &gt; ABS(V653),T653,V653)</f>
        <v>0.33821875000001</v>
      </c>
      <c r="AH654">
        <f>H654-AG632</f>
        <v>30.003685000000001</v>
      </c>
      <c r="AI654">
        <f>100*(AH654-O654)/80</f>
        <v>1.0006250000000882E-2</v>
      </c>
      <c r="AN654">
        <f>IF(ABS(AK653) &gt; ABS(AM653),AK653,AM653)</f>
        <v>0.23930937500001193</v>
      </c>
    </row>
    <row r="655" spans="1:41" x14ac:dyDescent="0.35">
      <c r="A655" t="s">
        <v>251</v>
      </c>
      <c r="B655" t="s">
        <v>1111</v>
      </c>
      <c r="C655" t="s">
        <v>1121</v>
      </c>
      <c r="D655">
        <v>10</v>
      </c>
      <c r="E655">
        <v>10</v>
      </c>
      <c r="F655">
        <v>0</v>
      </c>
      <c r="G655">
        <v>-1.4200000000000001E-4</v>
      </c>
      <c r="H655">
        <v>50.198437499999997</v>
      </c>
      <c r="J655">
        <v>-12386</v>
      </c>
      <c r="N655" t="s">
        <v>180</v>
      </c>
      <c r="O655">
        <f t="shared" si="30"/>
        <v>49.994320000000002</v>
      </c>
      <c r="P655">
        <f t="shared" si="31"/>
        <v>0.25514687499999411</v>
      </c>
      <c r="Q655">
        <f t="shared" si="32"/>
        <v>0.25514687499999411</v>
      </c>
      <c r="Y655">
        <f>TREND(H653:H657,G653:G657,G655)</f>
        <v>50.186167568831301</v>
      </c>
      <c r="Z655">
        <f>ABS((Y655-H655)/80*100)</f>
        <v>1.5337413960869739E-2</v>
      </c>
      <c r="AH655">
        <f>H655-AG632</f>
        <v>50.119309999999999</v>
      </c>
      <c r="AI655">
        <f>100*(AH655-O655)/80</f>
        <v>0.15623749999999603</v>
      </c>
    </row>
    <row r="656" spans="1:41" x14ac:dyDescent="0.35">
      <c r="A656" t="s">
        <v>251</v>
      </c>
      <c r="B656" t="s">
        <v>1111</v>
      </c>
      <c r="C656" t="s">
        <v>1158</v>
      </c>
      <c r="D656">
        <v>10</v>
      </c>
      <c r="E656">
        <v>10</v>
      </c>
      <c r="F656">
        <v>0.5</v>
      </c>
      <c r="G656">
        <v>0.49990600000000002</v>
      </c>
      <c r="H656">
        <v>70.295312499999994</v>
      </c>
      <c r="J656">
        <v>-12382</v>
      </c>
      <c r="N656" t="s">
        <v>180</v>
      </c>
      <c r="O656">
        <f t="shared" si="30"/>
        <v>69.99624</v>
      </c>
      <c r="P656">
        <f t="shared" si="31"/>
        <v>0.3738406249999926</v>
      </c>
      <c r="Q656">
        <f t="shared" si="32"/>
        <v>0.3738406249999926</v>
      </c>
      <c r="Y656">
        <f>TREND(H653:H657,G653:G657,G656)</f>
        <v>70.243740131237431</v>
      </c>
      <c r="Z656">
        <f>ABS((Y656-H656)/80*100)</f>
        <v>6.4465460953204712E-2</v>
      </c>
      <c r="AH656">
        <f>H656-AG632</f>
        <v>70.216184999999996</v>
      </c>
      <c r="AI656">
        <f>100*(AH656-O656)/80</f>
        <v>0.27493124999999452</v>
      </c>
    </row>
    <row r="657" spans="1:41" x14ac:dyDescent="0.35">
      <c r="A657" t="s">
        <v>251</v>
      </c>
      <c r="B657" t="s">
        <v>1111</v>
      </c>
      <c r="C657" t="s">
        <v>1195</v>
      </c>
      <c r="D657">
        <v>10</v>
      </c>
      <c r="E657">
        <v>10</v>
      </c>
      <c r="F657">
        <v>1</v>
      </c>
      <c r="G657">
        <v>0.99972000000000005</v>
      </c>
      <c r="H657">
        <v>90.259375000000006</v>
      </c>
      <c r="J657">
        <v>-12375</v>
      </c>
      <c r="N657" t="s">
        <v>180</v>
      </c>
      <c r="O657">
        <f t="shared" si="30"/>
        <v>89.988799999999998</v>
      </c>
      <c r="P657">
        <f t="shared" si="31"/>
        <v>0.33821875000001</v>
      </c>
      <c r="Q657">
        <f t="shared" si="32"/>
        <v>0.33821875000001</v>
      </c>
      <c r="Y657">
        <f>TREND(H653:H657,G653:G657,G657)</f>
        <v>90.291926650744472</v>
      </c>
      <c r="Z657">
        <f>ABS((Y657-H657)/80*100)</f>
        <v>4.0689563430582609E-2</v>
      </c>
      <c r="AH657">
        <f>H657-AG632</f>
        <v>90.180247500000007</v>
      </c>
      <c r="AI657">
        <f>100*(AH657-O657)/80</f>
        <v>0.23930937500001193</v>
      </c>
    </row>
    <row r="658" spans="1:41" x14ac:dyDescent="0.35">
      <c r="A658" t="s">
        <v>251</v>
      </c>
      <c r="B658" t="s">
        <v>1111</v>
      </c>
      <c r="C658" t="s">
        <v>1232</v>
      </c>
      <c r="D658">
        <v>10</v>
      </c>
      <c r="E658">
        <v>10</v>
      </c>
      <c r="F658">
        <v>0</v>
      </c>
      <c r="G658">
        <v>-1.07E-4</v>
      </c>
      <c r="H658">
        <v>50.190624999999997</v>
      </c>
      <c r="J658">
        <v>-12362</v>
      </c>
      <c r="N658" t="s">
        <v>180</v>
      </c>
      <c r="O658">
        <f t="shared" si="30"/>
        <v>49.995719999999999</v>
      </c>
      <c r="P658">
        <f t="shared" si="31"/>
        <v>0.24363124999999819</v>
      </c>
      <c r="Q658">
        <f t="shared" si="32"/>
        <v>0.24363124999999819</v>
      </c>
      <c r="Y658">
        <f>TREND(H653:H657,G653:G657,G658)</f>
        <v>50.187571464136724</v>
      </c>
      <c r="Z658">
        <f>ABS((Y658-H658)/80*100)</f>
        <v>3.8169198290916029E-3</v>
      </c>
      <c r="AH658">
        <f>H658-AG632</f>
        <v>50.111497499999999</v>
      </c>
      <c r="AI658">
        <f>100*(AH658-O658)/80</f>
        <v>0.14472187500000011</v>
      </c>
    </row>
    <row r="659" spans="1:41" x14ac:dyDescent="0.35">
      <c r="A659" t="s">
        <v>251</v>
      </c>
      <c r="B659" t="s">
        <v>1111</v>
      </c>
      <c r="C659" t="s">
        <v>1268</v>
      </c>
      <c r="D659">
        <v>10</v>
      </c>
      <c r="E659">
        <v>10</v>
      </c>
      <c r="F659">
        <v>-1</v>
      </c>
      <c r="G659">
        <v>-0.99984899999999999</v>
      </c>
      <c r="H659">
        <v>10.106249999999999</v>
      </c>
      <c r="J659">
        <v>-12345</v>
      </c>
      <c r="N659" t="s">
        <v>180</v>
      </c>
      <c r="O659">
        <f t="shared" si="30"/>
        <v>10.00604</v>
      </c>
      <c r="P659">
        <f t="shared" si="31"/>
        <v>0.1252624999999985</v>
      </c>
      <c r="Q659">
        <f t="shared" si="32"/>
        <v>0.1252624999999985</v>
      </c>
      <c r="Y659">
        <f>TREND(H653:H657,G653:G657,G659)</f>
        <v>10.086625737556425</v>
      </c>
      <c r="Z659">
        <f>ABS((Y659-H659)/80*100)</f>
        <v>2.453032805446842E-2</v>
      </c>
      <c r="AH659">
        <f>H659-AG632</f>
        <v>10.027122500000001</v>
      </c>
      <c r="AI659">
        <f>100*(AH659-O659)/80</f>
        <v>2.6353125000000421E-2</v>
      </c>
    </row>
    <row r="660" spans="1:41" x14ac:dyDescent="0.35">
      <c r="A660" t="s">
        <v>251</v>
      </c>
      <c r="B660" t="s">
        <v>1111</v>
      </c>
      <c r="C660" t="s">
        <v>1304</v>
      </c>
      <c r="D660">
        <v>25</v>
      </c>
      <c r="E660">
        <v>25</v>
      </c>
      <c r="F660">
        <v>-1</v>
      </c>
      <c r="G660">
        <v>-1.000038</v>
      </c>
      <c r="H660">
        <v>10.1109375</v>
      </c>
      <c r="J660">
        <v>-6590</v>
      </c>
      <c r="N660" t="s">
        <v>180</v>
      </c>
      <c r="O660">
        <f t="shared" si="30"/>
        <v>9.9984800000000007</v>
      </c>
      <c r="P660">
        <f t="shared" si="31"/>
        <v>0.14057187499999957</v>
      </c>
      <c r="Q660">
        <f t="shared" si="32"/>
        <v>0.14057187499999957</v>
      </c>
      <c r="S660">
        <v>50.174999999999997</v>
      </c>
      <c r="T660">
        <v>0.22209999999999397</v>
      </c>
      <c r="U660">
        <v>90.290625000000006</v>
      </c>
      <c r="V660">
        <v>0.36988125000000593</v>
      </c>
      <c r="W660">
        <v>80.179689025878901</v>
      </c>
      <c r="X660">
        <f>(W660-80)/80*100</f>
        <v>0.22461128234862573</v>
      </c>
      <c r="Y660">
        <f>TREND(H660:H664,G660:G664,G660)</f>
        <v>10.083861642841832</v>
      </c>
      <c r="Z660">
        <f>ABS((Y660-H660)/80*100)</f>
        <v>3.3844821447710505E-2</v>
      </c>
      <c r="AA660">
        <f>MAX(Z660:Z664)</f>
        <v>4.2397246516752141E-2</v>
      </c>
      <c r="AB660">
        <f>IF(ABS(MAX(P660:P666)) &gt; ABS(MIN(P660:P666)),MAX(P660:P666), MIN(P660:P666))</f>
        <v>0.36988125000000593</v>
      </c>
      <c r="AC660">
        <f>IF(ABS(AB661)&gt;ABS(AB660),AB661,AB660)</f>
        <v>0.36988125000000593</v>
      </c>
      <c r="AH660">
        <f>H660-AG632</f>
        <v>10.031810000000002</v>
      </c>
      <c r="AI660">
        <f>100*(AH660-O660)/80</f>
        <v>4.166250000000149E-2</v>
      </c>
      <c r="AJ660">
        <v>50.095872499999999</v>
      </c>
      <c r="AK660">
        <v>0.12319062499999589</v>
      </c>
      <c r="AL660">
        <v>90.211497500000007</v>
      </c>
      <c r="AM660">
        <v>0.27097187500000786</v>
      </c>
      <c r="AN660">
        <f>IF(ABS(MAX(AI660:AI666)) &gt; ABS(MIN(AI660:AI666)),MAX(AI660:AI666), MIN(AI660:AI666))</f>
        <v>0.27097187500000786</v>
      </c>
      <c r="AO660">
        <f>IF(ABS(AN661)&gt;ABS(AN660),AN661,AN660)</f>
        <v>0.27097187500000786</v>
      </c>
    </row>
    <row r="661" spans="1:41" x14ac:dyDescent="0.35">
      <c r="A661" t="s">
        <v>251</v>
      </c>
      <c r="B661" t="s">
        <v>1111</v>
      </c>
      <c r="C661" t="s">
        <v>1341</v>
      </c>
      <c r="D661">
        <v>25</v>
      </c>
      <c r="E661">
        <v>25</v>
      </c>
      <c r="F661">
        <v>-0.5</v>
      </c>
      <c r="G661">
        <v>-0.500058</v>
      </c>
      <c r="H661">
        <v>30.1015625</v>
      </c>
      <c r="J661">
        <v>-6562</v>
      </c>
      <c r="N661" t="s">
        <v>180</v>
      </c>
      <c r="O661">
        <f t="shared" si="30"/>
        <v>29.997679999999999</v>
      </c>
      <c r="P661">
        <f t="shared" si="31"/>
        <v>0.12985312500000123</v>
      </c>
      <c r="Q661">
        <f t="shared" si="32"/>
        <v>0.12985312500000123</v>
      </c>
      <c r="Y661">
        <f>TREND(H660:H664,G660:G664,G661)</f>
        <v>30.135480297213402</v>
      </c>
      <c r="Z661">
        <f>ABS((Y661-H661)/80*100)</f>
        <v>4.2397246516752141E-2</v>
      </c>
      <c r="AB661">
        <f>IF(ABS(T660) &gt; ABS(V660),T660,V660)</f>
        <v>0.36988125000000593</v>
      </c>
      <c r="AH661">
        <f>H661-AG632</f>
        <v>30.022435000000002</v>
      </c>
      <c r="AI661">
        <f>100*(AH661-O661)/80</f>
        <v>3.0943750000003156E-2</v>
      </c>
      <c r="AN661">
        <f>IF(ABS(AK660) &gt; ABS(AM660),AK660,AM660)</f>
        <v>0.27097187500000786</v>
      </c>
    </row>
    <row r="662" spans="1:41" x14ac:dyDescent="0.35">
      <c r="A662" t="s">
        <v>251</v>
      </c>
      <c r="B662" t="s">
        <v>1111</v>
      </c>
      <c r="C662" t="s">
        <v>1377</v>
      </c>
      <c r="D662">
        <v>25</v>
      </c>
      <c r="E662">
        <v>25</v>
      </c>
      <c r="F662">
        <v>0</v>
      </c>
      <c r="G662">
        <v>-6.7000000000000002E-5</v>
      </c>
      <c r="H662">
        <v>50.174999999999997</v>
      </c>
      <c r="J662">
        <v>-6544</v>
      </c>
      <c r="N662" t="s">
        <v>180</v>
      </c>
      <c r="O662">
        <f t="shared" si="30"/>
        <v>49.997320000000002</v>
      </c>
      <c r="P662">
        <f t="shared" si="31"/>
        <v>0.22209999999999397</v>
      </c>
      <c r="Q662">
        <f t="shared" si="32"/>
        <v>0.22209999999999397</v>
      </c>
      <c r="Y662">
        <f>TREND(H660:H664,G660:G664,G662)</f>
        <v>50.187540104841503</v>
      </c>
      <c r="Z662">
        <f>ABS((Y662-H662)/80*100)</f>
        <v>1.5675131051882119E-2</v>
      </c>
      <c r="AH662">
        <f>H662-AG632</f>
        <v>50.095872499999999</v>
      </c>
      <c r="AI662">
        <f>100*(AH662-O662)/80</f>
        <v>0.12319062499999589</v>
      </c>
    </row>
    <row r="663" spans="1:41" x14ac:dyDescent="0.35">
      <c r="A663" t="s">
        <v>251</v>
      </c>
      <c r="B663" t="s">
        <v>1111</v>
      </c>
      <c r="C663" t="s">
        <v>1414</v>
      </c>
      <c r="D663">
        <v>25</v>
      </c>
      <c r="E663">
        <v>25</v>
      </c>
      <c r="F663">
        <v>0.5</v>
      </c>
      <c r="G663">
        <v>0.49995499999999998</v>
      </c>
      <c r="H663">
        <v>70.259375000000006</v>
      </c>
      <c r="J663">
        <v>-6535</v>
      </c>
      <c r="N663" t="s">
        <v>180</v>
      </c>
      <c r="O663">
        <f t="shared" si="30"/>
        <v>69.998199999999997</v>
      </c>
      <c r="P663">
        <f t="shared" si="31"/>
        <v>0.32646875000001074</v>
      </c>
      <c r="Q663">
        <f t="shared" si="32"/>
        <v>0.32646875000001074</v>
      </c>
      <c r="Y663">
        <f>TREND(H660:H664,G660:G664,G663)</f>
        <v>70.240843162556175</v>
      </c>
      <c r="Z663">
        <f>ABS((Y663-H663)/80*100)</f>
        <v>2.3164796804788779E-2</v>
      </c>
      <c r="AH663">
        <f>H663-AG632</f>
        <v>70.180247500000007</v>
      </c>
      <c r="AI663">
        <f>100*(AH663-O663)/80</f>
        <v>0.22755937500001266</v>
      </c>
    </row>
    <row r="664" spans="1:41" x14ac:dyDescent="0.35">
      <c r="A664" t="s">
        <v>251</v>
      </c>
      <c r="B664" t="s">
        <v>1111</v>
      </c>
      <c r="C664" t="s">
        <v>1451</v>
      </c>
      <c r="D664">
        <v>25</v>
      </c>
      <c r="E664">
        <v>25</v>
      </c>
      <c r="F664">
        <v>1</v>
      </c>
      <c r="G664">
        <v>0.99986799999999998</v>
      </c>
      <c r="H664">
        <v>90.290625000000006</v>
      </c>
      <c r="J664">
        <v>-6525</v>
      </c>
      <c r="N664" t="s">
        <v>180</v>
      </c>
      <c r="O664">
        <f t="shared" si="30"/>
        <v>89.994720000000001</v>
      </c>
      <c r="P664">
        <f t="shared" si="31"/>
        <v>0.36988125000000593</v>
      </c>
      <c r="Q664">
        <f t="shared" si="32"/>
        <v>0.36988125000000593</v>
      </c>
      <c r="Y664">
        <f>TREND(H660:H664,G660:G664,G664)</f>
        <v>90.289774792547092</v>
      </c>
      <c r="Z664">
        <f>ABS((Y664-H664)/80*100)</f>
        <v>1.0627593161416371E-3</v>
      </c>
      <c r="AH664">
        <f>H664-AG632</f>
        <v>90.211497500000007</v>
      </c>
      <c r="AI664">
        <f>100*(AH664-O664)/80</f>
        <v>0.27097187500000786</v>
      </c>
    </row>
    <row r="665" spans="1:41" x14ac:dyDescent="0.35">
      <c r="A665" t="s">
        <v>251</v>
      </c>
      <c r="B665" t="s">
        <v>1111</v>
      </c>
      <c r="C665" t="s">
        <v>1487</v>
      </c>
      <c r="D665">
        <v>25</v>
      </c>
      <c r="E665">
        <v>25</v>
      </c>
      <c r="F665">
        <v>0</v>
      </c>
      <c r="G665">
        <v>1.2899999999999999E-4</v>
      </c>
      <c r="H665">
        <v>50.170312500000001</v>
      </c>
      <c r="J665">
        <v>-6503</v>
      </c>
      <c r="N665" t="s">
        <v>180</v>
      </c>
      <c r="O665">
        <f t="shared" si="30"/>
        <v>50.005160000000004</v>
      </c>
      <c r="P665">
        <f t="shared" si="31"/>
        <v>0.20644062499999727</v>
      </c>
      <c r="Q665">
        <f t="shared" si="32"/>
        <v>0.20644062499999727</v>
      </c>
      <c r="Y665">
        <f>TREND(H660:H664,G660:G664,G665)</f>
        <v>50.195400653775977</v>
      </c>
      <c r="Z665">
        <f>ABS((Y665-H665)/80*100)</f>
        <v>3.1360192219969107E-2</v>
      </c>
      <c r="AH665">
        <f>H665-AG632</f>
        <v>50.091185000000003</v>
      </c>
      <c r="AI665">
        <f>100*(AH665-O665)/80</f>
        <v>0.10753124999999919</v>
      </c>
    </row>
    <row r="666" spans="1:41" x14ac:dyDescent="0.35">
      <c r="A666" t="s">
        <v>251</v>
      </c>
      <c r="B666" t="s">
        <v>1111</v>
      </c>
      <c r="C666" t="s">
        <v>1524</v>
      </c>
      <c r="D666">
        <v>25</v>
      </c>
      <c r="E666">
        <v>25</v>
      </c>
      <c r="F666">
        <v>-1</v>
      </c>
      <c r="G666">
        <v>-0.99990500000000004</v>
      </c>
      <c r="H666">
        <v>10.134375</v>
      </c>
      <c r="J666">
        <v>-6485</v>
      </c>
      <c r="N666" t="s">
        <v>180</v>
      </c>
      <c r="O666">
        <f t="shared" si="30"/>
        <v>10.003799999999998</v>
      </c>
      <c r="P666">
        <f t="shared" si="31"/>
        <v>0.16321875000000263</v>
      </c>
      <c r="Q666">
        <f t="shared" si="32"/>
        <v>0.16321875000000263</v>
      </c>
      <c r="Y666">
        <f>TREND(H660:H664,G660:G664,G666)</f>
        <v>10.089195586761647</v>
      </c>
      <c r="Z666">
        <f>ABS((Y666-H666)/80*100)</f>
        <v>5.6474266547941181E-2</v>
      </c>
      <c r="AH666">
        <f>H666-AG632</f>
        <v>10.055247500000002</v>
      </c>
      <c r="AI666">
        <f>100*(AH666-O666)/80</f>
        <v>6.4309375000004554E-2</v>
      </c>
    </row>
    <row r="667" spans="1:41" x14ac:dyDescent="0.35">
      <c r="A667" t="s">
        <v>251</v>
      </c>
      <c r="B667" t="s">
        <v>1111</v>
      </c>
      <c r="C667" t="s">
        <v>1561</v>
      </c>
      <c r="D667">
        <v>50</v>
      </c>
      <c r="E667">
        <v>50</v>
      </c>
      <c r="F667">
        <v>-1</v>
      </c>
      <c r="G667">
        <v>-0.99996600000000002</v>
      </c>
      <c r="H667">
        <v>10.051562499999999</v>
      </c>
      <c r="J667">
        <v>3043</v>
      </c>
      <c r="N667" t="s">
        <v>180</v>
      </c>
      <c r="O667">
        <f t="shared" si="30"/>
        <v>10.001359999999998</v>
      </c>
      <c r="P667">
        <f t="shared" si="31"/>
        <v>6.2753125000001297E-2</v>
      </c>
      <c r="Q667">
        <f t="shared" si="32"/>
        <v>6.2753125000001297E-2</v>
      </c>
      <c r="S667">
        <v>50.057812499999997</v>
      </c>
      <c r="T667">
        <v>7.1965624999998923E-2</v>
      </c>
      <c r="U667">
        <v>90.240624999999994</v>
      </c>
      <c r="V667">
        <v>0.29708125000000862</v>
      </c>
      <c r="W667">
        <v>80.189060974121091</v>
      </c>
      <c r="X667">
        <f>(W667-80)/80*100</f>
        <v>0.23632621765136363</v>
      </c>
      <c r="Y667">
        <f>TREND(H667:H671,G667:G671,G667)</f>
        <v>10.012384768701594</v>
      </c>
      <c r="Z667">
        <f>ABS((Y667-H667)/80*100)</f>
        <v>4.8972164123006756E-2</v>
      </c>
      <c r="AA667">
        <f>MAX(Z667:Z671)</f>
        <v>8.315298214478517E-2</v>
      </c>
      <c r="AB667">
        <f>IF(ABS(MAX(P667:P673)) &gt; ABS(MIN(P667:P673)),MAX(P667:P673), MIN(P667:P673))</f>
        <v>0.29708125000000862</v>
      </c>
      <c r="AC667">
        <f>IF(ABS(AB668)&gt;ABS(AB667),AB668,AB667)</f>
        <v>0.29708125000000862</v>
      </c>
      <c r="AH667">
        <f>H667-AG632</f>
        <v>9.9724350000000008</v>
      </c>
      <c r="AI667">
        <f>100*(AH667-O667)/80</f>
        <v>-3.6156249999996781E-2</v>
      </c>
      <c r="AJ667">
        <v>49.978684999999999</v>
      </c>
      <c r="AK667">
        <v>-2.6943749999999156E-2</v>
      </c>
      <c r="AL667">
        <v>90.161497499999996</v>
      </c>
      <c r="AM667">
        <v>0.19817187500001054</v>
      </c>
      <c r="AN667">
        <f>IF(ABS(MAX(AI667:AI673)) &gt; ABS(MIN(AI667:AI673)),MAX(AI667:AI673), MIN(AI667:AI673))</f>
        <v>0.19817187500001054</v>
      </c>
      <c r="AO667">
        <f>IF(ABS(AN668)&gt;ABS(AN667),AN668,AN667)</f>
        <v>0.19817187500001054</v>
      </c>
    </row>
    <row r="668" spans="1:41" x14ac:dyDescent="0.35">
      <c r="A668" t="s">
        <v>251</v>
      </c>
      <c r="B668" t="s">
        <v>1111</v>
      </c>
      <c r="C668" t="s">
        <v>1597</v>
      </c>
      <c r="D668">
        <v>50</v>
      </c>
      <c r="E668">
        <v>50</v>
      </c>
      <c r="F668">
        <v>-0.5</v>
      </c>
      <c r="G668">
        <v>-0.500587</v>
      </c>
      <c r="H668">
        <v>30.018750000000001</v>
      </c>
      <c r="J668">
        <v>3085</v>
      </c>
      <c r="N668" t="s">
        <v>180</v>
      </c>
      <c r="O668">
        <f t="shared" si="30"/>
        <v>29.976520000000001</v>
      </c>
      <c r="P668">
        <f t="shared" si="31"/>
        <v>5.2787499999999987E-2</v>
      </c>
      <c r="Q668">
        <f t="shared" si="32"/>
        <v>5.2787499999999987E-2</v>
      </c>
      <c r="Y668">
        <f>TREND(H667:H671,G667:G671,G668)</f>
        <v>30.04401119172589</v>
      </c>
      <c r="Z668">
        <f>ABS((Y668-H668)/80*100)</f>
        <v>3.1576489657361151E-2</v>
      </c>
      <c r="AB668">
        <f>IF(ABS(T667) &gt; ABS(V667),T667,V667)</f>
        <v>0.29708125000000862</v>
      </c>
      <c r="AH668">
        <f>H668-AG632</f>
        <v>29.939622500000002</v>
      </c>
      <c r="AI668">
        <f>100*(AH668-O668)/80</f>
        <v>-4.6121874999998091E-2</v>
      </c>
      <c r="AN668">
        <f>IF(ABS(AK667) &gt; ABS(AM667),AK667,AM667)</f>
        <v>0.19817187500001054</v>
      </c>
    </row>
    <row r="669" spans="1:41" x14ac:dyDescent="0.35">
      <c r="A669" t="s">
        <v>251</v>
      </c>
      <c r="B669" t="s">
        <v>1111</v>
      </c>
      <c r="C669" t="s">
        <v>1635</v>
      </c>
      <c r="D669">
        <v>50</v>
      </c>
      <c r="E669">
        <v>50</v>
      </c>
      <c r="F669">
        <v>0</v>
      </c>
      <c r="G669">
        <v>6.0000000000000002E-6</v>
      </c>
      <c r="H669">
        <v>50.057812499999997</v>
      </c>
      <c r="J669">
        <v>3122</v>
      </c>
      <c r="N669" t="s">
        <v>180</v>
      </c>
      <c r="O669">
        <f t="shared" si="30"/>
        <v>50.000239999999998</v>
      </c>
      <c r="P669">
        <f t="shared" si="31"/>
        <v>7.1965624999998923E-2</v>
      </c>
      <c r="Q669">
        <f t="shared" si="32"/>
        <v>7.1965624999998923E-2</v>
      </c>
      <c r="Y669">
        <f>TREND(H667:H671,G667:G671,G669)</f>
        <v>50.124334885715825</v>
      </c>
      <c r="Z669">
        <f>ABS((Y669-H669)/80*100)</f>
        <v>8.315298214478517E-2</v>
      </c>
      <c r="AH669">
        <f>H669-AG632</f>
        <v>49.978684999999999</v>
      </c>
      <c r="AI669">
        <f>100*(AH669-O669)/80</f>
        <v>-2.6943749999999156E-2</v>
      </c>
    </row>
    <row r="670" spans="1:41" x14ac:dyDescent="0.35">
      <c r="A670" t="s">
        <v>251</v>
      </c>
      <c r="B670" t="s">
        <v>1111</v>
      </c>
      <c r="C670" t="s">
        <v>1671</v>
      </c>
      <c r="D670">
        <v>50</v>
      </c>
      <c r="E670">
        <v>50</v>
      </c>
      <c r="F670">
        <v>0.5</v>
      </c>
      <c r="G670">
        <v>0.49969000000000002</v>
      </c>
      <c r="H670">
        <v>70.220312500000006</v>
      </c>
      <c r="J670">
        <v>3150</v>
      </c>
      <c r="N670" t="s">
        <v>180</v>
      </c>
      <c r="O670">
        <f t="shared" si="30"/>
        <v>69.9876</v>
      </c>
      <c r="P670">
        <f t="shared" si="31"/>
        <v>0.29089062500000651</v>
      </c>
      <c r="Q670">
        <f t="shared" si="32"/>
        <v>0.29089062500000651</v>
      </c>
      <c r="Y670">
        <f>TREND(H667:H671,G667:G671,G670)</f>
        <v>70.168195796091453</v>
      </c>
      <c r="Z670">
        <f>ABS((Y670-H670)/80*100)</f>
        <v>6.5145879885690761E-2</v>
      </c>
      <c r="AH670">
        <f>H670-AG632</f>
        <v>70.141185000000007</v>
      </c>
      <c r="AI670">
        <f>100*(AH670-O670)/80</f>
        <v>0.19198125000000843</v>
      </c>
    </row>
    <row r="671" spans="1:41" x14ac:dyDescent="0.35">
      <c r="A671" t="s">
        <v>251</v>
      </c>
      <c r="B671" t="s">
        <v>1111</v>
      </c>
      <c r="C671" t="s">
        <v>1708</v>
      </c>
      <c r="D671">
        <v>50</v>
      </c>
      <c r="E671">
        <v>50</v>
      </c>
      <c r="F671">
        <v>1</v>
      </c>
      <c r="G671">
        <v>1.0000739999999999</v>
      </c>
      <c r="H671">
        <v>90.240624999999994</v>
      </c>
      <c r="J671">
        <v>3181</v>
      </c>
      <c r="N671" t="s">
        <v>180</v>
      </c>
      <c r="O671">
        <f t="shared" si="30"/>
        <v>90.002959999999987</v>
      </c>
      <c r="P671">
        <f t="shared" si="31"/>
        <v>0.29708125000000862</v>
      </c>
      <c r="Q671">
        <f t="shared" si="32"/>
        <v>0.29708125000000862</v>
      </c>
      <c r="Y671">
        <f>TREND(H667:H671,G667:G671,G671)</f>
        <v>90.240135857765239</v>
      </c>
      <c r="Z671">
        <f>ABS((Y671-H671)/80*100)</f>
        <v>6.1142779344436349E-4</v>
      </c>
      <c r="AH671">
        <f>H671-AG632</f>
        <v>90.161497499999996</v>
      </c>
      <c r="AI671">
        <f>100*(AH671-O671)/80</f>
        <v>0.19817187500001054</v>
      </c>
    </row>
    <row r="672" spans="1:41" x14ac:dyDescent="0.35">
      <c r="A672" t="s">
        <v>251</v>
      </c>
      <c r="B672" t="s">
        <v>1111</v>
      </c>
      <c r="C672" t="s">
        <v>1745</v>
      </c>
      <c r="D672">
        <v>50</v>
      </c>
      <c r="E672">
        <v>50</v>
      </c>
      <c r="F672">
        <v>0</v>
      </c>
      <c r="G672">
        <v>-8.2000000000000001E-5</v>
      </c>
      <c r="H672">
        <v>50.042187499999997</v>
      </c>
      <c r="J672">
        <v>3214</v>
      </c>
      <c r="N672" t="s">
        <v>180</v>
      </c>
      <c r="O672">
        <f t="shared" si="30"/>
        <v>49.996719999999996</v>
      </c>
      <c r="P672">
        <f t="shared" si="31"/>
        <v>5.6834375000001103E-2</v>
      </c>
      <c r="Q672">
        <f t="shared" si="32"/>
        <v>5.6834375000001103E-2</v>
      </c>
      <c r="Y672">
        <f>TREND(H667:H671,G667:G671,G672)</f>
        <v>50.120804935266918</v>
      </c>
      <c r="Z672">
        <f>ABS((Y672-H672)/80*100)</f>
        <v>9.8271794083650818E-2</v>
      </c>
      <c r="AH672">
        <f>H672-AG632</f>
        <v>49.963059999999999</v>
      </c>
      <c r="AI672">
        <f>100*(AH672-O672)/80</f>
        <v>-4.2074999999996976E-2</v>
      </c>
    </row>
    <row r="673" spans="1:41" x14ac:dyDescent="0.35">
      <c r="A673" t="s">
        <v>251</v>
      </c>
      <c r="B673" t="s">
        <v>1111</v>
      </c>
      <c r="C673" t="s">
        <v>1781</v>
      </c>
      <c r="D673">
        <v>50</v>
      </c>
      <c r="E673">
        <v>50</v>
      </c>
      <c r="F673">
        <v>-1</v>
      </c>
      <c r="G673">
        <v>-1.0002040000000001</v>
      </c>
      <c r="H673">
        <v>10.050000000000001</v>
      </c>
      <c r="J673">
        <v>3231</v>
      </c>
      <c r="N673" t="s">
        <v>180</v>
      </c>
      <c r="O673">
        <f t="shared" si="30"/>
        <v>9.9918399999999963</v>
      </c>
      <c r="P673">
        <f t="shared" si="31"/>
        <v>7.2700000000005538E-2</v>
      </c>
      <c r="Q673">
        <f t="shared" si="32"/>
        <v>7.2700000000005538E-2</v>
      </c>
      <c r="Y673">
        <f>TREND(H667:H671,G667:G671,G673)</f>
        <v>10.002837857260225</v>
      </c>
      <c r="Z673">
        <f>ABS((Y673-H673)/80*100)</f>
        <v>5.8952678424719629E-2</v>
      </c>
      <c r="AH673">
        <f>H673-AG632</f>
        <v>9.9708725000000022</v>
      </c>
      <c r="AI673">
        <f>100*(AH673-O673)/80</f>
        <v>-2.6209374999992541E-2</v>
      </c>
    </row>
    <row r="674" spans="1:41" x14ac:dyDescent="0.35">
      <c r="A674" t="s">
        <v>251</v>
      </c>
      <c r="B674" t="s">
        <v>1111</v>
      </c>
      <c r="C674" t="s">
        <v>1819</v>
      </c>
      <c r="D674">
        <v>70</v>
      </c>
      <c r="E674">
        <v>70</v>
      </c>
      <c r="F674">
        <v>-1</v>
      </c>
      <c r="G674">
        <v>-1.0003519999999999</v>
      </c>
      <c r="H674">
        <v>10.0078125</v>
      </c>
      <c r="J674">
        <v>11022</v>
      </c>
      <c r="N674" t="s">
        <v>180</v>
      </c>
      <c r="O674">
        <f t="shared" si="30"/>
        <v>9.9859200000000037</v>
      </c>
      <c r="P674">
        <f t="shared" si="31"/>
        <v>2.7365624999995397E-2</v>
      </c>
      <c r="Q674">
        <f t="shared" si="32"/>
        <v>2.7365624999995397E-2</v>
      </c>
      <c r="S674">
        <v>49.9921875</v>
      </c>
      <c r="T674">
        <v>-1.1915624999998542E-2</v>
      </c>
      <c r="U674">
        <v>90.229687499999997</v>
      </c>
      <c r="V674">
        <v>0.31075937499998929</v>
      </c>
      <c r="W674">
        <v>80.221878051757813</v>
      </c>
      <c r="X674">
        <f>(W674-80)/80*100</f>
        <v>0.27734756469726563</v>
      </c>
      <c r="Y674">
        <f>TREND(H674:H678,G674:G678,G674)</f>
        <v>9.9020195500894133</v>
      </c>
      <c r="Z674">
        <f>ABS((Y674-H674)/80*100)</f>
        <v>0.13224118738823343</v>
      </c>
      <c r="AA674">
        <f>MAX(Z674:Z678)</f>
        <v>0.13224118738823343</v>
      </c>
      <c r="AB674">
        <f>IF(ABS(MAX(P674:P680)) &gt; ABS(MIN(P674:P680)),MAX(P674:P680), MIN(P674:P680))</f>
        <v>0.31075937499998929</v>
      </c>
      <c r="AC674">
        <f>IF(ABS(AB675)&gt;ABS(AB674),AB675,AB674)</f>
        <v>0.31075937499998929</v>
      </c>
      <c r="AH674">
        <f>H674-AG632</f>
        <v>9.9286850000000015</v>
      </c>
      <c r="AI674">
        <f>100*(AH674-O674)/80</f>
        <v>-7.1543750000002682E-2</v>
      </c>
      <c r="AJ674">
        <v>49.913060000000002</v>
      </c>
      <c r="AK674">
        <v>-0.11082499999999662</v>
      </c>
      <c r="AL674">
        <v>90.150559999999999</v>
      </c>
      <c r="AM674">
        <v>0.21184999999999121</v>
      </c>
      <c r="AN674">
        <f>IF(ABS(MAX(AI674:AI680)) &gt; ABS(MIN(AI674:AI680)),MAX(AI674:AI680), MIN(AI674:AI680))</f>
        <v>-0.24080000000000101</v>
      </c>
      <c r="AO674">
        <f>IF(ABS(AN675)&gt;ABS(AN674),AN675,AN674)</f>
        <v>-0.24080000000000101</v>
      </c>
    </row>
    <row r="675" spans="1:41" x14ac:dyDescent="0.35">
      <c r="A675" t="s">
        <v>251</v>
      </c>
      <c r="B675" t="s">
        <v>1111</v>
      </c>
      <c r="C675" t="s">
        <v>1856</v>
      </c>
      <c r="D675">
        <v>70</v>
      </c>
      <c r="E675">
        <v>70</v>
      </c>
      <c r="F675">
        <v>-0.5</v>
      </c>
      <c r="G675">
        <v>-0.50017</v>
      </c>
      <c r="H675">
        <v>29.879687499999999</v>
      </c>
      <c r="J675">
        <v>11053</v>
      </c>
      <c r="N675" t="s">
        <v>180</v>
      </c>
      <c r="O675">
        <f t="shared" si="30"/>
        <v>29.993200000000002</v>
      </c>
      <c r="P675">
        <f t="shared" si="31"/>
        <v>-0.14189062500000293</v>
      </c>
      <c r="Q675">
        <f t="shared" si="32"/>
        <v>0.14189062500000293</v>
      </c>
      <c r="Y675">
        <f>TREND(H674:H678,G674:G678,G675)</f>
        <v>29.976978854305489</v>
      </c>
      <c r="Z675">
        <f>ABS((Y675-H675)/80*100)</f>
        <v>0.12161419288186259</v>
      </c>
      <c r="AB675">
        <f>IF(ABS(T674) &gt; ABS(V674),T674,V674)</f>
        <v>0.31075937499998929</v>
      </c>
      <c r="AH675">
        <f>H675-AG632</f>
        <v>29.800560000000001</v>
      </c>
      <c r="AI675">
        <f>100*(AH675-O675)/80</f>
        <v>-0.24080000000000101</v>
      </c>
      <c r="AN675">
        <f>IF(ABS(AK674) &gt; ABS(AM674),AK674,AM674)</f>
        <v>0.21184999999999121</v>
      </c>
    </row>
    <row r="676" spans="1:41" x14ac:dyDescent="0.35">
      <c r="A676" t="s">
        <v>251</v>
      </c>
      <c r="B676" t="s">
        <v>1111</v>
      </c>
      <c r="C676" t="s">
        <v>1892</v>
      </c>
      <c r="D676">
        <v>70</v>
      </c>
      <c r="E676">
        <v>70</v>
      </c>
      <c r="F676">
        <v>0</v>
      </c>
      <c r="G676">
        <v>4.3000000000000002E-5</v>
      </c>
      <c r="H676">
        <v>49.9921875</v>
      </c>
      <c r="J676">
        <v>11084</v>
      </c>
      <c r="N676" t="s">
        <v>180</v>
      </c>
      <c r="O676">
        <f t="shared" si="30"/>
        <v>50.001719999999999</v>
      </c>
      <c r="P676">
        <f t="shared" si="31"/>
        <v>-1.1915624999998542E-2</v>
      </c>
      <c r="Q676">
        <f t="shared" si="32"/>
        <v>1.1915624999998542E-2</v>
      </c>
      <c r="Y676">
        <f>TREND(H674:H678,G674:G678,G676)</f>
        <v>50.053182353111595</v>
      </c>
      <c r="Z676">
        <f>ABS((Y676-H676)/80*100)</f>
        <v>7.6243566389493367E-2</v>
      </c>
      <c r="AH676">
        <f>H676-AG632</f>
        <v>49.913060000000002</v>
      </c>
      <c r="AI676">
        <f>100*(AH676-O676)/80</f>
        <v>-0.11082499999999662</v>
      </c>
    </row>
    <row r="677" spans="1:41" x14ac:dyDescent="0.35">
      <c r="A677" t="s">
        <v>251</v>
      </c>
      <c r="B677" t="s">
        <v>1111</v>
      </c>
      <c r="C677" t="s">
        <v>1928</v>
      </c>
      <c r="D677">
        <v>70</v>
      </c>
      <c r="E677">
        <v>70</v>
      </c>
      <c r="F677">
        <v>0.5</v>
      </c>
      <c r="G677">
        <v>0.49995299999999998</v>
      </c>
      <c r="H677">
        <v>70.107812499999994</v>
      </c>
      <c r="J677">
        <v>11123</v>
      </c>
      <c r="N677" t="s">
        <v>180</v>
      </c>
      <c r="O677">
        <f t="shared" si="30"/>
        <v>69.99812</v>
      </c>
      <c r="P677">
        <f t="shared" si="31"/>
        <v>0.13711562499999275</v>
      </c>
      <c r="Q677">
        <f t="shared" si="32"/>
        <v>0.13711562499999275</v>
      </c>
      <c r="Y677">
        <f>TREND(H674:H678,G674:G678,G677)</f>
        <v>70.11722485318289</v>
      </c>
      <c r="Z677">
        <f>ABS((Y677-H677)/80*100)</f>
        <v>1.1765441478619465E-2</v>
      </c>
      <c r="AH677">
        <f>H677-AG632</f>
        <v>70.028684999999996</v>
      </c>
      <c r="AI677">
        <f>100*(AH677-O677)/80</f>
        <v>3.8206249999994668E-2</v>
      </c>
    </row>
    <row r="678" spans="1:41" x14ac:dyDescent="0.35">
      <c r="A678" t="s">
        <v>251</v>
      </c>
      <c r="B678" t="s">
        <v>1111</v>
      </c>
      <c r="C678" t="s">
        <v>1965</v>
      </c>
      <c r="D678">
        <v>70</v>
      </c>
      <c r="E678">
        <v>70</v>
      </c>
      <c r="F678">
        <v>1</v>
      </c>
      <c r="G678">
        <v>0.99952700000000005</v>
      </c>
      <c r="H678">
        <v>90.229687499999997</v>
      </c>
      <c r="J678">
        <v>11143</v>
      </c>
      <c r="N678" t="s">
        <v>180</v>
      </c>
      <c r="O678">
        <f t="shared" si="30"/>
        <v>89.981080000000006</v>
      </c>
      <c r="P678">
        <f t="shared" si="31"/>
        <v>0.31075937499998929</v>
      </c>
      <c r="Q678">
        <f t="shared" si="32"/>
        <v>0.31075937499998929</v>
      </c>
      <c r="Y678">
        <f>TREND(H674:H678,G674:G678,G678)</f>
        <v>90.167781889310632</v>
      </c>
      <c r="Z678">
        <f>ABS((Y678-H678)/80*100)</f>
        <v>7.738201336170647E-2</v>
      </c>
      <c r="AH678">
        <f>H678-AG632</f>
        <v>90.150559999999999</v>
      </c>
      <c r="AI678">
        <f>100*(AH678-O678)/80</f>
        <v>0.21184999999999121</v>
      </c>
    </row>
    <row r="679" spans="1:41" x14ac:dyDescent="0.35">
      <c r="A679" t="s">
        <v>251</v>
      </c>
      <c r="B679" t="s">
        <v>1111</v>
      </c>
      <c r="C679" t="s">
        <v>2001</v>
      </c>
      <c r="D679">
        <v>70</v>
      </c>
      <c r="E679">
        <v>70</v>
      </c>
      <c r="F679">
        <v>0</v>
      </c>
      <c r="G679">
        <v>-2.3599999999999999E-4</v>
      </c>
      <c r="H679">
        <v>49.962499999999999</v>
      </c>
      <c r="J679">
        <v>11171</v>
      </c>
      <c r="N679" t="s">
        <v>180</v>
      </c>
      <c r="O679">
        <f t="shared" si="30"/>
        <v>49.990560000000002</v>
      </c>
      <c r="P679">
        <f t="shared" si="31"/>
        <v>-3.5075000000004408E-2</v>
      </c>
      <c r="Q679">
        <f t="shared" si="32"/>
        <v>3.5075000000004408E-2</v>
      </c>
      <c r="Y679">
        <f>TREND(H674:H678,G674:G678,G679)</f>
        <v>50.041984601801325</v>
      </c>
      <c r="Z679">
        <f>ABS((Y679-H679)/80*100)</f>
        <v>9.9355752251657492E-2</v>
      </c>
      <c r="AH679">
        <f>H679-AG632</f>
        <v>49.8833725</v>
      </c>
      <c r="AI679">
        <f>100*(AH679-O679)/80</f>
        <v>-0.13398437500000249</v>
      </c>
    </row>
    <row r="680" spans="1:41" x14ac:dyDescent="0.35">
      <c r="A680" t="s">
        <v>251</v>
      </c>
      <c r="B680" t="s">
        <v>1111</v>
      </c>
      <c r="C680" t="s">
        <v>2038</v>
      </c>
      <c r="D680">
        <v>70</v>
      </c>
      <c r="E680">
        <v>70</v>
      </c>
      <c r="F680">
        <v>-1</v>
      </c>
      <c r="G680">
        <v>-1.0000089999999999</v>
      </c>
      <c r="H680">
        <v>10.003125000000001</v>
      </c>
      <c r="J680">
        <v>11193</v>
      </c>
      <c r="N680" t="s">
        <v>180</v>
      </c>
      <c r="O680">
        <f t="shared" si="30"/>
        <v>9.999640000000003</v>
      </c>
      <c r="P680">
        <f t="shared" si="31"/>
        <v>4.3562499999971749E-3</v>
      </c>
      <c r="Q680">
        <f t="shared" si="32"/>
        <v>4.3562499999971749E-3</v>
      </c>
      <c r="Y680">
        <f>TREND(H674:H678,G674:G678,G680)</f>
        <v>9.9157859611984591</v>
      </c>
      <c r="Z680">
        <f>ABS((Y680-H680)/80*100)</f>
        <v>0.10917379850192699</v>
      </c>
      <c r="AH680">
        <f>H680-AG632</f>
        <v>9.9239975000000022</v>
      </c>
      <c r="AI680">
        <f>100*(AH680-O680)/80</f>
        <v>-9.4553125000000904E-2</v>
      </c>
    </row>
    <row r="681" spans="1:41" x14ac:dyDescent="0.35">
      <c r="A681" t="s">
        <v>251</v>
      </c>
      <c r="B681" t="s">
        <v>1111</v>
      </c>
      <c r="C681" t="s">
        <v>2074</v>
      </c>
      <c r="D681">
        <v>85</v>
      </c>
      <c r="E681">
        <v>85</v>
      </c>
      <c r="F681">
        <v>-1</v>
      </c>
      <c r="G681">
        <v>-1.000121</v>
      </c>
      <c r="H681">
        <v>9.9859375000000004</v>
      </c>
      <c r="J681">
        <v>17055</v>
      </c>
      <c r="N681" t="s">
        <v>180</v>
      </c>
      <c r="O681">
        <f t="shared" si="30"/>
        <v>9.9951599999999985</v>
      </c>
      <c r="P681">
        <f t="shared" si="31"/>
        <v>-1.1528124999997669E-2</v>
      </c>
      <c r="Q681">
        <f t="shared" si="32"/>
        <v>1.1528124999997669E-2</v>
      </c>
      <c r="S681">
        <v>49.962499999999999</v>
      </c>
      <c r="T681">
        <v>-4.3325000000002944E-2</v>
      </c>
      <c r="U681">
        <v>90.232812499999994</v>
      </c>
      <c r="V681">
        <v>0.29826562499998488</v>
      </c>
      <c r="W681">
        <v>80.246873474121088</v>
      </c>
      <c r="X681">
        <f>(W681-80)/80*100</f>
        <v>0.30859184265136008</v>
      </c>
      <c r="Y681">
        <f>TREND(H681:H685,G681:G685,G681)</f>
        <v>9.8800807090634493</v>
      </c>
      <c r="Z681">
        <f>ABS((Y681-H681)/80*100)</f>
        <v>0.13232098867068887</v>
      </c>
      <c r="AA681">
        <f>MAX(Z681:Z685)</f>
        <v>0.13232098867068887</v>
      </c>
      <c r="AB681">
        <f>IF(ABS(MAX(P681:P687)) &gt; ABS(MIN(P681:P687)),MAX(P681:P687), MIN(P681:P687))</f>
        <v>0.29826562499998488</v>
      </c>
      <c r="AC681">
        <f>IF(ABS(AB682)&gt;ABS(AB681),AB682,AB681)</f>
        <v>0.29826562499998488</v>
      </c>
      <c r="AH681">
        <f>H681-AG632</f>
        <v>9.9068100000000019</v>
      </c>
      <c r="AI681">
        <f>100*(AH681-O681)/80</f>
        <v>-0.11043749999999575</v>
      </c>
      <c r="AJ681">
        <v>49.8833725</v>
      </c>
      <c r="AK681">
        <v>-0.14223437500000102</v>
      </c>
      <c r="AL681">
        <v>90.153684999999996</v>
      </c>
      <c r="AM681">
        <v>0.1993562499999868</v>
      </c>
      <c r="AN681">
        <f>IF(ABS(MAX(AI681:AI687)) &gt; ABS(MIN(AI681:AI687)),MAX(AI681:AI687), MIN(AI681:AI687))</f>
        <v>-0.27044687499999664</v>
      </c>
      <c r="AO681">
        <f>IF(ABS(AN682)&gt;ABS(AN681),AN682,AN681)</f>
        <v>-0.27044687499999664</v>
      </c>
    </row>
    <row r="682" spans="1:41" x14ac:dyDescent="0.35">
      <c r="A682" t="s">
        <v>251</v>
      </c>
      <c r="B682" t="s">
        <v>1111</v>
      </c>
      <c r="C682" t="s">
        <v>2110</v>
      </c>
      <c r="D682">
        <v>85</v>
      </c>
      <c r="E682">
        <v>85</v>
      </c>
      <c r="F682">
        <v>-0.5</v>
      </c>
      <c r="G682">
        <v>-0.50016300000000002</v>
      </c>
      <c r="H682">
        <v>29.856249999999999</v>
      </c>
      <c r="J682">
        <v>17077</v>
      </c>
      <c r="N682" t="s">
        <v>180</v>
      </c>
      <c r="O682">
        <f t="shared" si="30"/>
        <v>29.993479999999998</v>
      </c>
      <c r="P682">
        <f t="shared" si="31"/>
        <v>-0.17153749999999857</v>
      </c>
      <c r="Q682">
        <f t="shared" si="32"/>
        <v>0.17153749999999857</v>
      </c>
      <c r="Y682">
        <f>TREND(H681:H685,G681:G685,G682)</f>
        <v>29.953062321916278</v>
      </c>
      <c r="Z682">
        <f>ABS((Y682-H682)/80*100)</f>
        <v>0.12101540239534803</v>
      </c>
      <c r="AB682">
        <f>IF(ABS(T681) &gt; ABS(V681),T681,V681)</f>
        <v>0.29826562499998488</v>
      </c>
      <c r="AH682">
        <f>H682-AG632</f>
        <v>29.777122500000001</v>
      </c>
      <c r="AI682">
        <f>100*(AH682-O682)/80</f>
        <v>-0.27044687499999664</v>
      </c>
      <c r="AN682">
        <f>IF(ABS(AK681) &gt; ABS(AM681),AK681,AM681)</f>
        <v>0.1993562499999868</v>
      </c>
    </row>
    <row r="683" spans="1:41" x14ac:dyDescent="0.35">
      <c r="A683" t="s">
        <v>251</v>
      </c>
      <c r="B683" t="s">
        <v>1111</v>
      </c>
      <c r="C683" t="s">
        <v>2146</v>
      </c>
      <c r="D683">
        <v>85</v>
      </c>
      <c r="E683">
        <v>85</v>
      </c>
      <c r="F683">
        <v>0</v>
      </c>
      <c r="G683">
        <v>-7.1000000000000005E-5</v>
      </c>
      <c r="H683">
        <v>49.962499999999999</v>
      </c>
      <c r="J683">
        <v>17108</v>
      </c>
      <c r="N683" t="s">
        <v>180</v>
      </c>
      <c r="O683">
        <f t="shared" si="30"/>
        <v>49.997160000000001</v>
      </c>
      <c r="P683">
        <f t="shared" si="31"/>
        <v>-4.3325000000002944E-2</v>
      </c>
      <c r="Q683">
        <f t="shared" si="32"/>
        <v>4.3325000000002944E-2</v>
      </c>
      <c r="Y683">
        <f>TREND(H681:H685,G681:G685,G683)</f>
        <v>50.03142394576227</v>
      </c>
      <c r="Z683">
        <f>ABS((Y683-H683)/80*100)</f>
        <v>8.6154932202839873E-2</v>
      </c>
      <c r="AH683">
        <f>H683-AG632</f>
        <v>49.8833725</v>
      </c>
      <c r="AI683">
        <f>100*(AH683-O683)/80</f>
        <v>-0.14223437500000102</v>
      </c>
    </row>
    <row r="684" spans="1:41" x14ac:dyDescent="0.35">
      <c r="A684" t="s">
        <v>251</v>
      </c>
      <c r="B684" t="s">
        <v>1111</v>
      </c>
      <c r="C684" t="s">
        <v>2184</v>
      </c>
      <c r="D684">
        <v>85</v>
      </c>
      <c r="E684">
        <v>85</v>
      </c>
      <c r="F684">
        <v>0.5</v>
      </c>
      <c r="G684">
        <v>0.49981199999999998</v>
      </c>
      <c r="H684">
        <v>70.106250000000003</v>
      </c>
      <c r="J684">
        <v>17134</v>
      </c>
      <c r="N684" t="s">
        <v>180</v>
      </c>
      <c r="O684">
        <f t="shared" si="30"/>
        <v>69.99248</v>
      </c>
      <c r="P684">
        <f t="shared" si="31"/>
        <v>0.14221250000000296</v>
      </c>
      <c r="Q684">
        <f t="shared" si="32"/>
        <v>0.14221250000000296</v>
      </c>
      <c r="Y684">
        <f>TREND(H681:H685,G681:G685,G684)</f>
        <v>70.101394358432344</v>
      </c>
      <c r="Z684">
        <f>ABS((Y684-H684)/80*100)</f>
        <v>6.0695519595732605E-3</v>
      </c>
      <c r="AH684">
        <f>H684-AG632</f>
        <v>70.027122500000004</v>
      </c>
      <c r="AI684">
        <f>100*(AH684-O684)/80</f>
        <v>4.3303125000004883E-2</v>
      </c>
    </row>
    <row r="685" spans="1:41" x14ac:dyDescent="0.35">
      <c r="A685" t="s">
        <v>251</v>
      </c>
      <c r="B685" t="s">
        <v>1111</v>
      </c>
      <c r="C685" t="s">
        <v>2220</v>
      </c>
      <c r="D685">
        <v>85</v>
      </c>
      <c r="E685">
        <v>85</v>
      </c>
      <c r="F685">
        <v>1</v>
      </c>
      <c r="G685">
        <v>0.99985500000000005</v>
      </c>
      <c r="H685">
        <v>90.232812499999994</v>
      </c>
      <c r="J685">
        <v>17152</v>
      </c>
      <c r="N685" t="s">
        <v>180</v>
      </c>
      <c r="O685">
        <f t="shared" si="30"/>
        <v>89.994200000000006</v>
      </c>
      <c r="P685">
        <f t="shared" si="31"/>
        <v>0.29826562499998488</v>
      </c>
      <c r="Q685">
        <f t="shared" si="32"/>
        <v>0.29826562499998488</v>
      </c>
      <c r="Y685">
        <f>TREND(H681:H685,G681:G685,G685)</f>
        <v>90.177788664825613</v>
      </c>
      <c r="Z685">
        <f>ABS((Y685-H685)/80*100)</f>
        <v>6.8779793967976843E-2</v>
      </c>
      <c r="AH685">
        <f>H685-AG632</f>
        <v>90.153684999999996</v>
      </c>
      <c r="AI685">
        <f>100*(AH685-O685)/80</f>
        <v>0.1993562499999868</v>
      </c>
    </row>
    <row r="686" spans="1:41" x14ac:dyDescent="0.35">
      <c r="A686" t="s">
        <v>251</v>
      </c>
      <c r="B686" t="s">
        <v>1111</v>
      </c>
      <c r="C686" t="s">
        <v>2256</v>
      </c>
      <c r="D686">
        <v>85</v>
      </c>
      <c r="E686">
        <v>85</v>
      </c>
      <c r="F686">
        <v>0</v>
      </c>
      <c r="G686">
        <v>1.9000000000000001E-5</v>
      </c>
      <c r="H686">
        <v>49.9140625</v>
      </c>
      <c r="J686">
        <v>17176</v>
      </c>
      <c r="N686" t="s">
        <v>180</v>
      </c>
      <c r="O686">
        <f t="shared" si="30"/>
        <v>50.00076</v>
      </c>
      <c r="P686">
        <f t="shared" si="31"/>
        <v>-0.10837187499999956</v>
      </c>
      <c r="Q686">
        <f t="shared" si="32"/>
        <v>0.10837187499999956</v>
      </c>
      <c r="Y686">
        <f>TREND(H681:H685,G681:G685,G686)</f>
        <v>50.03503738598156</v>
      </c>
      <c r="Z686">
        <f>ABS((Y686-H686)/80*100)</f>
        <v>0.1512186074769506</v>
      </c>
      <c r="AH686">
        <f>H686-AG632</f>
        <v>49.834935000000002</v>
      </c>
      <c r="AI686">
        <f>100*(AH686-O686)/80</f>
        <v>-0.20728124999999764</v>
      </c>
    </row>
    <row r="687" spans="1:41" x14ac:dyDescent="0.35">
      <c r="A687" t="s">
        <v>251</v>
      </c>
      <c r="B687" t="s">
        <v>1111</v>
      </c>
      <c r="C687" t="s">
        <v>2293</v>
      </c>
      <c r="D687">
        <v>85</v>
      </c>
      <c r="E687">
        <v>85</v>
      </c>
      <c r="F687">
        <v>-1</v>
      </c>
      <c r="G687">
        <v>-0.99959200000000004</v>
      </c>
      <c r="H687">
        <v>9.9796875000000007</v>
      </c>
      <c r="J687">
        <v>17202</v>
      </c>
      <c r="N687" t="s">
        <v>180</v>
      </c>
      <c r="O687">
        <f t="shared" si="30"/>
        <v>10.016319999999999</v>
      </c>
      <c r="P687">
        <f t="shared" si="31"/>
        <v>-4.5790624999997309E-2</v>
      </c>
      <c r="Q687">
        <f t="shared" si="32"/>
        <v>4.5790624999997309E-2</v>
      </c>
      <c r="Y687">
        <f>TREND(H681:H685,G681:G685,G687)</f>
        <v>9.9013197076857367</v>
      </c>
      <c r="Z687">
        <f>ABS((Y687-H687)/80*100)</f>
        <v>9.795974039283005E-2</v>
      </c>
      <c r="AH687">
        <f>H687-AG632</f>
        <v>9.9005600000000022</v>
      </c>
      <c r="AI687">
        <f>100*(AH687-O687)/80</f>
        <v>-0.14469999999999539</v>
      </c>
    </row>
    <row r="688" spans="1:41" x14ac:dyDescent="0.35">
      <c r="A688" t="s">
        <v>251</v>
      </c>
      <c r="B688" t="s">
        <v>1111</v>
      </c>
      <c r="C688" t="s">
        <v>2330</v>
      </c>
      <c r="D688">
        <v>25</v>
      </c>
      <c r="E688">
        <v>25</v>
      </c>
      <c r="F688">
        <v>-1</v>
      </c>
      <c r="G688">
        <v>-1.000559</v>
      </c>
      <c r="H688">
        <v>9.8953124999999993</v>
      </c>
      <c r="J688">
        <v>-5384</v>
      </c>
      <c r="N688" t="s">
        <v>180</v>
      </c>
      <c r="O688">
        <f t="shared" si="30"/>
        <v>9.977640000000001</v>
      </c>
      <c r="P688">
        <f t="shared" si="31"/>
        <v>-0.10290937500000208</v>
      </c>
      <c r="Q688">
        <f t="shared" si="32"/>
        <v>0.10290937500000208</v>
      </c>
      <c r="S688">
        <v>49.981250000000003</v>
      </c>
      <c r="T688">
        <v>-2.3537500000001543E-2</v>
      </c>
      <c r="U688">
        <v>90.1796875</v>
      </c>
      <c r="V688">
        <v>0.22960937500000611</v>
      </c>
      <c r="W688">
        <v>80.284374999999997</v>
      </c>
      <c r="X688">
        <f>(W688-80)/80*100</f>
        <v>0.35546874999999645</v>
      </c>
      <c r="Y688">
        <f>TREND(H688:H692,G688:G692,G688)</f>
        <v>9.8782635708948305</v>
      </c>
      <c r="Z688">
        <f>ABS((Y688-H688)/80*100)</f>
        <v>2.1311161381460941E-2</v>
      </c>
      <c r="AA688">
        <f>MAX(Z688:Z692)</f>
        <v>8.4947593469175686E-2</v>
      </c>
      <c r="AB688">
        <f>IF(ABS(MAX(P688:P694)) &gt; ABS(MIN(P688:P694)),MAX(P688:P694), MIN(P688:P694))</f>
        <v>0.23326562499999426</v>
      </c>
      <c r="AC688">
        <f>IF(ABS(AB689)&gt;ABS(AB688),AB689,AB688)</f>
        <v>0.23326562499999426</v>
      </c>
      <c r="AH688">
        <f>H688-AG632</f>
        <v>9.8161850000000008</v>
      </c>
      <c r="AI688">
        <f>100*(AH688-O688)/80</f>
        <v>-0.20181875000000016</v>
      </c>
      <c r="AJ688">
        <v>49.902122500000004</v>
      </c>
      <c r="AK688">
        <v>-0.12244687499999962</v>
      </c>
      <c r="AL688">
        <v>90.100560000000002</v>
      </c>
      <c r="AM688">
        <v>0.13070000000000803</v>
      </c>
      <c r="AN688">
        <f>IF(ABS(MAX(AI688:AI694)) &gt; ABS(MIN(AI688:AI694)),MAX(AI688:AI694), MIN(AI688:AI694))</f>
        <v>-0.20181875000000016</v>
      </c>
      <c r="AO688">
        <f>IF(ABS(AN689)&gt;ABS(AN688),AN689,AN688)</f>
        <v>-0.20181875000000016</v>
      </c>
    </row>
    <row r="689" spans="1:41" x14ac:dyDescent="0.35">
      <c r="A689" t="s">
        <v>251</v>
      </c>
      <c r="B689" t="s">
        <v>1111</v>
      </c>
      <c r="C689" t="s">
        <v>2367</v>
      </c>
      <c r="D689">
        <v>25</v>
      </c>
      <c r="E689">
        <v>25</v>
      </c>
      <c r="F689">
        <v>-0.5</v>
      </c>
      <c r="G689">
        <v>-0.50026800000000005</v>
      </c>
      <c r="H689">
        <v>29.965624999999999</v>
      </c>
      <c r="J689">
        <v>-5437</v>
      </c>
      <c r="N689" t="s">
        <v>180</v>
      </c>
      <c r="O689">
        <f t="shared" si="30"/>
        <v>29.989279999999997</v>
      </c>
      <c r="P689">
        <f t="shared" si="31"/>
        <v>-2.9568749999997479E-2</v>
      </c>
      <c r="Q689">
        <f t="shared" si="32"/>
        <v>2.9568749999997479E-2</v>
      </c>
      <c r="Y689">
        <f>TREND(H688:H692,G688:G692,G689)</f>
        <v>29.964157381258104</v>
      </c>
      <c r="Z689">
        <f>ABS((Y689-H689)/80*100)</f>
        <v>1.8345234273686728E-3</v>
      </c>
      <c r="AB689">
        <f>IF(ABS(T688) &gt; ABS(V688),T688,V688)</f>
        <v>0.22960937500000611</v>
      </c>
      <c r="AH689">
        <f>H689-AG632</f>
        <v>29.886497500000001</v>
      </c>
      <c r="AI689">
        <f>100*(AH689-O689)/80</f>
        <v>-0.12847812499999556</v>
      </c>
      <c r="AN689">
        <f>IF(ABS(AK688) &gt; ABS(AM688),AK688,AM688)</f>
        <v>0.13070000000000803</v>
      </c>
    </row>
    <row r="690" spans="1:41" x14ac:dyDescent="0.35">
      <c r="A690" t="s">
        <v>251</v>
      </c>
      <c r="B690" t="s">
        <v>1111</v>
      </c>
      <c r="C690" t="s">
        <v>2403</v>
      </c>
      <c r="D690">
        <v>25</v>
      </c>
      <c r="E690">
        <v>25</v>
      </c>
      <c r="F690">
        <v>0</v>
      </c>
      <c r="G690">
        <v>1.9999999999999999E-6</v>
      </c>
      <c r="H690">
        <v>49.981250000000003</v>
      </c>
      <c r="J690">
        <v>-5494</v>
      </c>
      <c r="N690" t="s">
        <v>180</v>
      </c>
      <c r="O690">
        <f t="shared" si="30"/>
        <v>50.000080000000004</v>
      </c>
      <c r="P690">
        <f t="shared" si="31"/>
        <v>-2.3537500000001543E-2</v>
      </c>
      <c r="Q690">
        <f t="shared" si="32"/>
        <v>2.3537500000001543E-2</v>
      </c>
      <c r="Y690">
        <f>TREND(H688:H692,G688:G692,G690)</f>
        <v>50.049208074775343</v>
      </c>
      <c r="Z690">
        <f>ABS((Y690-H690)/80*100)</f>
        <v>8.4947593469175686E-2</v>
      </c>
      <c r="AH690">
        <f>H690-AG632</f>
        <v>49.902122500000004</v>
      </c>
      <c r="AI690">
        <f>100*(AH690-O690)/80</f>
        <v>-0.12244687499999962</v>
      </c>
    </row>
    <row r="691" spans="1:41" x14ac:dyDescent="0.35">
      <c r="A691" t="s">
        <v>251</v>
      </c>
      <c r="B691" t="s">
        <v>1111</v>
      </c>
      <c r="C691" t="s">
        <v>2440</v>
      </c>
      <c r="D691">
        <v>25</v>
      </c>
      <c r="E691">
        <v>25</v>
      </c>
      <c r="F691">
        <v>0.5</v>
      </c>
      <c r="G691">
        <v>0.49990499999999999</v>
      </c>
      <c r="H691">
        <v>70.182812499999997</v>
      </c>
      <c r="J691">
        <v>-5549</v>
      </c>
      <c r="N691" t="s">
        <v>180</v>
      </c>
      <c r="O691">
        <f t="shared" si="30"/>
        <v>69.996200000000002</v>
      </c>
      <c r="P691">
        <f t="shared" si="31"/>
        <v>0.23326562499999426</v>
      </c>
      <c r="Q691">
        <f t="shared" si="32"/>
        <v>0.23326562499999426</v>
      </c>
      <c r="Y691">
        <f>TREND(H688:H692,G688:G692,G691)</f>
        <v>70.119524297697666</v>
      </c>
      <c r="Z691">
        <f>ABS((Y691-H691)/80*100)</f>
        <v>7.9110252877914178E-2</v>
      </c>
      <c r="AH691">
        <f>H691-AG632</f>
        <v>70.103684999999999</v>
      </c>
      <c r="AI691">
        <f>100*(AH691-O691)/80</f>
        <v>0.13435624999999618</v>
      </c>
    </row>
    <row r="692" spans="1:41" x14ac:dyDescent="0.35">
      <c r="A692" t="s">
        <v>251</v>
      </c>
      <c r="B692" t="s">
        <v>1111</v>
      </c>
      <c r="C692" t="s">
        <v>2477</v>
      </c>
      <c r="D692">
        <v>25</v>
      </c>
      <c r="E692">
        <v>25</v>
      </c>
      <c r="F692">
        <v>1</v>
      </c>
      <c r="G692">
        <v>0.99990000000000001</v>
      </c>
      <c r="H692">
        <v>90.1796875</v>
      </c>
      <c r="J692">
        <v>-5602</v>
      </c>
      <c r="N692" t="s">
        <v>180</v>
      </c>
      <c r="O692">
        <f t="shared" si="30"/>
        <v>89.995999999999995</v>
      </c>
      <c r="P692">
        <f t="shared" si="31"/>
        <v>0.22960937500000611</v>
      </c>
      <c r="Q692">
        <f t="shared" si="32"/>
        <v>0.22960937500000611</v>
      </c>
      <c r="Y692">
        <f>TREND(H688:H692,G688:G692,G692)</f>
        <v>90.193534175374026</v>
      </c>
      <c r="Z692">
        <f>ABS((Y692-H692)/80*100)</f>
        <v>1.7308344217532579E-2</v>
      </c>
      <c r="AH692">
        <f>H692-AG632</f>
        <v>90.100560000000002</v>
      </c>
      <c r="AI692">
        <f>100*(AH692-O692)/80</f>
        <v>0.13070000000000803</v>
      </c>
    </row>
    <row r="693" spans="1:41" x14ac:dyDescent="0.35">
      <c r="A693" t="s">
        <v>251</v>
      </c>
      <c r="B693" t="s">
        <v>1111</v>
      </c>
      <c r="C693" t="s">
        <v>2514</v>
      </c>
      <c r="D693">
        <v>25</v>
      </c>
      <c r="E693">
        <v>25</v>
      </c>
      <c r="F693">
        <v>0</v>
      </c>
      <c r="G693">
        <v>7.7999999999999999E-5</v>
      </c>
      <c r="H693">
        <v>50.026562499999997</v>
      </c>
      <c r="J693">
        <v>-5648</v>
      </c>
      <c r="N693" t="s">
        <v>180</v>
      </c>
      <c r="O693">
        <f t="shared" si="30"/>
        <v>50.003120000000003</v>
      </c>
      <c r="P693">
        <f t="shared" si="31"/>
        <v>2.9303124999993102E-2</v>
      </c>
      <c r="Q693">
        <f t="shared" si="32"/>
        <v>2.9303124999993102E-2</v>
      </c>
      <c r="Y693">
        <f>TREND(H688:H692,G688:G692,G693)</f>
        <v>50.052259354789555</v>
      </c>
      <c r="Z693">
        <f>ABS((Y693-H693)/80*100)</f>
        <v>3.2121068486947735E-2</v>
      </c>
      <c r="AH693">
        <f>H693-AG632</f>
        <v>49.947434999999999</v>
      </c>
      <c r="AI693">
        <f>100*(AH693-O693)/80</f>
        <v>-6.9606250000004977E-2</v>
      </c>
    </row>
    <row r="694" spans="1:41" x14ac:dyDescent="0.35">
      <c r="A694" t="s">
        <v>251</v>
      </c>
      <c r="B694" t="s">
        <v>1111</v>
      </c>
      <c r="C694" t="s">
        <v>2549</v>
      </c>
      <c r="D694">
        <v>25</v>
      </c>
      <c r="E694">
        <v>25</v>
      </c>
      <c r="F694">
        <v>-1</v>
      </c>
      <c r="G694">
        <v>-1.0002470000000001</v>
      </c>
      <c r="H694">
        <v>9.9671874999999996</v>
      </c>
      <c r="J694">
        <v>-5690</v>
      </c>
      <c r="N694" t="s">
        <v>180</v>
      </c>
      <c r="O694">
        <f t="shared" si="30"/>
        <v>9.9901199999999957</v>
      </c>
      <c r="P694">
        <f t="shared" si="31"/>
        <v>-2.8665624999995032E-2</v>
      </c>
      <c r="Q694">
        <f t="shared" si="32"/>
        <v>2.8665624999995032E-2</v>
      </c>
      <c r="Y694">
        <f>TREND(H688:H692,G688:G692,G694)</f>
        <v>9.89078987832157</v>
      </c>
      <c r="Z694">
        <f>ABS((Y694-H694)/80*100)</f>
        <v>9.5497027098037091E-2</v>
      </c>
      <c r="AH694">
        <f>H694-AG632</f>
        <v>9.8880600000000012</v>
      </c>
      <c r="AI694">
        <f>100*(AH694-O694)/80</f>
        <v>-0.12757499999999311</v>
      </c>
    </row>
    <row r="695" spans="1:41" x14ac:dyDescent="0.35">
      <c r="A695" t="s">
        <v>252</v>
      </c>
      <c r="B695" t="s">
        <v>231</v>
      </c>
      <c r="C695" t="s">
        <v>253</v>
      </c>
      <c r="D695">
        <v>25</v>
      </c>
      <c r="E695">
        <v>25</v>
      </c>
      <c r="F695">
        <v>-1</v>
      </c>
      <c r="G695">
        <v>-1.0000599999999999</v>
      </c>
      <c r="H695">
        <v>-1.2</v>
      </c>
      <c r="J695">
        <v>-6201</v>
      </c>
      <c r="N695" t="s">
        <v>181</v>
      </c>
      <c r="O695">
        <f t="shared" si="30"/>
        <v>9.997600000000002</v>
      </c>
      <c r="P695">
        <f t="shared" si="31"/>
        <v>-13.997000000000003</v>
      </c>
      <c r="Q695">
        <f t="shared" si="32"/>
        <v>13.997000000000003</v>
      </c>
      <c r="S695">
        <v>-1.2</v>
      </c>
      <c r="T695">
        <v>-64.003250000000008</v>
      </c>
      <c r="U695">
        <v>13.0296875</v>
      </c>
      <c r="V695">
        <v>-96.189340624999986</v>
      </c>
      <c r="W695">
        <v>14.229687881469726</v>
      </c>
      <c r="X695">
        <f>(W695-80)/80*100</f>
        <v>-82.212890148162842</v>
      </c>
      <c r="Y695">
        <f>TREND(H695:H699,G695:G699,G695)</f>
        <v>-4.0453894690529868</v>
      </c>
      <c r="Z695">
        <f>ABS((Y695-H695)/80*100)</f>
        <v>3.5567368363162335</v>
      </c>
      <c r="AA695">
        <f>MAX(Z695:Z699)</f>
        <v>7.1156326759914155</v>
      </c>
      <c r="AB695">
        <f>IF(ABS(MAX(P695:P701)) &gt; ABS(MIN(P695:P701)),MAX(P695:P701), MIN(P695:P701))</f>
        <v>-96.189340624999986</v>
      </c>
      <c r="AC695">
        <f>IF(ABS(AB696)&gt;ABS(AB695),AB696,AB695)</f>
        <v>-96.189340624999986</v>
      </c>
      <c r="AD695">
        <f>MAX(AD696:AD697)</f>
        <v>9.5499999999955065E-3</v>
      </c>
      <c r="AE695">
        <f>MAX(AE696:AE716)</f>
        <v>128.02904687499998</v>
      </c>
      <c r="AF695">
        <f>MAX(AD695,AA695)</f>
        <v>7.1156326759914155</v>
      </c>
      <c r="AG695">
        <f>H697-O697</f>
        <v>-51.202600000000004</v>
      </c>
      <c r="AH695">
        <f>H695-AG695</f>
        <v>50.002600000000001</v>
      </c>
      <c r="AI695">
        <f>100*(AH695-O695)/80</f>
        <v>50.006249999999994</v>
      </c>
      <c r="AJ695">
        <v>50.002600000000001</v>
      </c>
      <c r="AK695">
        <v>0</v>
      </c>
      <c r="AL695">
        <v>64.232287499999998</v>
      </c>
      <c r="AM695">
        <v>-32.186090624999984</v>
      </c>
      <c r="AN695">
        <f>IF(ABS(MAX(AI695:AI701)) &gt; ABS(MIN(AI695:AI701)),MAX(AI695:AI701), MIN(AI695:AI701))</f>
        <v>50.006249999999994</v>
      </c>
      <c r="AO695">
        <f>IF(ABS(AN696)&gt;ABS(AN695),AN696,AN695)</f>
        <v>50.006249999999994</v>
      </c>
    </row>
    <row r="696" spans="1:41" x14ac:dyDescent="0.35">
      <c r="A696" t="s">
        <v>252</v>
      </c>
      <c r="B696" t="s">
        <v>231</v>
      </c>
      <c r="C696" t="s">
        <v>318</v>
      </c>
      <c r="D696">
        <v>25</v>
      </c>
      <c r="E696">
        <v>25</v>
      </c>
      <c r="F696">
        <v>-0.5</v>
      </c>
      <c r="G696">
        <v>-0.50043000000000004</v>
      </c>
      <c r="H696">
        <v>-1.2</v>
      </c>
      <c r="J696">
        <v>-6212</v>
      </c>
      <c r="N696" t="s">
        <v>181</v>
      </c>
      <c r="O696">
        <f t="shared" si="30"/>
        <v>29.982799999999997</v>
      </c>
      <c r="P696">
        <f t="shared" si="31"/>
        <v>-38.978499999999997</v>
      </c>
      <c r="Q696">
        <f t="shared" si="32"/>
        <v>38.978499999999997</v>
      </c>
      <c r="Y696">
        <f>TREND(H695:H699,G695:G699,G696)</f>
        <v>-1.2012680706438787</v>
      </c>
      <c r="Z696">
        <f>ABS((Y696-H696)/80*100)</f>
        <v>1.5850883048484918E-3</v>
      </c>
      <c r="AB696">
        <f>IF(ABS(T695) &gt; ABS(V695),T695,V695)</f>
        <v>-96.189340624999986</v>
      </c>
      <c r="AD696">
        <f>ABS(P697-P700)</f>
        <v>1.9999999999953388E-3</v>
      </c>
      <c r="AE696">
        <f>ABS(P723-P695)</f>
        <v>5.9999999999327258E-4</v>
      </c>
      <c r="AH696">
        <f>H696-AG695</f>
        <v>50.002600000000001</v>
      </c>
      <c r="AI696">
        <f>100*(AH696-O696)/80</f>
        <v>25.024750000000004</v>
      </c>
      <c r="AN696">
        <f>IF(ABS(AK695) &gt; ABS(AM695),AK695,AM695)</f>
        <v>-32.186090624999984</v>
      </c>
    </row>
    <row r="697" spans="1:41" x14ac:dyDescent="0.35">
      <c r="A697" t="s">
        <v>252</v>
      </c>
      <c r="B697" t="s">
        <v>231</v>
      </c>
      <c r="C697" t="s">
        <v>354</v>
      </c>
      <c r="D697">
        <v>25</v>
      </c>
      <c r="E697">
        <v>25</v>
      </c>
      <c r="F697">
        <v>0</v>
      </c>
      <c r="G697">
        <v>6.4999999999999994E-5</v>
      </c>
      <c r="H697">
        <v>-1.2</v>
      </c>
      <c r="J697">
        <v>-6205</v>
      </c>
      <c r="N697" t="s">
        <v>181</v>
      </c>
      <c r="O697">
        <f t="shared" si="30"/>
        <v>50.002600000000001</v>
      </c>
      <c r="P697">
        <f t="shared" si="31"/>
        <v>-64.003250000000008</v>
      </c>
      <c r="Q697">
        <f t="shared" si="32"/>
        <v>64.003250000000008</v>
      </c>
      <c r="Y697">
        <f>TREND(H695:H699,G695:G699,G697)</f>
        <v>1.6477773015250603</v>
      </c>
      <c r="Z697">
        <f>ABS((Y697-H697)/80*100)</f>
        <v>3.5597216269063252</v>
      </c>
      <c r="AD697">
        <f>ABS(P695-P701)</f>
        <v>9.5499999999955065E-3</v>
      </c>
      <c r="AE697">
        <f>ABS(P724-P696)</f>
        <v>1.8350000000005195E-2</v>
      </c>
      <c r="AH697">
        <f>H697-AG695</f>
        <v>50.002600000000001</v>
      </c>
      <c r="AI697">
        <f>100*(AH697-O697)/80</f>
        <v>0</v>
      </c>
    </row>
    <row r="698" spans="1:41" x14ac:dyDescent="0.35">
      <c r="A698" t="s">
        <v>252</v>
      </c>
      <c r="B698" t="s">
        <v>231</v>
      </c>
      <c r="C698" t="s">
        <v>391</v>
      </c>
      <c r="D698">
        <v>25</v>
      </c>
      <c r="E698">
        <v>25</v>
      </c>
      <c r="F698">
        <v>0.5</v>
      </c>
      <c r="G698">
        <v>0.49960500000000002</v>
      </c>
      <c r="H698">
        <v>-1.2</v>
      </c>
      <c r="J698">
        <v>-6210</v>
      </c>
      <c r="N698" t="s">
        <v>181</v>
      </c>
      <c r="O698">
        <f t="shared" si="30"/>
        <v>69.984200000000001</v>
      </c>
      <c r="P698">
        <f t="shared" si="31"/>
        <v>-88.980249999999998</v>
      </c>
      <c r="Q698">
        <f t="shared" si="32"/>
        <v>88.980249999999998</v>
      </c>
      <c r="Y698">
        <f>TREND(H695:H699,G695:G699,G698)</f>
        <v>4.491386378964938</v>
      </c>
      <c r="Z698">
        <f>ABS((Y698-H698)/80*100)</f>
        <v>7.114232973706172</v>
      </c>
      <c r="AE698">
        <f>ABS(P725-P697)</f>
        <v>1.3000000000147338E-3</v>
      </c>
      <c r="AH698">
        <f>H698-AG695</f>
        <v>50.002600000000001</v>
      </c>
      <c r="AI698">
        <f>100*(AH698-O698)/80</f>
        <v>-24.977</v>
      </c>
    </row>
    <row r="699" spans="1:41" x14ac:dyDescent="0.35">
      <c r="A699" t="s">
        <v>252</v>
      </c>
      <c r="B699" t="s">
        <v>231</v>
      </c>
      <c r="C699" t="s">
        <v>428</v>
      </c>
      <c r="D699">
        <v>25</v>
      </c>
      <c r="E699">
        <v>25</v>
      </c>
      <c r="F699">
        <v>1</v>
      </c>
      <c r="G699">
        <v>0.999529</v>
      </c>
      <c r="H699">
        <v>13.0296875</v>
      </c>
      <c r="J699">
        <v>-6208</v>
      </c>
      <c r="N699" t="s">
        <v>181</v>
      </c>
      <c r="O699">
        <f t="shared" si="30"/>
        <v>89.981159999999988</v>
      </c>
      <c r="P699">
        <f t="shared" si="31"/>
        <v>-96.189340624999986</v>
      </c>
      <c r="Q699">
        <f t="shared" si="32"/>
        <v>96.189340624999986</v>
      </c>
      <c r="Y699">
        <f>TREND(H695:H699,G695:G699,G699)</f>
        <v>7.337181359206868</v>
      </c>
      <c r="Z699">
        <f>ABS((Y699-H699)/80*100)</f>
        <v>7.1156326759914155</v>
      </c>
      <c r="AE699">
        <f>ABS(P726-P698)</f>
        <v>1.5100000000003888E-2</v>
      </c>
      <c r="AH699">
        <f>H699-AG695</f>
        <v>64.232287499999998</v>
      </c>
      <c r="AI699">
        <f>100*(AH699-O699)/80</f>
        <v>-32.186090624999984</v>
      </c>
    </row>
    <row r="700" spans="1:41" x14ac:dyDescent="0.35">
      <c r="A700" t="s">
        <v>252</v>
      </c>
      <c r="B700" t="s">
        <v>231</v>
      </c>
      <c r="C700" t="s">
        <v>465</v>
      </c>
      <c r="D700">
        <v>25</v>
      </c>
      <c r="E700">
        <v>25</v>
      </c>
      <c r="F700">
        <v>0</v>
      </c>
      <c r="G700">
        <v>1.05E-4</v>
      </c>
      <c r="H700">
        <v>-1.2</v>
      </c>
      <c r="J700">
        <v>-6208</v>
      </c>
      <c r="N700" t="s">
        <v>181</v>
      </c>
      <c r="O700">
        <f t="shared" si="30"/>
        <v>50.004199999999997</v>
      </c>
      <c r="P700">
        <f t="shared" si="31"/>
        <v>-64.005250000000004</v>
      </c>
      <c r="Q700">
        <f t="shared" si="32"/>
        <v>64.005250000000004</v>
      </c>
      <c r="Y700">
        <f>TREND(H695:H699,G695:G699,G700)</f>
        <v>1.6480049997336073</v>
      </c>
      <c r="Z700">
        <f>ABS((Y700-H700)/80*100)</f>
        <v>3.5600062496670097</v>
      </c>
      <c r="AE700">
        <f>ABS(P727-P699)</f>
        <v>17.813159375000026</v>
      </c>
      <c r="AH700">
        <f>H700-AG695</f>
        <v>50.002600000000001</v>
      </c>
      <c r="AI700">
        <f>100*(AH700-O700)/80</f>
        <v>-1.9999999999953388E-3</v>
      </c>
    </row>
    <row r="701" spans="1:41" x14ac:dyDescent="0.35">
      <c r="A701" t="s">
        <v>252</v>
      </c>
      <c r="B701" t="s">
        <v>231</v>
      </c>
      <c r="C701" t="s">
        <v>502</v>
      </c>
      <c r="D701">
        <v>25</v>
      </c>
      <c r="E701">
        <v>25</v>
      </c>
      <c r="F701">
        <v>-1</v>
      </c>
      <c r="G701">
        <v>-0.99986900000000001</v>
      </c>
      <c r="H701">
        <v>-1.2</v>
      </c>
      <c r="J701">
        <v>-6201</v>
      </c>
      <c r="N701" t="s">
        <v>181</v>
      </c>
      <c r="O701">
        <f t="shared" si="30"/>
        <v>10.005240000000001</v>
      </c>
      <c r="P701">
        <f t="shared" si="31"/>
        <v>-14.006549999999999</v>
      </c>
      <c r="Q701">
        <f t="shared" si="32"/>
        <v>14.006549999999999</v>
      </c>
      <c r="Y701">
        <f>TREND(H695:H699,G695:G699,G701)</f>
        <v>-4.0443022101071744</v>
      </c>
      <c r="Z701">
        <f>ABS((Y701-H701)/80*100)</f>
        <v>3.5553777626339675</v>
      </c>
      <c r="AE701">
        <f>ABS(P728-P700)</f>
        <v>3.3000000000100727E-3</v>
      </c>
      <c r="AH701">
        <f>H701-AG695</f>
        <v>50.002600000000001</v>
      </c>
      <c r="AI701">
        <f>100*(AH701-O701)/80</f>
        <v>49.996699999999997</v>
      </c>
    </row>
    <row r="702" spans="1:41" x14ac:dyDescent="0.35">
      <c r="A702" t="s">
        <v>252</v>
      </c>
      <c r="B702" t="s">
        <v>231</v>
      </c>
      <c r="C702" t="s">
        <v>539</v>
      </c>
      <c r="D702">
        <v>-20</v>
      </c>
      <c r="E702">
        <v>-20.2</v>
      </c>
      <c r="F702">
        <v>-1</v>
      </c>
      <c r="G702">
        <v>-1.000407</v>
      </c>
      <c r="H702">
        <v>101.1984375</v>
      </c>
      <c r="J702">
        <v>-23610</v>
      </c>
      <c r="N702" t="s">
        <v>181</v>
      </c>
      <c r="O702">
        <f t="shared" si="30"/>
        <v>9.9837199999999982</v>
      </c>
      <c r="P702">
        <f t="shared" si="31"/>
        <v>114.01839687500001</v>
      </c>
      <c r="Q702">
        <f t="shared" si="32"/>
        <v>114.01839687500001</v>
      </c>
      <c r="S702">
        <v>101.1984375</v>
      </c>
      <c r="T702">
        <v>64.031596874999991</v>
      </c>
      <c r="U702">
        <v>101.1984375</v>
      </c>
      <c r="V702">
        <v>13.995846875000009</v>
      </c>
      <c r="W702">
        <v>3.0517578153421709E-6</v>
      </c>
      <c r="X702">
        <f>(W702-80)/80*100</f>
        <v>-99.999996185302734</v>
      </c>
      <c r="Y702">
        <f>TREND(H702:H706,G702:G706,G702)</f>
        <v>101.1984375</v>
      </c>
      <c r="Z702">
        <f>ABS((Y702-H702)/80*100)</f>
        <v>0</v>
      </c>
      <c r="AA702">
        <f>MAX(Z702:Z706)</f>
        <v>0</v>
      </c>
      <c r="AB702">
        <f>IF(ABS(MAX(P702:P708)) &gt; ABS(MIN(P702:P708)),MAX(P702:P708), MIN(P702:P708))</f>
        <v>114.01839687500001</v>
      </c>
      <c r="AC702">
        <f>IF(ABS(AB703)&gt;ABS(AB702),AB703,AB702)</f>
        <v>114.01839687500001</v>
      </c>
      <c r="AE702">
        <f>ABS(P729-P701)</f>
        <v>1.0999999999992127E-3</v>
      </c>
      <c r="AH702">
        <f>H702-AG695</f>
        <v>152.4010375</v>
      </c>
      <c r="AI702">
        <f>100*(AH702-O702)/80</f>
        <v>178.02164687499999</v>
      </c>
      <c r="AJ702">
        <v>152.4010375</v>
      </c>
      <c r="AK702">
        <v>128.034846875</v>
      </c>
      <c r="AL702">
        <v>152.4010375</v>
      </c>
      <c r="AM702">
        <v>77.999096875000006</v>
      </c>
      <c r="AN702">
        <f>IF(ABS(MAX(AI702:AI708)) &gt; ABS(MIN(AI702:AI708)),MAX(AI702:AI708), MIN(AI702:AI708))</f>
        <v>178.02164687499999</v>
      </c>
      <c r="AO702">
        <f>IF(ABS(AN703)&gt;ABS(AN702),AN703,AN702)</f>
        <v>178.02164687499999</v>
      </c>
    </row>
    <row r="703" spans="1:41" x14ac:dyDescent="0.35">
      <c r="A703" t="s">
        <v>252</v>
      </c>
      <c r="B703" t="s">
        <v>231</v>
      </c>
      <c r="C703" t="s">
        <v>576</v>
      </c>
      <c r="D703">
        <v>-20</v>
      </c>
      <c r="E703">
        <v>-19.899999999999999</v>
      </c>
      <c r="F703">
        <v>-0.5</v>
      </c>
      <c r="G703">
        <v>-0.499913</v>
      </c>
      <c r="H703">
        <v>101.1984375</v>
      </c>
      <c r="J703">
        <v>-23649</v>
      </c>
      <c r="N703" t="s">
        <v>181</v>
      </c>
      <c r="O703">
        <f t="shared" si="30"/>
        <v>30.003479999999996</v>
      </c>
      <c r="P703">
        <f t="shared" si="31"/>
        <v>88.993696874999998</v>
      </c>
      <c r="Q703">
        <f t="shared" si="32"/>
        <v>88.993696874999998</v>
      </c>
      <c r="Y703">
        <f>TREND(H702:H706,G702:G706,G703)</f>
        <v>101.1984375</v>
      </c>
      <c r="Z703">
        <f>ABS((Y703-H703)/80*100)</f>
        <v>0</v>
      </c>
      <c r="AB703">
        <f>IF(ABS(T702) &gt; ABS(V702),T702,V702)</f>
        <v>64.031596874999991</v>
      </c>
      <c r="AE703">
        <f>ABS(P751-P695)</f>
        <v>128.02844687499999</v>
      </c>
      <c r="AH703">
        <f>H703-AG695</f>
        <v>152.4010375</v>
      </c>
      <c r="AI703">
        <f>100*(AH703-O703)/80</f>
        <v>152.99694687499999</v>
      </c>
      <c r="AN703">
        <f>IF(ABS(AK702) &gt; ABS(AM702),AK702,AM702)</f>
        <v>128.034846875</v>
      </c>
    </row>
    <row r="704" spans="1:41" x14ac:dyDescent="0.35">
      <c r="A704" t="s">
        <v>252</v>
      </c>
      <c r="B704" t="s">
        <v>231</v>
      </c>
      <c r="C704" t="s">
        <v>613</v>
      </c>
      <c r="D704">
        <v>-20</v>
      </c>
      <c r="E704">
        <v>-20.100000000000001</v>
      </c>
      <c r="F704">
        <v>0</v>
      </c>
      <c r="G704">
        <v>-6.7100000000000005E-4</v>
      </c>
      <c r="H704">
        <v>101.1984375</v>
      </c>
      <c r="J704">
        <v>-23677</v>
      </c>
      <c r="N704" t="s">
        <v>181</v>
      </c>
      <c r="O704">
        <f t="shared" si="30"/>
        <v>49.97316</v>
      </c>
      <c r="P704">
        <f t="shared" si="31"/>
        <v>64.031596874999991</v>
      </c>
      <c r="Q704">
        <f t="shared" si="32"/>
        <v>64.031596874999991</v>
      </c>
      <c r="Y704">
        <f>TREND(H702:H706,G702:G706,G704)</f>
        <v>101.1984375</v>
      </c>
      <c r="Z704">
        <f>ABS((Y704-H704)/80*100)</f>
        <v>0</v>
      </c>
      <c r="AE704">
        <f>ABS(P752-P696)</f>
        <v>127.98964687499999</v>
      </c>
      <c r="AH704">
        <f>H704-AG695</f>
        <v>152.4010375</v>
      </c>
      <c r="AI704">
        <f>100*(AH704-O704)/80</f>
        <v>128.034846875</v>
      </c>
    </row>
    <row r="705" spans="1:41" x14ac:dyDescent="0.35">
      <c r="A705" t="s">
        <v>252</v>
      </c>
      <c r="B705" t="s">
        <v>231</v>
      </c>
      <c r="C705" t="s">
        <v>649</v>
      </c>
      <c r="D705">
        <v>-20</v>
      </c>
      <c r="E705">
        <v>-19.899999999999999</v>
      </c>
      <c r="F705">
        <v>0.5</v>
      </c>
      <c r="G705">
        <v>0.50001799999999996</v>
      </c>
      <c r="H705">
        <v>101.1984375</v>
      </c>
      <c r="J705">
        <v>-23705</v>
      </c>
      <c r="N705" t="s">
        <v>181</v>
      </c>
      <c r="O705">
        <f t="shared" si="30"/>
        <v>70.000720000000001</v>
      </c>
      <c r="P705">
        <f t="shared" si="31"/>
        <v>38.997146874999991</v>
      </c>
      <c r="Q705">
        <f t="shared" si="32"/>
        <v>38.997146874999991</v>
      </c>
      <c r="Y705">
        <f>TREND(H702:H706,G702:G706,G705)</f>
        <v>101.1984375</v>
      </c>
      <c r="Z705">
        <f>ABS((Y705-H705)/80*100)</f>
        <v>0</v>
      </c>
      <c r="AE705">
        <f>ABS(P753-P697)</f>
        <v>128.00739687499998</v>
      </c>
      <c r="AH705">
        <f>H705-AG695</f>
        <v>152.4010375</v>
      </c>
      <c r="AI705">
        <f>100*(AH705-O705)/80</f>
        <v>103.00039687500001</v>
      </c>
    </row>
    <row r="706" spans="1:41" x14ac:dyDescent="0.35">
      <c r="A706" t="s">
        <v>252</v>
      </c>
      <c r="B706" t="s">
        <v>231</v>
      </c>
      <c r="C706" t="s">
        <v>685</v>
      </c>
      <c r="D706">
        <v>-20</v>
      </c>
      <c r="E706">
        <v>-19.8</v>
      </c>
      <c r="F706">
        <v>1</v>
      </c>
      <c r="G706">
        <v>1.0000439999999999</v>
      </c>
      <c r="H706">
        <v>101.1984375</v>
      </c>
      <c r="J706">
        <v>-23740</v>
      </c>
      <c r="N706" t="s">
        <v>181</v>
      </c>
      <c r="O706">
        <f t="shared" si="30"/>
        <v>90.00175999999999</v>
      </c>
      <c r="P706">
        <f t="shared" si="31"/>
        <v>13.995846875000009</v>
      </c>
      <c r="Q706">
        <f t="shared" si="32"/>
        <v>13.995846875000009</v>
      </c>
      <c r="Y706">
        <f>TREND(H702:H706,G702:G706,G706)</f>
        <v>101.1984375</v>
      </c>
      <c r="Z706">
        <f>ABS((Y706-H706)/80*100)</f>
        <v>0</v>
      </c>
      <c r="AE706">
        <f>ABS(P754-P698)</f>
        <v>127.98074687499999</v>
      </c>
      <c r="AH706">
        <f>H706-AG695</f>
        <v>152.4010375</v>
      </c>
      <c r="AI706">
        <f>100*(AH706-O706)/80</f>
        <v>77.999096875000006</v>
      </c>
    </row>
    <row r="707" spans="1:41" x14ac:dyDescent="0.35">
      <c r="A707" t="s">
        <v>252</v>
      </c>
      <c r="B707" t="s">
        <v>231</v>
      </c>
      <c r="C707" t="s">
        <v>722</v>
      </c>
      <c r="D707">
        <v>-20</v>
      </c>
      <c r="E707">
        <v>-20.100000000000001</v>
      </c>
      <c r="F707">
        <v>0</v>
      </c>
      <c r="G707">
        <v>1.9999999999999999E-6</v>
      </c>
      <c r="H707">
        <v>101.1984375</v>
      </c>
      <c r="J707">
        <v>-23773</v>
      </c>
      <c r="N707" t="s">
        <v>181</v>
      </c>
      <c r="O707">
        <f t="shared" si="30"/>
        <v>50.000080000000004</v>
      </c>
      <c r="P707">
        <f t="shared" si="31"/>
        <v>63.99794687499999</v>
      </c>
      <c r="Q707">
        <f t="shared" si="32"/>
        <v>63.99794687499999</v>
      </c>
      <c r="Y707">
        <f>TREND(H702:H706,G702:G706,G707)</f>
        <v>101.1984375</v>
      </c>
      <c r="Z707">
        <f>ABS((Y707-H707)/80*100)</f>
        <v>0</v>
      </c>
      <c r="AE707">
        <f>ABS(P755-P699)</f>
        <v>110.18878749999998</v>
      </c>
      <c r="AH707">
        <f>H707-AG695</f>
        <v>152.4010375</v>
      </c>
      <c r="AI707">
        <f>100*(AH707-O707)/80</f>
        <v>128.00119687500001</v>
      </c>
    </row>
    <row r="708" spans="1:41" x14ac:dyDescent="0.35">
      <c r="A708" t="s">
        <v>252</v>
      </c>
      <c r="B708" t="s">
        <v>231</v>
      </c>
      <c r="C708" t="s">
        <v>758</v>
      </c>
      <c r="D708">
        <v>-20</v>
      </c>
      <c r="E708">
        <v>-20</v>
      </c>
      <c r="F708">
        <v>-1</v>
      </c>
      <c r="G708">
        <v>-1.000057</v>
      </c>
      <c r="H708">
        <v>101.1984375</v>
      </c>
      <c r="J708">
        <v>-23792</v>
      </c>
      <c r="N708" t="s">
        <v>181</v>
      </c>
      <c r="O708">
        <f t="shared" si="30"/>
        <v>9.9977200000000011</v>
      </c>
      <c r="P708">
        <f t="shared" si="31"/>
        <v>114.000896875</v>
      </c>
      <c r="Q708">
        <f t="shared" si="32"/>
        <v>114.000896875</v>
      </c>
      <c r="Y708">
        <f>TREND(H702:H706,G702:G706,G708)</f>
        <v>101.1984375</v>
      </c>
      <c r="Z708">
        <f>ABS((Y708-H708)/80*100)</f>
        <v>0</v>
      </c>
      <c r="AE708">
        <f>ABS(P756-P700)</f>
        <v>128.006196875</v>
      </c>
      <c r="AH708">
        <f>H708-AG695</f>
        <v>152.4010375</v>
      </c>
      <c r="AI708">
        <f>100*(AH708-O708)/80</f>
        <v>178.004146875</v>
      </c>
    </row>
    <row r="709" spans="1:41" x14ac:dyDescent="0.35">
      <c r="A709" t="s">
        <v>252</v>
      </c>
      <c r="B709" t="s">
        <v>231</v>
      </c>
      <c r="C709" t="s">
        <v>794</v>
      </c>
      <c r="D709">
        <v>0</v>
      </c>
      <c r="E709">
        <v>0</v>
      </c>
      <c r="F709">
        <v>-1</v>
      </c>
      <c r="G709">
        <v>-1.0001880000000001</v>
      </c>
      <c r="H709">
        <v>101.1984375</v>
      </c>
      <c r="J709">
        <v>-16662</v>
      </c>
      <c r="N709" t="s">
        <v>181</v>
      </c>
      <c r="O709">
        <f t="shared" si="30"/>
        <v>9.9924799999999969</v>
      </c>
      <c r="P709">
        <f t="shared" si="31"/>
        <v>114.007446875</v>
      </c>
      <c r="Q709">
        <f t="shared" si="32"/>
        <v>114.007446875</v>
      </c>
      <c r="S709">
        <v>101.1984375</v>
      </c>
      <c r="T709">
        <v>64.012546874999998</v>
      </c>
      <c r="U709">
        <v>101.1984375</v>
      </c>
      <c r="V709">
        <v>14.018996875000003</v>
      </c>
      <c r="W709">
        <v>3.0517578153421709E-6</v>
      </c>
      <c r="X709">
        <f>(W709-80)/80*100</f>
        <v>-99.999996185302734</v>
      </c>
      <c r="Y709">
        <f>TREND(H709:H713,G709:G713,G709)</f>
        <v>101.1984375</v>
      </c>
      <c r="Z709">
        <f>ABS((Y709-H709)/80*100)</f>
        <v>0</v>
      </c>
      <c r="AA709">
        <f>MAX(Z709:Z713)</f>
        <v>0</v>
      </c>
      <c r="AB709">
        <f>IF(ABS(MAX(P709:P715)) &gt; ABS(MIN(P709:P715)),MAX(P709:P715), MIN(P709:P715))</f>
        <v>114.007446875</v>
      </c>
      <c r="AC709">
        <f>IF(ABS(AB710)&gt;ABS(AB709),AB710,AB709)</f>
        <v>114.007446875</v>
      </c>
      <c r="AE709">
        <f>ABS(P757-P701)</f>
        <v>128.01149687500001</v>
      </c>
      <c r="AH709">
        <f>H709-AG695</f>
        <v>152.4010375</v>
      </c>
      <c r="AI709">
        <f>100*(AH709-O709)/80</f>
        <v>178.01069687500001</v>
      </c>
      <c r="AJ709">
        <v>152.4010375</v>
      </c>
      <c r="AK709">
        <v>128.01579687500001</v>
      </c>
      <c r="AL709">
        <v>152.4010375</v>
      </c>
      <c r="AM709">
        <v>78.022246875000008</v>
      </c>
      <c r="AN709">
        <f>IF(ABS(MAX(AI709:AI715)) &gt; ABS(MIN(AI709:AI715)),MAX(AI709:AI715), MIN(AI709:AI715))</f>
        <v>178.01069687500001</v>
      </c>
      <c r="AO709">
        <f>IF(ABS(AN710)&gt;ABS(AN709),AN710,AN709)</f>
        <v>178.01069687500001</v>
      </c>
    </row>
    <row r="710" spans="1:41" x14ac:dyDescent="0.35">
      <c r="A710" t="s">
        <v>252</v>
      </c>
      <c r="B710" t="s">
        <v>231</v>
      </c>
      <c r="C710" t="s">
        <v>831</v>
      </c>
      <c r="D710">
        <v>0</v>
      </c>
      <c r="E710">
        <v>0.1</v>
      </c>
      <c r="F710">
        <v>-0.5</v>
      </c>
      <c r="G710">
        <v>-0.50031999999999999</v>
      </c>
      <c r="H710">
        <v>101.1984375</v>
      </c>
      <c r="J710">
        <v>-16651</v>
      </c>
      <c r="N710" t="s">
        <v>181</v>
      </c>
      <c r="O710">
        <f t="shared" si="30"/>
        <v>29.987200000000001</v>
      </c>
      <c r="P710">
        <f t="shared" si="31"/>
        <v>89.014046874999991</v>
      </c>
      <c r="Q710">
        <f t="shared" si="32"/>
        <v>89.014046874999991</v>
      </c>
      <c r="Y710">
        <f>TREND(H709:H713,G709:G713,G710)</f>
        <v>101.1984375</v>
      </c>
      <c r="Z710">
        <f>ABS((Y710-H710)/80*100)</f>
        <v>0</v>
      </c>
      <c r="AB710">
        <f>IF(ABS(T709) &gt; ABS(V709),T709,V709)</f>
        <v>64.012546874999998</v>
      </c>
      <c r="AE710">
        <f>ABS(P751-P723)</f>
        <v>128.02904687499998</v>
      </c>
      <c r="AH710">
        <f>H710-AG695</f>
        <v>152.4010375</v>
      </c>
      <c r="AI710">
        <f>100*(AH710-O710)/80</f>
        <v>153.017296875</v>
      </c>
      <c r="AN710">
        <f>IF(ABS(AK709) &gt; ABS(AM709),AK709,AM709)</f>
        <v>128.01579687500001</v>
      </c>
    </row>
    <row r="711" spans="1:41" x14ac:dyDescent="0.35">
      <c r="A711" t="s">
        <v>252</v>
      </c>
      <c r="B711" t="s">
        <v>231</v>
      </c>
      <c r="C711" t="s">
        <v>867</v>
      </c>
      <c r="D711">
        <v>0</v>
      </c>
      <c r="E711">
        <v>0</v>
      </c>
      <c r="F711">
        <v>0</v>
      </c>
      <c r="G711">
        <v>-2.9E-4</v>
      </c>
      <c r="H711">
        <v>101.1984375</v>
      </c>
      <c r="J711">
        <v>-16638</v>
      </c>
      <c r="N711" t="s">
        <v>181</v>
      </c>
      <c r="O711">
        <f t="shared" si="30"/>
        <v>49.988399999999999</v>
      </c>
      <c r="P711">
        <f t="shared" si="31"/>
        <v>64.012546874999998</v>
      </c>
      <c r="Q711">
        <f t="shared" si="32"/>
        <v>64.012546874999998</v>
      </c>
      <c r="Y711">
        <f>TREND(H709:H713,G709:G713,G711)</f>
        <v>101.1984375</v>
      </c>
      <c r="Z711">
        <f>ABS((Y711-H711)/80*100)</f>
        <v>0</v>
      </c>
      <c r="AE711">
        <f>ABS(P752-P724)</f>
        <v>128.007996875</v>
      </c>
      <c r="AH711">
        <f>H711-AG695</f>
        <v>152.4010375</v>
      </c>
      <c r="AI711">
        <f>100*(AH711-O711)/80</f>
        <v>128.01579687500001</v>
      </c>
    </row>
    <row r="712" spans="1:41" x14ac:dyDescent="0.35">
      <c r="A712" t="s">
        <v>252</v>
      </c>
      <c r="B712" t="s">
        <v>231</v>
      </c>
      <c r="C712" t="s">
        <v>903</v>
      </c>
      <c r="D712">
        <v>0</v>
      </c>
      <c r="E712">
        <v>0</v>
      </c>
      <c r="F712">
        <v>0.5</v>
      </c>
      <c r="G712">
        <v>0.49975599999999998</v>
      </c>
      <c r="H712">
        <v>101.1984375</v>
      </c>
      <c r="J712">
        <v>-16627</v>
      </c>
      <c r="N712" t="s">
        <v>181</v>
      </c>
      <c r="O712">
        <f t="shared" si="30"/>
        <v>69.99024</v>
      </c>
      <c r="P712">
        <f t="shared" si="31"/>
        <v>39.010246874999993</v>
      </c>
      <c r="Q712">
        <f t="shared" si="32"/>
        <v>39.010246874999993</v>
      </c>
      <c r="Y712">
        <f>TREND(H709:H713,G709:G713,G712)</f>
        <v>101.1984375</v>
      </c>
      <c r="Z712">
        <f>ABS((Y712-H712)/80*100)</f>
        <v>0</v>
      </c>
      <c r="AE712">
        <f>ABS(P753-P725)</f>
        <v>128.00609687499997</v>
      </c>
      <c r="AH712">
        <f>H712-AG695</f>
        <v>152.4010375</v>
      </c>
      <c r="AI712">
        <f>100*(AH712-O712)/80</f>
        <v>103.01349687500002</v>
      </c>
    </row>
    <row r="713" spans="1:41" x14ac:dyDescent="0.35">
      <c r="A713" t="s">
        <v>252</v>
      </c>
      <c r="B713" t="s">
        <v>231</v>
      </c>
      <c r="C713" t="s">
        <v>940</v>
      </c>
      <c r="D713">
        <v>0</v>
      </c>
      <c r="E713">
        <v>0.1</v>
      </c>
      <c r="F713">
        <v>1</v>
      </c>
      <c r="G713">
        <v>0.99958100000000005</v>
      </c>
      <c r="H713">
        <v>101.1984375</v>
      </c>
      <c r="J713">
        <v>-16599</v>
      </c>
      <c r="N713" t="s">
        <v>181</v>
      </c>
      <c r="O713">
        <f t="shared" ref="O713:O776" si="33">(((G713--1)*(40))+10)</f>
        <v>89.983239999999995</v>
      </c>
      <c r="P713">
        <f t="shared" ref="P713:P776" si="34">100*(H713-O713)/80</f>
        <v>14.018996875000003</v>
      </c>
      <c r="Q713">
        <f t="shared" ref="Q713:Q776" si="35">ABS(P713)</f>
        <v>14.018996875000003</v>
      </c>
      <c r="Y713">
        <f>TREND(H709:H713,G709:G713,G713)</f>
        <v>101.1984375</v>
      </c>
      <c r="Z713">
        <f>ABS((Y713-H713)/80*100)</f>
        <v>0</v>
      </c>
      <c r="AE713">
        <f>ABS(P754-P726)</f>
        <v>127.995846875</v>
      </c>
      <c r="AH713">
        <f>H713-AG695</f>
        <v>152.4010375</v>
      </c>
      <c r="AI713">
        <f>100*(AH713-O713)/80</f>
        <v>78.022246875000008</v>
      </c>
    </row>
    <row r="714" spans="1:41" x14ac:dyDescent="0.35">
      <c r="A714" t="s">
        <v>252</v>
      </c>
      <c r="B714" t="s">
        <v>231</v>
      </c>
      <c r="C714" t="s">
        <v>977</v>
      </c>
      <c r="D714">
        <v>0</v>
      </c>
      <c r="E714">
        <v>-0.1</v>
      </c>
      <c r="F714">
        <v>0</v>
      </c>
      <c r="G714">
        <v>-2.02E-4</v>
      </c>
      <c r="H714">
        <v>101.1984375</v>
      </c>
      <c r="J714">
        <v>-16558</v>
      </c>
      <c r="N714" t="s">
        <v>181</v>
      </c>
      <c r="O714">
        <f t="shared" si="33"/>
        <v>49.99192</v>
      </c>
      <c r="P714">
        <f t="shared" si="34"/>
        <v>64.008146874999994</v>
      </c>
      <c r="Q714">
        <f t="shared" si="35"/>
        <v>64.008146874999994</v>
      </c>
      <c r="Y714">
        <f>TREND(H709:H713,G709:G713,G714)</f>
        <v>101.1984375</v>
      </c>
      <c r="Z714">
        <f>ABS((Y714-H714)/80*100)</f>
        <v>0</v>
      </c>
      <c r="AE714">
        <f>ABS(P755-P727)</f>
        <v>128.00194687500002</v>
      </c>
      <c r="AH714">
        <f>H714-AG695</f>
        <v>152.4010375</v>
      </c>
      <c r="AI714">
        <f>100*(AH714-O714)/80</f>
        <v>128.011396875</v>
      </c>
    </row>
    <row r="715" spans="1:41" x14ac:dyDescent="0.35">
      <c r="A715" t="s">
        <v>252</v>
      </c>
      <c r="B715" t="s">
        <v>231</v>
      </c>
      <c r="C715" t="s">
        <v>1013</v>
      </c>
      <c r="D715">
        <v>0</v>
      </c>
      <c r="E715">
        <v>0</v>
      </c>
      <c r="F715">
        <v>-1</v>
      </c>
      <c r="G715">
        <v>-0.99998799999999999</v>
      </c>
      <c r="H715">
        <v>101.1984375</v>
      </c>
      <c r="J715">
        <v>-16529</v>
      </c>
      <c r="N715" t="s">
        <v>181</v>
      </c>
      <c r="O715">
        <f t="shared" si="33"/>
        <v>10.00048</v>
      </c>
      <c r="P715">
        <f t="shared" si="34"/>
        <v>113.99744687499999</v>
      </c>
      <c r="Q715">
        <f t="shared" si="35"/>
        <v>113.99744687499999</v>
      </c>
      <c r="Y715">
        <f>TREND(H709:H713,G709:G713,G715)</f>
        <v>101.1984375</v>
      </c>
      <c r="Z715">
        <f>ABS((Y715-H715)/80*100)</f>
        <v>0</v>
      </c>
      <c r="AE715">
        <f>ABS(P756-P728)</f>
        <v>128.00289687499998</v>
      </c>
      <c r="AH715">
        <f>H715-AG695</f>
        <v>152.4010375</v>
      </c>
      <c r="AI715">
        <f>100*(AH715-O715)/80</f>
        <v>178.00069687499999</v>
      </c>
    </row>
    <row r="716" spans="1:41" x14ac:dyDescent="0.35">
      <c r="A716" t="s">
        <v>252</v>
      </c>
      <c r="B716" t="s">
        <v>231</v>
      </c>
      <c r="C716" t="s">
        <v>1049</v>
      </c>
      <c r="D716">
        <v>10</v>
      </c>
      <c r="E716">
        <v>10</v>
      </c>
      <c r="F716">
        <v>-1</v>
      </c>
      <c r="G716">
        <v>-0.99974600000000002</v>
      </c>
      <c r="H716">
        <v>101.1984375</v>
      </c>
      <c r="J716">
        <v>-12331</v>
      </c>
      <c r="N716" t="s">
        <v>181</v>
      </c>
      <c r="O716">
        <f t="shared" si="33"/>
        <v>10.010159999999999</v>
      </c>
      <c r="P716">
        <f t="shared" si="34"/>
        <v>113.985346875</v>
      </c>
      <c r="Q716">
        <f t="shared" si="35"/>
        <v>113.985346875</v>
      </c>
      <c r="S716">
        <v>101.1984375</v>
      </c>
      <c r="T716">
        <v>64.004096874999988</v>
      </c>
      <c r="U716">
        <v>101.1984375</v>
      </c>
      <c r="V716">
        <v>14.008396874999994</v>
      </c>
      <c r="W716">
        <v>3.0517578153421709E-6</v>
      </c>
      <c r="X716">
        <f>(W716-80)/80*100</f>
        <v>-99.999996185302734</v>
      </c>
      <c r="Y716">
        <f>TREND(H716:H720,G716:G720,G716)</f>
        <v>101.1984375</v>
      </c>
      <c r="Z716">
        <f>ABS((Y716-H716)/80*100)</f>
        <v>0</v>
      </c>
      <c r="AA716">
        <f>MAX(Z716:Z720)</f>
        <v>0</v>
      </c>
      <c r="AB716">
        <f>IF(ABS(MAX(P716:P722)) &gt; ABS(MIN(P716:P722)),MAX(P716:P722), MIN(P716:P722))</f>
        <v>113.98714687500001</v>
      </c>
      <c r="AC716">
        <f>IF(ABS(AB717)&gt;ABS(AB716),AB717,AB716)</f>
        <v>113.98714687500001</v>
      </c>
      <c r="AE716">
        <f>ABS(P757-P729)</f>
        <v>128.01259687499999</v>
      </c>
      <c r="AH716">
        <f>H716-AG695</f>
        <v>152.4010375</v>
      </c>
      <c r="AI716">
        <f>100*(AH716-O716)/80</f>
        <v>177.98859687499998</v>
      </c>
      <c r="AJ716">
        <v>152.4010375</v>
      </c>
      <c r="AK716">
        <v>128.007346875</v>
      </c>
      <c r="AL716">
        <v>152.4010375</v>
      </c>
      <c r="AM716">
        <v>78.011646874999997</v>
      </c>
      <c r="AN716">
        <f>IF(ABS(MAX(AI716:AI722)) &gt; ABS(MIN(AI716:AI722)),MAX(AI716:AI722), MIN(AI716:AI722))</f>
        <v>177.99039687499999</v>
      </c>
      <c r="AO716">
        <f>IF(ABS(AN717)&gt;ABS(AN716),AN717,AN716)</f>
        <v>177.99039687499999</v>
      </c>
    </row>
    <row r="717" spans="1:41" x14ac:dyDescent="0.35">
      <c r="A717" t="s">
        <v>252</v>
      </c>
      <c r="B717" t="s">
        <v>231</v>
      </c>
      <c r="C717" t="s">
        <v>1085</v>
      </c>
      <c r="D717">
        <v>10</v>
      </c>
      <c r="E717">
        <v>10</v>
      </c>
      <c r="F717">
        <v>-0.5</v>
      </c>
      <c r="G717">
        <v>-0.50008399999999997</v>
      </c>
      <c r="H717">
        <v>101.1984375</v>
      </c>
      <c r="J717">
        <v>-12320</v>
      </c>
      <c r="N717" t="s">
        <v>181</v>
      </c>
      <c r="O717">
        <f t="shared" si="33"/>
        <v>29.996639999999999</v>
      </c>
      <c r="P717">
        <f t="shared" si="34"/>
        <v>89.002246874999997</v>
      </c>
      <c r="Q717">
        <f t="shared" si="35"/>
        <v>89.002246874999997</v>
      </c>
      <c r="Y717">
        <f>TREND(H716:H720,G716:G720,G717)</f>
        <v>101.1984375</v>
      </c>
      <c r="Z717">
        <f>ABS((Y717-H717)/80*100)</f>
        <v>0</v>
      </c>
      <c r="AB717">
        <f>IF(ABS(T716) &gt; ABS(V716),T716,V716)</f>
        <v>64.004096874999988</v>
      </c>
      <c r="AH717">
        <f>H717-AG695</f>
        <v>152.4010375</v>
      </c>
      <c r="AI717">
        <f>100*(AH717-O717)/80</f>
        <v>153.00549687500001</v>
      </c>
      <c r="AN717">
        <f>IF(ABS(AK716) &gt; ABS(AM716),AK716,AM716)</f>
        <v>128.007346875</v>
      </c>
    </row>
    <row r="718" spans="1:41" x14ac:dyDescent="0.35">
      <c r="A718" t="s">
        <v>252</v>
      </c>
      <c r="B718" t="s">
        <v>1111</v>
      </c>
      <c r="C718" t="s">
        <v>1122</v>
      </c>
      <c r="D718">
        <v>10</v>
      </c>
      <c r="E718">
        <v>10</v>
      </c>
      <c r="F718">
        <v>0</v>
      </c>
      <c r="G718">
        <v>-1.21E-4</v>
      </c>
      <c r="H718">
        <v>101.1984375</v>
      </c>
      <c r="J718">
        <v>-12301</v>
      </c>
      <c r="N718" t="s">
        <v>181</v>
      </c>
      <c r="O718">
        <f t="shared" si="33"/>
        <v>49.995159999999998</v>
      </c>
      <c r="P718">
        <f t="shared" si="34"/>
        <v>64.004096874999988</v>
      </c>
      <c r="Q718">
        <f t="shared" si="35"/>
        <v>64.004096874999988</v>
      </c>
      <c r="Y718">
        <f>TREND(H716:H720,G716:G720,G718)</f>
        <v>101.1984375</v>
      </c>
      <c r="Z718">
        <f>ABS((Y718-H718)/80*100)</f>
        <v>0</v>
      </c>
      <c r="AH718">
        <f>H718-AG695</f>
        <v>152.4010375</v>
      </c>
      <c r="AI718">
        <f>100*(AH718-O718)/80</f>
        <v>128.007346875</v>
      </c>
    </row>
    <row r="719" spans="1:41" x14ac:dyDescent="0.35">
      <c r="A719" t="s">
        <v>252</v>
      </c>
      <c r="B719" t="s">
        <v>1111</v>
      </c>
      <c r="C719" t="s">
        <v>1159</v>
      </c>
      <c r="D719">
        <v>10</v>
      </c>
      <c r="E719">
        <v>10</v>
      </c>
      <c r="F719">
        <v>0.5</v>
      </c>
      <c r="G719">
        <v>0.49993100000000001</v>
      </c>
      <c r="H719">
        <v>101.1984375</v>
      </c>
      <c r="J719">
        <v>-12303</v>
      </c>
      <c r="N719" t="s">
        <v>181</v>
      </c>
      <c r="O719">
        <f t="shared" si="33"/>
        <v>69.997240000000005</v>
      </c>
      <c r="P719">
        <f t="shared" si="34"/>
        <v>39.001496874999994</v>
      </c>
      <c r="Q719">
        <f t="shared" si="35"/>
        <v>39.001496874999994</v>
      </c>
      <c r="Y719">
        <f>TREND(H716:H720,G716:G720,G719)</f>
        <v>101.1984375</v>
      </c>
      <c r="Z719">
        <f>ABS((Y719-H719)/80*100)</f>
        <v>0</v>
      </c>
      <c r="AH719">
        <f>H719-AG695</f>
        <v>152.4010375</v>
      </c>
      <c r="AI719">
        <f>100*(AH719-O719)/80</f>
        <v>103.004746875</v>
      </c>
    </row>
    <row r="720" spans="1:41" x14ac:dyDescent="0.35">
      <c r="A720" t="s">
        <v>252</v>
      </c>
      <c r="B720" t="s">
        <v>1111</v>
      </c>
      <c r="C720" t="s">
        <v>1196</v>
      </c>
      <c r="D720">
        <v>10</v>
      </c>
      <c r="E720">
        <v>10</v>
      </c>
      <c r="F720">
        <v>1</v>
      </c>
      <c r="G720">
        <v>0.99979300000000004</v>
      </c>
      <c r="H720">
        <v>101.1984375</v>
      </c>
      <c r="J720">
        <v>-12288</v>
      </c>
      <c r="N720" t="s">
        <v>181</v>
      </c>
      <c r="O720">
        <f t="shared" si="33"/>
        <v>89.991720000000001</v>
      </c>
      <c r="P720">
        <f t="shared" si="34"/>
        <v>14.008396874999994</v>
      </c>
      <c r="Q720">
        <f t="shared" si="35"/>
        <v>14.008396874999994</v>
      </c>
      <c r="Y720">
        <f>TREND(H716:H720,G716:G720,G720)</f>
        <v>101.1984375</v>
      </c>
      <c r="Z720">
        <f>ABS((Y720-H720)/80*100)</f>
        <v>0</v>
      </c>
      <c r="AH720">
        <f>H720-AG695</f>
        <v>152.4010375</v>
      </c>
      <c r="AI720">
        <f>100*(AH720-O720)/80</f>
        <v>78.011646874999997</v>
      </c>
    </row>
    <row r="721" spans="1:41" x14ac:dyDescent="0.35">
      <c r="A721" t="s">
        <v>252</v>
      </c>
      <c r="B721" t="s">
        <v>1111</v>
      </c>
      <c r="C721" t="s">
        <v>1233</v>
      </c>
      <c r="D721">
        <v>10</v>
      </c>
      <c r="E721">
        <v>10</v>
      </c>
      <c r="F721">
        <v>0</v>
      </c>
      <c r="G721">
        <v>-3.8999999999999999E-5</v>
      </c>
      <c r="H721">
        <v>101.1984375</v>
      </c>
      <c r="J721">
        <v>-12268</v>
      </c>
      <c r="N721" t="s">
        <v>181</v>
      </c>
      <c r="O721">
        <f t="shared" si="33"/>
        <v>49.998440000000002</v>
      </c>
      <c r="P721">
        <f t="shared" si="34"/>
        <v>63.999996874999987</v>
      </c>
      <c r="Q721">
        <f t="shared" si="35"/>
        <v>63.999996874999987</v>
      </c>
      <c r="Y721">
        <f>TREND(H716:H720,G716:G720,G721)</f>
        <v>101.1984375</v>
      </c>
      <c r="Z721">
        <f>ABS((Y721-H721)/80*100)</f>
        <v>0</v>
      </c>
      <c r="AH721">
        <f>H721-AG695</f>
        <v>152.4010375</v>
      </c>
      <c r="AI721">
        <f>100*(AH721-O721)/80</f>
        <v>128.003246875</v>
      </c>
    </row>
    <row r="722" spans="1:41" x14ac:dyDescent="0.35">
      <c r="A722" t="s">
        <v>252</v>
      </c>
      <c r="B722" t="s">
        <v>1111</v>
      </c>
      <c r="C722" t="s">
        <v>1269</v>
      </c>
      <c r="D722">
        <v>10</v>
      </c>
      <c r="E722">
        <v>10</v>
      </c>
      <c r="F722">
        <v>-1</v>
      </c>
      <c r="G722">
        <v>-0.99978199999999995</v>
      </c>
      <c r="H722">
        <v>101.1984375</v>
      </c>
      <c r="J722">
        <v>-12262</v>
      </c>
      <c r="N722" t="s">
        <v>181</v>
      </c>
      <c r="O722">
        <f t="shared" si="33"/>
        <v>10.008720000000002</v>
      </c>
      <c r="P722">
        <f t="shared" si="34"/>
        <v>113.98714687500001</v>
      </c>
      <c r="Q722">
        <f t="shared" si="35"/>
        <v>113.98714687500001</v>
      </c>
      <c r="Y722">
        <f>TREND(H716:H720,G716:G720,G722)</f>
        <v>101.1984375</v>
      </c>
      <c r="Z722">
        <f>ABS((Y722-H722)/80*100)</f>
        <v>0</v>
      </c>
      <c r="AH722">
        <f>H722-AG695</f>
        <v>152.4010375</v>
      </c>
      <c r="AI722">
        <f>100*(AH722-O722)/80</f>
        <v>177.99039687499999</v>
      </c>
    </row>
    <row r="723" spans="1:41" x14ac:dyDescent="0.35">
      <c r="A723" t="s">
        <v>252</v>
      </c>
      <c r="B723" t="s">
        <v>1111</v>
      </c>
      <c r="C723" t="s">
        <v>1305</v>
      </c>
      <c r="D723">
        <v>25</v>
      </c>
      <c r="E723">
        <v>25</v>
      </c>
      <c r="F723">
        <v>-1</v>
      </c>
      <c r="G723">
        <v>-1.000048</v>
      </c>
      <c r="H723">
        <v>-1.2</v>
      </c>
      <c r="J723">
        <v>-6515</v>
      </c>
      <c r="N723" t="s">
        <v>181</v>
      </c>
      <c r="O723">
        <f t="shared" si="33"/>
        <v>9.9980799999999981</v>
      </c>
      <c r="P723">
        <f t="shared" si="34"/>
        <v>-13.997599999999997</v>
      </c>
      <c r="Q723">
        <f t="shared" si="35"/>
        <v>13.997599999999997</v>
      </c>
      <c r="S723">
        <v>-1.2</v>
      </c>
      <c r="T723">
        <v>-64.001949999999994</v>
      </c>
      <c r="U723">
        <v>-1.2</v>
      </c>
      <c r="V723">
        <v>-114.00250000000001</v>
      </c>
      <c r="W723">
        <v>-4.7683715864721421E-8</v>
      </c>
      <c r="X723">
        <f>(W723-80)/80*100</f>
        <v>-100.00000005960463</v>
      </c>
      <c r="Y723">
        <f>TREND(H723:H727,G723:G727,G723)</f>
        <v>-1.2</v>
      </c>
      <c r="Z723">
        <f>ABS((Y723-H723)/80*100)</f>
        <v>0</v>
      </c>
      <c r="AA723">
        <f>MAX(Z723:Z727)</f>
        <v>0</v>
      </c>
      <c r="AB723">
        <f>IF(ABS(MAX(P723:P729)) &gt; ABS(MIN(P723:P729)),MAX(P723:P729), MIN(P723:P729))</f>
        <v>-114.00250000000001</v>
      </c>
      <c r="AC723">
        <f>IF(ABS(AB724)&gt;ABS(AB723),AB724,AB723)</f>
        <v>-114.00250000000001</v>
      </c>
      <c r="AH723">
        <f>H723-AG695</f>
        <v>50.002600000000001</v>
      </c>
      <c r="AI723">
        <f>100*(AH723-O723)/80</f>
        <v>50.005649999999996</v>
      </c>
      <c r="AJ723">
        <v>50.002600000000001</v>
      </c>
      <c r="AK723">
        <v>1.3000000000040757E-3</v>
      </c>
      <c r="AL723">
        <v>50.002600000000001</v>
      </c>
      <c r="AM723">
        <v>-49.999249999999996</v>
      </c>
      <c r="AN723">
        <f>IF(ABS(MAX(AI723:AI729)) &gt; ABS(MIN(AI723:AI729)),MAX(AI723:AI729), MIN(AI723:AI729))</f>
        <v>50.005649999999996</v>
      </c>
      <c r="AO723">
        <f>IF(ABS(AN724)&gt;ABS(AN723),AN724,AN723)</f>
        <v>50.005649999999996</v>
      </c>
    </row>
    <row r="724" spans="1:41" x14ac:dyDescent="0.35">
      <c r="A724" t="s">
        <v>252</v>
      </c>
      <c r="B724" t="s">
        <v>1111</v>
      </c>
      <c r="C724" t="s">
        <v>1342</v>
      </c>
      <c r="D724">
        <v>25</v>
      </c>
      <c r="E724">
        <v>25</v>
      </c>
      <c r="F724">
        <v>-0.5</v>
      </c>
      <c r="G724">
        <v>-0.50006300000000004</v>
      </c>
      <c r="H724">
        <v>-1.2</v>
      </c>
      <c r="J724">
        <v>-6491</v>
      </c>
      <c r="N724" t="s">
        <v>181</v>
      </c>
      <c r="O724">
        <f t="shared" si="33"/>
        <v>29.997479999999999</v>
      </c>
      <c r="P724">
        <f t="shared" si="34"/>
        <v>-38.996850000000002</v>
      </c>
      <c r="Q724">
        <f t="shared" si="35"/>
        <v>38.996850000000002</v>
      </c>
      <c r="Y724">
        <f>TREND(H723:H727,G723:G727,G724)</f>
        <v>-1.2</v>
      </c>
      <c r="Z724">
        <f>ABS((Y724-H724)/80*100)</f>
        <v>0</v>
      </c>
      <c r="AB724">
        <f>IF(ABS(T723) &gt; ABS(V723),T723,V723)</f>
        <v>-114.00250000000001</v>
      </c>
      <c r="AH724">
        <f>H724-AG695</f>
        <v>50.002600000000001</v>
      </c>
      <c r="AI724">
        <f>100*(AH724-O724)/80</f>
        <v>25.006400000000003</v>
      </c>
      <c r="AN724">
        <f>IF(ABS(AK723) &gt; ABS(AM723),AK723,AM723)</f>
        <v>-49.999249999999996</v>
      </c>
    </row>
    <row r="725" spans="1:41" x14ac:dyDescent="0.35">
      <c r="A725" t="s">
        <v>252</v>
      </c>
      <c r="B725" t="s">
        <v>1111</v>
      </c>
      <c r="C725" t="s">
        <v>1378</v>
      </c>
      <c r="D725">
        <v>25</v>
      </c>
      <c r="E725">
        <v>25</v>
      </c>
      <c r="F725">
        <v>0</v>
      </c>
      <c r="G725">
        <v>3.8999999999999999E-5</v>
      </c>
      <c r="H725">
        <v>-1.2</v>
      </c>
      <c r="J725">
        <v>-6468</v>
      </c>
      <c r="N725" t="s">
        <v>181</v>
      </c>
      <c r="O725">
        <f t="shared" si="33"/>
        <v>50.001559999999998</v>
      </c>
      <c r="P725">
        <f t="shared" si="34"/>
        <v>-64.001949999999994</v>
      </c>
      <c r="Q725">
        <f t="shared" si="35"/>
        <v>64.001949999999994</v>
      </c>
      <c r="Y725">
        <f>TREND(H723:H727,G723:G727,G725)</f>
        <v>-1.2</v>
      </c>
      <c r="Z725">
        <f>ABS((Y725-H725)/80*100)</f>
        <v>0</v>
      </c>
      <c r="AH725">
        <f>H725-AG695</f>
        <v>50.002600000000001</v>
      </c>
      <c r="AI725">
        <f>100*(AH725-O725)/80</f>
        <v>1.3000000000040757E-3</v>
      </c>
    </row>
    <row r="726" spans="1:41" x14ac:dyDescent="0.35">
      <c r="A726" t="s">
        <v>252</v>
      </c>
      <c r="B726" t="s">
        <v>1111</v>
      </c>
      <c r="C726" t="s">
        <v>1415</v>
      </c>
      <c r="D726">
        <v>25</v>
      </c>
      <c r="E726">
        <v>25</v>
      </c>
      <c r="F726">
        <v>0.5</v>
      </c>
      <c r="G726">
        <v>0.49990699999999999</v>
      </c>
      <c r="H726">
        <v>-1.2</v>
      </c>
      <c r="J726">
        <v>-6452</v>
      </c>
      <c r="N726" t="s">
        <v>181</v>
      </c>
      <c r="O726">
        <f t="shared" si="33"/>
        <v>69.996279999999999</v>
      </c>
      <c r="P726">
        <f t="shared" si="34"/>
        <v>-88.995350000000002</v>
      </c>
      <c r="Q726">
        <f t="shared" si="35"/>
        <v>88.995350000000002</v>
      </c>
      <c r="Y726">
        <f>TREND(H723:H727,G723:G727,G726)</f>
        <v>-1.2</v>
      </c>
      <c r="Z726">
        <f>ABS((Y726-H726)/80*100)</f>
        <v>0</v>
      </c>
      <c r="AH726">
        <f>H726-AG695</f>
        <v>50.002600000000001</v>
      </c>
      <c r="AI726">
        <f>100*(AH726-O726)/80</f>
        <v>-24.992099999999997</v>
      </c>
    </row>
    <row r="727" spans="1:41" x14ac:dyDescent="0.35">
      <c r="A727" t="s">
        <v>252</v>
      </c>
      <c r="B727" t="s">
        <v>1111</v>
      </c>
      <c r="C727" t="s">
        <v>1452</v>
      </c>
      <c r="D727">
        <v>25</v>
      </c>
      <c r="E727">
        <v>25</v>
      </c>
      <c r="F727">
        <v>1</v>
      </c>
      <c r="G727">
        <v>1.0000500000000001</v>
      </c>
      <c r="H727">
        <v>-1.2</v>
      </c>
      <c r="J727">
        <v>-6435</v>
      </c>
      <c r="N727" t="s">
        <v>181</v>
      </c>
      <c r="O727">
        <f t="shared" si="33"/>
        <v>90.001999999999995</v>
      </c>
      <c r="P727">
        <f t="shared" si="34"/>
        <v>-114.00250000000001</v>
      </c>
      <c r="Q727">
        <f t="shared" si="35"/>
        <v>114.00250000000001</v>
      </c>
      <c r="Y727">
        <f>TREND(H723:H727,G723:G727,G727)</f>
        <v>-1.2</v>
      </c>
      <c r="Z727">
        <f>ABS((Y727-H727)/80*100)</f>
        <v>0</v>
      </c>
      <c r="AH727">
        <f>H727-AG695</f>
        <v>50.002600000000001</v>
      </c>
      <c r="AI727">
        <f>100*(AH727-O727)/80</f>
        <v>-49.999249999999996</v>
      </c>
    </row>
    <row r="728" spans="1:41" x14ac:dyDescent="0.35">
      <c r="A728" t="s">
        <v>252</v>
      </c>
      <c r="B728" t="s">
        <v>1111</v>
      </c>
      <c r="C728" t="s">
        <v>1488</v>
      </c>
      <c r="D728">
        <v>25</v>
      </c>
      <c r="E728">
        <v>25</v>
      </c>
      <c r="F728">
        <v>0</v>
      </c>
      <c r="G728">
        <v>3.8999999999999999E-5</v>
      </c>
      <c r="H728">
        <v>-1.2</v>
      </c>
      <c r="J728">
        <v>-6418</v>
      </c>
      <c r="N728" t="s">
        <v>181</v>
      </c>
      <c r="O728">
        <f t="shared" si="33"/>
        <v>50.001559999999998</v>
      </c>
      <c r="P728">
        <f t="shared" si="34"/>
        <v>-64.001949999999994</v>
      </c>
      <c r="Q728">
        <f t="shared" si="35"/>
        <v>64.001949999999994</v>
      </c>
      <c r="Y728">
        <f>TREND(H723:H727,G723:G727,G728)</f>
        <v>-1.2</v>
      </c>
      <c r="Z728">
        <f>ABS((Y728-H728)/80*100)</f>
        <v>0</v>
      </c>
      <c r="AH728">
        <f>H728-AG695</f>
        <v>50.002600000000001</v>
      </c>
      <c r="AI728">
        <f>100*(AH728-O728)/80</f>
        <v>1.3000000000040757E-3</v>
      </c>
    </row>
    <row r="729" spans="1:41" x14ac:dyDescent="0.35">
      <c r="A729" t="s">
        <v>252</v>
      </c>
      <c r="B729" t="s">
        <v>1111</v>
      </c>
      <c r="C729" t="s">
        <v>1525</v>
      </c>
      <c r="D729">
        <v>25</v>
      </c>
      <c r="E729">
        <v>25</v>
      </c>
      <c r="F729">
        <v>-1</v>
      </c>
      <c r="G729">
        <v>-0.99984700000000004</v>
      </c>
      <c r="H729">
        <v>-1.2</v>
      </c>
      <c r="J729">
        <v>-6405</v>
      </c>
      <c r="N729" t="s">
        <v>181</v>
      </c>
      <c r="O729">
        <f t="shared" si="33"/>
        <v>10.006119999999999</v>
      </c>
      <c r="P729">
        <f t="shared" si="34"/>
        <v>-14.007649999999998</v>
      </c>
      <c r="Q729">
        <f t="shared" si="35"/>
        <v>14.007649999999998</v>
      </c>
      <c r="Y729">
        <f>TREND(H723:H727,G723:G727,G729)</f>
        <v>-1.2</v>
      </c>
      <c r="Z729">
        <f>ABS((Y729-H729)/80*100)</f>
        <v>0</v>
      </c>
      <c r="AH729">
        <f>H729-AG695</f>
        <v>50.002600000000001</v>
      </c>
      <c r="AI729">
        <f>100*(AH729-O729)/80</f>
        <v>49.99560000000001</v>
      </c>
    </row>
    <row r="730" spans="1:41" x14ac:dyDescent="0.35">
      <c r="A730" t="s">
        <v>252</v>
      </c>
      <c r="B730" t="s">
        <v>1111</v>
      </c>
      <c r="C730" t="s">
        <v>1562</v>
      </c>
      <c r="D730">
        <v>50</v>
      </c>
      <c r="E730">
        <v>50</v>
      </c>
      <c r="F730">
        <v>-1</v>
      </c>
      <c r="G730">
        <v>-1.0000039999999999</v>
      </c>
      <c r="H730">
        <v>-1.2</v>
      </c>
      <c r="J730">
        <v>3072</v>
      </c>
      <c r="N730" t="s">
        <v>181</v>
      </c>
      <c r="O730">
        <f t="shared" si="33"/>
        <v>9.9998400000000043</v>
      </c>
      <c r="P730">
        <f t="shared" si="34"/>
        <v>-13.999800000000004</v>
      </c>
      <c r="Q730">
        <f t="shared" si="35"/>
        <v>13.999800000000004</v>
      </c>
      <c r="S730">
        <v>-1.2</v>
      </c>
      <c r="T730">
        <v>-64.000750000000011</v>
      </c>
      <c r="U730">
        <v>-1.2</v>
      </c>
      <c r="V730">
        <v>-114.00409999999999</v>
      </c>
      <c r="W730">
        <v>-4.7683715864721421E-8</v>
      </c>
      <c r="X730">
        <f>(W730-80)/80*100</f>
        <v>-100.00000005960463</v>
      </c>
      <c r="Y730">
        <f>TREND(H730:H734,G730:G734,G730)</f>
        <v>-1.2</v>
      </c>
      <c r="Z730">
        <f>ABS((Y730-H730)/80*100)</f>
        <v>0</v>
      </c>
      <c r="AA730">
        <f>MAX(Z730:Z734)</f>
        <v>0</v>
      </c>
      <c r="AB730">
        <f>IF(ABS(MAX(P730:P736)) &gt; ABS(MIN(P730:P736)),MAX(P730:P736), MIN(P730:P736))</f>
        <v>-114.00409999999999</v>
      </c>
      <c r="AC730">
        <f>IF(ABS(AB731)&gt;ABS(AB730),AB731,AB730)</f>
        <v>-114.00409999999999</v>
      </c>
      <c r="AH730">
        <f>H730-AG695</f>
        <v>50.002600000000001</v>
      </c>
      <c r="AI730">
        <f>100*(AH730-O730)/80</f>
        <v>50.003449999999994</v>
      </c>
      <c r="AJ730">
        <v>50.002600000000001</v>
      </c>
      <c r="AK730">
        <v>2.4999999999941735E-3</v>
      </c>
      <c r="AL730">
        <v>50.002600000000001</v>
      </c>
      <c r="AM730">
        <v>-50.000849999999986</v>
      </c>
      <c r="AN730">
        <f>IF(ABS(MAX(AI730:AI736)) &gt; ABS(MIN(AI730:AI736)),MAX(AI730:AI736), MIN(AI730:AI736))</f>
        <v>50.010199999999998</v>
      </c>
      <c r="AO730">
        <f>IF(ABS(AN731)&gt;ABS(AN730),AN731,AN730)</f>
        <v>50.010199999999998</v>
      </c>
    </row>
    <row r="731" spans="1:41" x14ac:dyDescent="0.35">
      <c r="A731" t="s">
        <v>252</v>
      </c>
      <c r="B731" t="s">
        <v>1111</v>
      </c>
      <c r="C731" t="s">
        <v>1598</v>
      </c>
      <c r="D731">
        <v>50</v>
      </c>
      <c r="E731">
        <v>50</v>
      </c>
      <c r="F731">
        <v>-0.5</v>
      </c>
      <c r="G731">
        <v>-0.50047799999999998</v>
      </c>
      <c r="H731">
        <v>-1.2</v>
      </c>
      <c r="J731">
        <v>3109</v>
      </c>
      <c r="N731" t="s">
        <v>181</v>
      </c>
      <c r="O731">
        <f t="shared" si="33"/>
        <v>29.980879999999999</v>
      </c>
      <c r="P731">
        <f t="shared" si="34"/>
        <v>-38.976099999999995</v>
      </c>
      <c r="Q731">
        <f t="shared" si="35"/>
        <v>38.976099999999995</v>
      </c>
      <c r="Y731">
        <f>TREND(H730:H734,G730:G734,G731)</f>
        <v>-1.2</v>
      </c>
      <c r="Z731">
        <f>ABS((Y731-H731)/80*100)</f>
        <v>0</v>
      </c>
      <c r="AB731">
        <f>IF(ABS(T730) &gt; ABS(V730),T730,V730)</f>
        <v>-114.00409999999999</v>
      </c>
      <c r="AH731">
        <f>H731-AG695</f>
        <v>50.002600000000001</v>
      </c>
      <c r="AI731">
        <f>100*(AH731-O731)/80</f>
        <v>25.027150000000002</v>
      </c>
      <c r="AN731">
        <f>IF(ABS(AK730) &gt; ABS(AM730),AK730,AM730)</f>
        <v>-50.000849999999986</v>
      </c>
    </row>
    <row r="732" spans="1:41" x14ac:dyDescent="0.35">
      <c r="A732" t="s">
        <v>252</v>
      </c>
      <c r="B732" t="s">
        <v>1111</v>
      </c>
      <c r="C732" t="s">
        <v>1635</v>
      </c>
      <c r="D732">
        <v>50</v>
      </c>
      <c r="E732">
        <v>50</v>
      </c>
      <c r="F732">
        <v>0</v>
      </c>
      <c r="G732">
        <v>1.5E-5</v>
      </c>
      <c r="H732">
        <v>-1.2</v>
      </c>
      <c r="J732">
        <v>3148</v>
      </c>
      <c r="N732" t="s">
        <v>181</v>
      </c>
      <c r="O732">
        <f t="shared" si="33"/>
        <v>50.000600000000006</v>
      </c>
      <c r="P732">
        <f t="shared" si="34"/>
        <v>-64.000750000000011</v>
      </c>
      <c r="Q732">
        <f t="shared" si="35"/>
        <v>64.000750000000011</v>
      </c>
      <c r="Y732">
        <f>TREND(H730:H734,G730:G734,G732)</f>
        <v>-1.2</v>
      </c>
      <c r="Z732">
        <f>ABS((Y732-H732)/80*100)</f>
        <v>0</v>
      </c>
      <c r="AH732">
        <f>H732-AG695</f>
        <v>50.002600000000001</v>
      </c>
      <c r="AI732">
        <f>100*(AH732-O732)/80</f>
        <v>2.4999999999941735E-3</v>
      </c>
    </row>
    <row r="733" spans="1:41" x14ac:dyDescent="0.35">
      <c r="A733" t="s">
        <v>252</v>
      </c>
      <c r="B733" t="s">
        <v>1111</v>
      </c>
      <c r="C733" t="s">
        <v>1672</v>
      </c>
      <c r="D733">
        <v>50</v>
      </c>
      <c r="E733">
        <v>50</v>
      </c>
      <c r="F733">
        <v>0.5</v>
      </c>
      <c r="G733">
        <v>0.49972100000000003</v>
      </c>
      <c r="H733">
        <v>-1.2</v>
      </c>
      <c r="J733">
        <v>3170</v>
      </c>
      <c r="N733" t="s">
        <v>181</v>
      </c>
      <c r="O733">
        <f t="shared" si="33"/>
        <v>69.98884000000001</v>
      </c>
      <c r="P733">
        <f t="shared" si="34"/>
        <v>-88.986050000000006</v>
      </c>
      <c r="Q733">
        <f t="shared" si="35"/>
        <v>88.986050000000006</v>
      </c>
      <c r="Y733">
        <f>TREND(H730:H734,G730:G734,G733)</f>
        <v>-1.2</v>
      </c>
      <c r="Z733">
        <f>ABS((Y733-H733)/80*100)</f>
        <v>0</v>
      </c>
      <c r="AH733">
        <f>H733-AG695</f>
        <v>50.002600000000001</v>
      </c>
      <c r="AI733">
        <f>100*(AH733-O733)/80</f>
        <v>-24.982800000000012</v>
      </c>
    </row>
    <row r="734" spans="1:41" x14ac:dyDescent="0.35">
      <c r="A734" t="s">
        <v>252</v>
      </c>
      <c r="B734" t="s">
        <v>1111</v>
      </c>
      <c r="C734" t="s">
        <v>1709</v>
      </c>
      <c r="D734">
        <v>50</v>
      </c>
      <c r="E734">
        <v>50</v>
      </c>
      <c r="F734">
        <v>1</v>
      </c>
      <c r="G734">
        <v>1.0000819999999999</v>
      </c>
      <c r="H734">
        <v>-1.2</v>
      </c>
      <c r="J734">
        <v>3215</v>
      </c>
      <c r="N734" t="s">
        <v>181</v>
      </c>
      <c r="O734">
        <f t="shared" si="33"/>
        <v>90.00327999999999</v>
      </c>
      <c r="P734">
        <f t="shared" si="34"/>
        <v>-114.00409999999999</v>
      </c>
      <c r="Q734">
        <f t="shared" si="35"/>
        <v>114.00409999999999</v>
      </c>
      <c r="Y734">
        <f>TREND(H730:H734,G730:G734,G734)</f>
        <v>-1.2</v>
      </c>
      <c r="Z734">
        <f>ABS((Y734-H734)/80*100)</f>
        <v>0</v>
      </c>
      <c r="AH734">
        <f>H734-AG695</f>
        <v>50.002600000000001</v>
      </c>
      <c r="AI734">
        <f>100*(AH734-O734)/80</f>
        <v>-50.000849999999986</v>
      </c>
    </row>
    <row r="735" spans="1:41" x14ac:dyDescent="0.35">
      <c r="A735" t="s">
        <v>252</v>
      </c>
      <c r="B735" t="s">
        <v>1111</v>
      </c>
      <c r="C735" t="s">
        <v>1745</v>
      </c>
      <c r="D735">
        <v>50</v>
      </c>
      <c r="E735">
        <v>50</v>
      </c>
      <c r="F735">
        <v>0</v>
      </c>
      <c r="G735">
        <v>-1.16E-4</v>
      </c>
      <c r="H735">
        <v>-1.2</v>
      </c>
      <c r="J735">
        <v>3241</v>
      </c>
      <c r="N735" t="s">
        <v>181</v>
      </c>
      <c r="O735">
        <f t="shared" si="33"/>
        <v>49.995359999999998</v>
      </c>
      <c r="P735">
        <f t="shared" si="34"/>
        <v>-63.994199999999999</v>
      </c>
      <c r="Q735">
        <f t="shared" si="35"/>
        <v>63.994199999999999</v>
      </c>
      <c r="Y735">
        <f>TREND(H730:H734,G730:G734,G735)</f>
        <v>-1.2</v>
      </c>
      <c r="Z735">
        <f>ABS((Y735-H735)/80*100)</f>
        <v>0</v>
      </c>
      <c r="AH735">
        <f>H735-AG695</f>
        <v>50.002600000000001</v>
      </c>
      <c r="AI735">
        <f>100*(AH735-O735)/80</f>
        <v>9.0500000000037772E-3</v>
      </c>
    </row>
    <row r="736" spans="1:41" x14ac:dyDescent="0.35">
      <c r="A736" t="s">
        <v>252</v>
      </c>
      <c r="B736" t="s">
        <v>1111</v>
      </c>
      <c r="C736" t="s">
        <v>1782</v>
      </c>
      <c r="D736">
        <v>50</v>
      </c>
      <c r="E736">
        <v>50</v>
      </c>
      <c r="F736">
        <v>-1</v>
      </c>
      <c r="G736">
        <v>-1.0001389999999999</v>
      </c>
      <c r="H736">
        <v>-1.2</v>
      </c>
      <c r="J736">
        <v>3263</v>
      </c>
      <c r="N736" t="s">
        <v>181</v>
      </c>
      <c r="O736">
        <f t="shared" si="33"/>
        <v>9.9944400000000044</v>
      </c>
      <c r="P736">
        <f t="shared" si="34"/>
        <v>-13.993050000000006</v>
      </c>
      <c r="Q736">
        <f t="shared" si="35"/>
        <v>13.993050000000006</v>
      </c>
      <c r="Y736">
        <f>TREND(H730:H734,G730:G734,G736)</f>
        <v>-1.2</v>
      </c>
      <c r="Z736">
        <f>ABS((Y736-H736)/80*100)</f>
        <v>0</v>
      </c>
      <c r="AH736">
        <f>H736-AG695</f>
        <v>50.002600000000001</v>
      </c>
      <c r="AI736">
        <f>100*(AH736-O736)/80</f>
        <v>50.010199999999998</v>
      </c>
    </row>
    <row r="737" spans="1:41" x14ac:dyDescent="0.35">
      <c r="A737" t="s">
        <v>252</v>
      </c>
      <c r="B737" t="s">
        <v>1111</v>
      </c>
      <c r="C737" t="s">
        <v>1819</v>
      </c>
      <c r="D737">
        <v>70</v>
      </c>
      <c r="E737">
        <v>70</v>
      </c>
      <c r="F737">
        <v>-1</v>
      </c>
      <c r="G737">
        <v>-1.0002690000000001</v>
      </c>
      <c r="H737">
        <v>-1.2</v>
      </c>
      <c r="J737">
        <v>11017</v>
      </c>
      <c r="N737" t="s">
        <v>181</v>
      </c>
      <c r="O737">
        <f t="shared" si="33"/>
        <v>9.989239999999997</v>
      </c>
      <c r="P737">
        <f t="shared" si="34"/>
        <v>-13.986549999999994</v>
      </c>
      <c r="Q737">
        <f t="shared" si="35"/>
        <v>13.986549999999994</v>
      </c>
      <c r="S737">
        <v>-1.2</v>
      </c>
      <c r="T737">
        <v>-64.004350000000002</v>
      </c>
      <c r="U737">
        <v>-1.2</v>
      </c>
      <c r="V737">
        <v>-113.97940000000001</v>
      </c>
      <c r="W737">
        <v>-4.7683715864721421E-8</v>
      </c>
      <c r="X737">
        <f>(W737-80)/80*100</f>
        <v>-100.00000005960463</v>
      </c>
      <c r="Y737">
        <f>TREND(H737:H741,G737:G741,G737)</f>
        <v>-1.2</v>
      </c>
      <c r="Z737">
        <f>ABS((Y737-H737)/80*100)</f>
        <v>0</v>
      </c>
      <c r="AA737">
        <f>MAX(Z737:Z741)</f>
        <v>0</v>
      </c>
      <c r="AB737">
        <f>IF(ABS(MAX(P737:P743)) &gt; ABS(MIN(P737:P743)),MAX(P737:P743), MIN(P737:P743))</f>
        <v>-113.97940000000001</v>
      </c>
      <c r="AC737">
        <f>IF(ABS(AB738)&gt;ABS(AB737),AB738,AB737)</f>
        <v>-113.97940000000001</v>
      </c>
      <c r="AH737">
        <f>H737-AG695</f>
        <v>50.002600000000001</v>
      </c>
      <c r="AI737">
        <f>100*(AH737-O737)/80</f>
        <v>50.016700000000007</v>
      </c>
      <c r="AJ737">
        <v>50.002600000000001</v>
      </c>
      <c r="AK737">
        <v>-1.0999999999938836E-3</v>
      </c>
      <c r="AL737">
        <v>50.002600000000001</v>
      </c>
      <c r="AM737">
        <v>-49.976149999999997</v>
      </c>
      <c r="AN737">
        <f>IF(ABS(MAX(AI737:AI743)) &gt; ABS(MIN(AI737:AI743)),MAX(AI737:AI743), MIN(AI737:AI743))</f>
        <v>50.016700000000007</v>
      </c>
      <c r="AO737">
        <f>IF(ABS(AN738)&gt;ABS(AN737),AN738,AN737)</f>
        <v>50.016700000000007</v>
      </c>
    </row>
    <row r="738" spans="1:41" x14ac:dyDescent="0.35">
      <c r="A738" t="s">
        <v>252</v>
      </c>
      <c r="B738" t="s">
        <v>1111</v>
      </c>
      <c r="C738" t="s">
        <v>1856</v>
      </c>
      <c r="D738">
        <v>70</v>
      </c>
      <c r="E738">
        <v>70</v>
      </c>
      <c r="F738">
        <v>-0.5</v>
      </c>
      <c r="G738">
        <v>-0.50017299999999998</v>
      </c>
      <c r="H738">
        <v>-1.2</v>
      </c>
      <c r="J738">
        <v>11052</v>
      </c>
      <c r="N738" t="s">
        <v>181</v>
      </c>
      <c r="O738">
        <f t="shared" si="33"/>
        <v>29.993079999999999</v>
      </c>
      <c r="P738">
        <f t="shared" si="34"/>
        <v>-38.991349999999997</v>
      </c>
      <c r="Q738">
        <f t="shared" si="35"/>
        <v>38.991349999999997</v>
      </c>
      <c r="Y738">
        <f>TREND(H737:H741,G737:G741,G738)</f>
        <v>-1.2</v>
      </c>
      <c r="Z738">
        <f>ABS((Y738-H738)/80*100)</f>
        <v>0</v>
      </c>
      <c r="AB738">
        <f>IF(ABS(T737) &gt; ABS(V737),T737,V737)</f>
        <v>-113.97940000000001</v>
      </c>
      <c r="AH738">
        <f>H738-AG695</f>
        <v>50.002600000000001</v>
      </c>
      <c r="AI738">
        <f>100*(AH738-O738)/80</f>
        <v>25.011900000000004</v>
      </c>
      <c r="AN738">
        <f>IF(ABS(AK737) &gt; ABS(AM737),AK737,AM737)</f>
        <v>-49.976149999999997</v>
      </c>
    </row>
    <row r="739" spans="1:41" x14ac:dyDescent="0.35">
      <c r="A739" t="s">
        <v>252</v>
      </c>
      <c r="B739" t="s">
        <v>1111</v>
      </c>
      <c r="C739" t="s">
        <v>1893</v>
      </c>
      <c r="D739">
        <v>70</v>
      </c>
      <c r="E739">
        <v>70</v>
      </c>
      <c r="F739">
        <v>0</v>
      </c>
      <c r="G739">
        <v>8.7000000000000001E-5</v>
      </c>
      <c r="H739">
        <v>-1.2</v>
      </c>
      <c r="J739">
        <v>11082</v>
      </c>
      <c r="N739" t="s">
        <v>181</v>
      </c>
      <c r="O739">
        <f t="shared" si="33"/>
        <v>50.003479999999996</v>
      </c>
      <c r="P739">
        <f t="shared" si="34"/>
        <v>-64.004350000000002</v>
      </c>
      <c r="Q739">
        <f t="shared" si="35"/>
        <v>64.004350000000002</v>
      </c>
      <c r="Y739">
        <f>TREND(H737:H741,G737:G741,G739)</f>
        <v>-1.2</v>
      </c>
      <c r="Z739">
        <f>ABS((Y739-H739)/80*100)</f>
        <v>0</v>
      </c>
      <c r="AH739">
        <f>H739-AG695</f>
        <v>50.002600000000001</v>
      </c>
      <c r="AI739">
        <f>100*(AH739-O739)/80</f>
        <v>-1.0999999999938836E-3</v>
      </c>
    </row>
    <row r="740" spans="1:41" x14ac:dyDescent="0.35">
      <c r="A740" t="s">
        <v>252</v>
      </c>
      <c r="B740" t="s">
        <v>1111</v>
      </c>
      <c r="C740" t="s">
        <v>1929</v>
      </c>
      <c r="D740">
        <v>70</v>
      </c>
      <c r="E740">
        <v>70</v>
      </c>
      <c r="F740">
        <v>0.5</v>
      </c>
      <c r="G740">
        <v>0.499884</v>
      </c>
      <c r="H740">
        <v>-1.2</v>
      </c>
      <c r="J740">
        <v>11121</v>
      </c>
      <c r="N740" t="s">
        <v>181</v>
      </c>
      <c r="O740">
        <f t="shared" si="33"/>
        <v>69.995360000000005</v>
      </c>
      <c r="P740">
        <f t="shared" si="34"/>
        <v>-88.994200000000006</v>
      </c>
      <c r="Q740">
        <f t="shared" si="35"/>
        <v>88.994200000000006</v>
      </c>
      <c r="Y740">
        <f>TREND(H737:H741,G737:G741,G740)</f>
        <v>-1.2</v>
      </c>
      <c r="Z740">
        <f>ABS((Y740-H740)/80*100)</f>
        <v>0</v>
      </c>
      <c r="AH740">
        <f>H740-AG695</f>
        <v>50.002600000000001</v>
      </c>
      <c r="AI740">
        <f>100*(AH740-O740)/80</f>
        <v>-24.990950000000005</v>
      </c>
    </row>
    <row r="741" spans="1:41" x14ac:dyDescent="0.35">
      <c r="A741" t="s">
        <v>252</v>
      </c>
      <c r="B741" t="s">
        <v>1111</v>
      </c>
      <c r="C741" t="s">
        <v>1966</v>
      </c>
      <c r="D741">
        <v>70</v>
      </c>
      <c r="E741">
        <v>70</v>
      </c>
      <c r="F741">
        <v>1</v>
      </c>
      <c r="G741">
        <v>0.99958800000000003</v>
      </c>
      <c r="H741">
        <v>-1.2</v>
      </c>
      <c r="J741">
        <v>11143</v>
      </c>
      <c r="N741" t="s">
        <v>181</v>
      </c>
      <c r="O741">
        <f t="shared" si="33"/>
        <v>89.983519999999999</v>
      </c>
      <c r="P741">
        <f t="shared" si="34"/>
        <v>-113.97940000000001</v>
      </c>
      <c r="Q741">
        <f t="shared" si="35"/>
        <v>113.97940000000001</v>
      </c>
      <c r="Y741">
        <f>TREND(H737:H741,G737:G741,G741)</f>
        <v>-1.2</v>
      </c>
      <c r="Z741">
        <f>ABS((Y741-H741)/80*100)</f>
        <v>0</v>
      </c>
      <c r="AH741">
        <f>H741-AG695</f>
        <v>50.002600000000001</v>
      </c>
      <c r="AI741">
        <f>100*(AH741-O741)/80</f>
        <v>-49.976149999999997</v>
      </c>
    </row>
    <row r="742" spans="1:41" x14ac:dyDescent="0.35">
      <c r="A742" t="s">
        <v>252</v>
      </c>
      <c r="B742" t="s">
        <v>1111</v>
      </c>
      <c r="C742" t="s">
        <v>2002</v>
      </c>
      <c r="D742">
        <v>70</v>
      </c>
      <c r="E742">
        <v>70</v>
      </c>
      <c r="F742">
        <v>0</v>
      </c>
      <c r="G742">
        <v>-2.1900000000000001E-4</v>
      </c>
      <c r="H742">
        <v>-1.2</v>
      </c>
      <c r="J742">
        <v>11169</v>
      </c>
      <c r="N742" t="s">
        <v>181</v>
      </c>
      <c r="O742">
        <f t="shared" si="33"/>
        <v>49.991240000000005</v>
      </c>
      <c r="P742">
        <f t="shared" si="34"/>
        <v>-63.989050000000006</v>
      </c>
      <c r="Q742">
        <f t="shared" si="35"/>
        <v>63.989050000000006</v>
      </c>
      <c r="Y742">
        <f>TREND(H737:H741,G737:G741,G742)</f>
        <v>-1.2</v>
      </c>
      <c r="Z742">
        <f>ABS((Y742-H742)/80*100)</f>
        <v>0</v>
      </c>
      <c r="AH742">
        <f>H742-AG695</f>
        <v>50.002600000000001</v>
      </c>
      <c r="AI742">
        <f>100*(AH742-O742)/80</f>
        <v>1.4199999999995327E-2</v>
      </c>
    </row>
    <row r="743" spans="1:41" x14ac:dyDescent="0.35">
      <c r="A743" t="s">
        <v>252</v>
      </c>
      <c r="B743" t="s">
        <v>1111</v>
      </c>
      <c r="C743" t="s">
        <v>2039</v>
      </c>
      <c r="D743">
        <v>70</v>
      </c>
      <c r="E743">
        <v>70</v>
      </c>
      <c r="F743">
        <v>-1</v>
      </c>
      <c r="G743">
        <v>-0.99995199999999995</v>
      </c>
      <c r="H743">
        <v>-1.2</v>
      </c>
      <c r="J743">
        <v>11197</v>
      </c>
      <c r="N743" t="s">
        <v>181</v>
      </c>
      <c r="O743">
        <f t="shared" si="33"/>
        <v>10.001920000000002</v>
      </c>
      <c r="P743">
        <f t="shared" si="34"/>
        <v>-14.0024</v>
      </c>
      <c r="Q743">
        <f t="shared" si="35"/>
        <v>14.0024</v>
      </c>
      <c r="Y743">
        <f>TREND(H737:H741,G737:G741,G743)</f>
        <v>-1.2</v>
      </c>
      <c r="Z743">
        <f>ABS((Y743-H743)/80*100)</f>
        <v>0</v>
      </c>
      <c r="AH743">
        <f>H743-AG695</f>
        <v>50.002600000000001</v>
      </c>
      <c r="AI743">
        <f>100*(AH743-O743)/80</f>
        <v>50.00085</v>
      </c>
    </row>
    <row r="744" spans="1:41" x14ac:dyDescent="0.35">
      <c r="A744" t="s">
        <v>252</v>
      </c>
      <c r="B744" t="s">
        <v>1111</v>
      </c>
      <c r="C744" t="s">
        <v>2075</v>
      </c>
      <c r="D744">
        <v>85</v>
      </c>
      <c r="E744">
        <v>85</v>
      </c>
      <c r="F744">
        <v>-1</v>
      </c>
      <c r="G744">
        <v>-1.000048</v>
      </c>
      <c r="H744">
        <v>-1.2</v>
      </c>
      <c r="J744">
        <v>17012</v>
      </c>
      <c r="N744" t="s">
        <v>181</v>
      </c>
      <c r="O744">
        <f t="shared" si="33"/>
        <v>9.9980799999999981</v>
      </c>
      <c r="P744">
        <f t="shared" si="34"/>
        <v>-13.997599999999997</v>
      </c>
      <c r="Q744">
        <f t="shared" si="35"/>
        <v>13.997599999999997</v>
      </c>
      <c r="S744">
        <v>-1.2</v>
      </c>
      <c r="T744">
        <v>-63.999400000000001</v>
      </c>
      <c r="U744">
        <v>-1.2</v>
      </c>
      <c r="V744">
        <v>-113.99445</v>
      </c>
      <c r="W744">
        <v>-4.7683715864721421E-8</v>
      </c>
      <c r="X744">
        <f>(W744-80)/80*100</f>
        <v>-100.00000005960463</v>
      </c>
      <c r="Y744">
        <f>TREND(H744:H748,G744:G748,G744)</f>
        <v>-1.2</v>
      </c>
      <c r="Z744">
        <f>ABS((Y744-H744)/80*100)</f>
        <v>0</v>
      </c>
      <c r="AA744">
        <f>MAX(Z744:Z748)</f>
        <v>0</v>
      </c>
      <c r="AB744">
        <f>IF(ABS(MAX(P744:P750)) &gt; ABS(MIN(P744:P750)),MAX(P744:P750), MIN(P744:P750))</f>
        <v>-113.99445</v>
      </c>
      <c r="AC744">
        <f>IF(ABS(AB745)&gt;ABS(AB744),AB745,AB744)</f>
        <v>-113.99445</v>
      </c>
      <c r="AH744">
        <f>H744-AG695</f>
        <v>50.002600000000001</v>
      </c>
      <c r="AI744">
        <f>100*(AH744-O744)/80</f>
        <v>50.005649999999996</v>
      </c>
      <c r="AJ744">
        <v>50.002600000000001</v>
      </c>
      <c r="AK744">
        <v>3.8500000000052381E-3</v>
      </c>
      <c r="AL744">
        <v>50.002600000000001</v>
      </c>
      <c r="AM744">
        <v>-49.991199999999999</v>
      </c>
      <c r="AN744">
        <f>IF(ABS(MAX(AI744:AI750)) &gt; ABS(MIN(AI744:AI750)),MAX(AI744:AI750), MIN(AI744:AI750))</f>
        <v>50.005649999999996</v>
      </c>
      <c r="AO744">
        <f>IF(ABS(AN745)&gt;ABS(AN744),AN745,AN744)</f>
        <v>50.005649999999996</v>
      </c>
    </row>
    <row r="745" spans="1:41" x14ac:dyDescent="0.35">
      <c r="A745" t="s">
        <v>252</v>
      </c>
      <c r="B745" t="s">
        <v>1111</v>
      </c>
      <c r="C745" t="s">
        <v>2111</v>
      </c>
      <c r="D745">
        <v>85</v>
      </c>
      <c r="E745">
        <v>85</v>
      </c>
      <c r="F745">
        <v>-0.5</v>
      </c>
      <c r="G745">
        <v>-0.50012999999999996</v>
      </c>
      <c r="H745">
        <v>-1.2</v>
      </c>
      <c r="J745">
        <v>17034</v>
      </c>
      <c r="N745" t="s">
        <v>181</v>
      </c>
      <c r="O745">
        <f t="shared" si="33"/>
        <v>29.994800000000001</v>
      </c>
      <c r="P745">
        <f t="shared" si="34"/>
        <v>-38.993499999999997</v>
      </c>
      <c r="Q745">
        <f t="shared" si="35"/>
        <v>38.993499999999997</v>
      </c>
      <c r="Y745">
        <f>TREND(H744:H748,G744:G748,G745)</f>
        <v>-1.2</v>
      </c>
      <c r="Z745">
        <f>ABS((Y745-H745)/80*100)</f>
        <v>0</v>
      </c>
      <c r="AB745">
        <f>IF(ABS(T744) &gt; ABS(V744),T744,V744)</f>
        <v>-113.99445</v>
      </c>
      <c r="AH745">
        <f>H745-AG695</f>
        <v>50.002600000000001</v>
      </c>
      <c r="AI745">
        <f>100*(AH745-O745)/80</f>
        <v>25.00975</v>
      </c>
      <c r="AN745">
        <f>IF(ABS(AK744) &gt; ABS(AM744),AK744,AM744)</f>
        <v>-49.991199999999999</v>
      </c>
    </row>
    <row r="746" spans="1:41" x14ac:dyDescent="0.35">
      <c r="A746" t="s">
        <v>252</v>
      </c>
      <c r="B746" t="s">
        <v>1111</v>
      </c>
      <c r="C746" t="s">
        <v>2147</v>
      </c>
      <c r="D746">
        <v>85</v>
      </c>
      <c r="E746">
        <v>85</v>
      </c>
      <c r="F746">
        <v>0</v>
      </c>
      <c r="G746">
        <v>-1.2E-5</v>
      </c>
      <c r="H746">
        <v>-1.2</v>
      </c>
      <c r="J746">
        <v>17071</v>
      </c>
      <c r="N746" t="s">
        <v>181</v>
      </c>
      <c r="O746">
        <f t="shared" si="33"/>
        <v>49.999519999999997</v>
      </c>
      <c r="P746">
        <f t="shared" si="34"/>
        <v>-63.999400000000001</v>
      </c>
      <c r="Q746">
        <f t="shared" si="35"/>
        <v>63.999400000000001</v>
      </c>
      <c r="Y746">
        <f>TREND(H744:H748,G744:G748,G746)</f>
        <v>-1.2</v>
      </c>
      <c r="Z746">
        <f>ABS((Y746-H746)/80*100)</f>
        <v>0</v>
      </c>
      <c r="AH746">
        <f>H746-AG695</f>
        <v>50.002600000000001</v>
      </c>
      <c r="AI746">
        <f>100*(AH746-O746)/80</f>
        <v>3.8500000000052381E-3</v>
      </c>
    </row>
    <row r="747" spans="1:41" x14ac:dyDescent="0.35">
      <c r="A747" t="s">
        <v>252</v>
      </c>
      <c r="B747" t="s">
        <v>1111</v>
      </c>
      <c r="C747" t="s">
        <v>2184</v>
      </c>
      <c r="D747">
        <v>85</v>
      </c>
      <c r="E747">
        <v>85</v>
      </c>
      <c r="F747">
        <v>0.5</v>
      </c>
      <c r="G747">
        <v>0.49983</v>
      </c>
      <c r="H747">
        <v>-1.2</v>
      </c>
      <c r="J747">
        <v>17097</v>
      </c>
      <c r="N747" t="s">
        <v>181</v>
      </c>
      <c r="O747">
        <f t="shared" si="33"/>
        <v>69.993200000000002</v>
      </c>
      <c r="P747">
        <f t="shared" si="34"/>
        <v>-88.991500000000002</v>
      </c>
      <c r="Q747">
        <f t="shared" si="35"/>
        <v>88.991500000000002</v>
      </c>
      <c r="Y747">
        <f>TREND(H744:H748,G744:G748,G747)</f>
        <v>-1.2</v>
      </c>
      <c r="Z747">
        <f>ABS((Y747-H747)/80*100)</f>
        <v>0</v>
      </c>
      <c r="AH747">
        <f>H747-AG695</f>
        <v>50.002600000000001</v>
      </c>
      <c r="AI747">
        <f>100*(AH747-O747)/80</f>
        <v>-24.988250000000001</v>
      </c>
    </row>
    <row r="748" spans="1:41" x14ac:dyDescent="0.35">
      <c r="A748" t="s">
        <v>252</v>
      </c>
      <c r="B748" t="s">
        <v>1111</v>
      </c>
      <c r="C748" t="s">
        <v>2221</v>
      </c>
      <c r="D748">
        <v>85</v>
      </c>
      <c r="E748">
        <v>85</v>
      </c>
      <c r="F748">
        <v>1</v>
      </c>
      <c r="G748">
        <v>0.99988900000000003</v>
      </c>
      <c r="H748">
        <v>-1.2</v>
      </c>
      <c r="J748">
        <v>17119</v>
      </c>
      <c r="N748" t="s">
        <v>181</v>
      </c>
      <c r="O748">
        <f t="shared" si="33"/>
        <v>89.995559999999998</v>
      </c>
      <c r="P748">
        <f t="shared" si="34"/>
        <v>-113.99445</v>
      </c>
      <c r="Q748">
        <f t="shared" si="35"/>
        <v>113.99445</v>
      </c>
      <c r="Y748">
        <f>TREND(H744:H748,G744:G748,G748)</f>
        <v>-1.2</v>
      </c>
      <c r="Z748">
        <f>ABS((Y748-H748)/80*100)</f>
        <v>0</v>
      </c>
      <c r="AH748">
        <f>H748-AG695</f>
        <v>50.002600000000001</v>
      </c>
      <c r="AI748">
        <f>100*(AH748-O748)/80</f>
        <v>-49.991199999999999</v>
      </c>
    </row>
    <row r="749" spans="1:41" x14ac:dyDescent="0.35">
      <c r="A749" t="s">
        <v>252</v>
      </c>
      <c r="B749" t="s">
        <v>1111</v>
      </c>
      <c r="C749" t="s">
        <v>2257</v>
      </c>
      <c r="D749">
        <v>85</v>
      </c>
      <c r="E749">
        <v>85</v>
      </c>
      <c r="F749">
        <v>0</v>
      </c>
      <c r="G749">
        <v>-6.6000000000000005E-5</v>
      </c>
      <c r="H749">
        <v>-1.2</v>
      </c>
      <c r="J749">
        <v>17140</v>
      </c>
      <c r="N749" t="s">
        <v>181</v>
      </c>
      <c r="O749">
        <f t="shared" si="33"/>
        <v>49.99736</v>
      </c>
      <c r="P749">
        <f t="shared" si="34"/>
        <v>-63.996700000000011</v>
      </c>
      <c r="Q749">
        <f t="shared" si="35"/>
        <v>63.996700000000011</v>
      </c>
      <c r="Y749">
        <f>TREND(H744:H748,G744:G748,G749)</f>
        <v>-1.2</v>
      </c>
      <c r="Z749">
        <f>ABS((Y749-H749)/80*100)</f>
        <v>0</v>
      </c>
      <c r="AH749">
        <f>H749-AG695</f>
        <v>50.002600000000001</v>
      </c>
      <c r="AI749">
        <f>100*(AH749-O749)/80</f>
        <v>6.5500000000007219E-3</v>
      </c>
    </row>
    <row r="750" spans="1:41" x14ac:dyDescent="0.35">
      <c r="A750" t="s">
        <v>252</v>
      </c>
      <c r="B750" t="s">
        <v>1111</v>
      </c>
      <c r="C750" t="s">
        <v>2294</v>
      </c>
      <c r="D750">
        <v>85</v>
      </c>
      <c r="E750">
        <v>85</v>
      </c>
      <c r="F750">
        <v>-1</v>
      </c>
      <c r="G750">
        <v>-0.99950300000000003</v>
      </c>
      <c r="H750">
        <v>-1.2</v>
      </c>
      <c r="J750">
        <v>17158</v>
      </c>
      <c r="N750" t="s">
        <v>181</v>
      </c>
      <c r="O750">
        <f t="shared" si="33"/>
        <v>10.019879999999999</v>
      </c>
      <c r="P750">
        <f t="shared" si="34"/>
        <v>-14.024849999999997</v>
      </c>
      <c r="Q750">
        <f t="shared" si="35"/>
        <v>14.024849999999997</v>
      </c>
      <c r="Y750">
        <f>TREND(H744:H748,G744:G748,G750)</f>
        <v>-1.2</v>
      </c>
      <c r="Z750">
        <f>ABS((Y750-H750)/80*100)</f>
        <v>0</v>
      </c>
      <c r="AH750">
        <f>H750-AG695</f>
        <v>50.002600000000001</v>
      </c>
      <c r="AI750">
        <f>100*(AH750-O750)/80</f>
        <v>49.978400000000001</v>
      </c>
    </row>
    <row r="751" spans="1:41" x14ac:dyDescent="0.35">
      <c r="A751" t="s">
        <v>252</v>
      </c>
      <c r="B751" t="s">
        <v>1111</v>
      </c>
      <c r="C751" t="s">
        <v>2331</v>
      </c>
      <c r="D751">
        <v>25</v>
      </c>
      <c r="E751">
        <v>25</v>
      </c>
      <c r="F751">
        <v>-1</v>
      </c>
      <c r="G751">
        <v>-1.0006679999999999</v>
      </c>
      <c r="H751">
        <v>101.1984375</v>
      </c>
      <c r="J751">
        <v>-5273</v>
      </c>
      <c r="N751" t="s">
        <v>181</v>
      </c>
      <c r="O751">
        <f t="shared" si="33"/>
        <v>9.9732800000000044</v>
      </c>
      <c r="P751">
        <f t="shared" si="34"/>
        <v>114.03144687499999</v>
      </c>
      <c r="Q751">
        <f t="shared" si="35"/>
        <v>114.03144687499999</v>
      </c>
      <c r="S751">
        <v>101.1984375</v>
      </c>
      <c r="T751">
        <v>64.004146874999989</v>
      </c>
      <c r="U751">
        <v>101.1984375</v>
      </c>
      <c r="V751">
        <v>13.999446874999995</v>
      </c>
      <c r="W751">
        <v>3.0517578153421709E-6</v>
      </c>
      <c r="X751">
        <f>(W751-80)/80*100</f>
        <v>-99.999996185302734</v>
      </c>
      <c r="Y751">
        <f>TREND(H751:H755,G751:G755,G751)</f>
        <v>101.1984375</v>
      </c>
      <c r="Z751">
        <f>ABS((Y751-H751)/80*100)</f>
        <v>0</v>
      </c>
      <c r="AA751">
        <f>MAX(Z751:Z755)</f>
        <v>0</v>
      </c>
      <c r="AB751">
        <f>IF(ABS(MAX(P751:P757)) &gt; ABS(MIN(P751:P757)),MAX(P751:P757), MIN(P751:P757))</f>
        <v>114.03144687499999</v>
      </c>
      <c r="AC751">
        <f>IF(ABS(AB752)&gt;ABS(AB751),AB752,AB751)</f>
        <v>114.03144687499999</v>
      </c>
      <c r="AH751">
        <f>H751-AG695</f>
        <v>152.4010375</v>
      </c>
      <c r="AI751">
        <f>100*(AH751-O751)/80</f>
        <v>178.03469687499998</v>
      </c>
      <c r="AJ751">
        <v>152.4010375</v>
      </c>
      <c r="AK751">
        <v>128.00739687499998</v>
      </c>
      <c r="AL751">
        <v>152.4010375</v>
      </c>
      <c r="AM751">
        <v>78.002696874999998</v>
      </c>
      <c r="AN751">
        <f>IF(ABS(MAX(AI751:AI757)) &gt; ABS(MIN(AI751:AI757)),MAX(AI751:AI757), MIN(AI751:AI757))</f>
        <v>178.03469687499998</v>
      </c>
      <c r="AO751">
        <f>IF(ABS(AN752)&gt;ABS(AN751),AN752,AN751)</f>
        <v>178.03469687499998</v>
      </c>
    </row>
    <row r="752" spans="1:41" x14ac:dyDescent="0.35">
      <c r="A752" t="s">
        <v>252</v>
      </c>
      <c r="B752" t="s">
        <v>1111</v>
      </c>
      <c r="C752" t="s">
        <v>2368</v>
      </c>
      <c r="D752">
        <v>25</v>
      </c>
      <c r="E752">
        <v>25</v>
      </c>
      <c r="F752">
        <v>-0.5</v>
      </c>
      <c r="G752">
        <v>-0.50026199999999998</v>
      </c>
      <c r="H752">
        <v>101.1984375</v>
      </c>
      <c r="J752">
        <v>-5339</v>
      </c>
      <c r="N752" t="s">
        <v>181</v>
      </c>
      <c r="O752">
        <f t="shared" si="33"/>
        <v>29.989519999999999</v>
      </c>
      <c r="P752">
        <f t="shared" si="34"/>
        <v>89.011146874999994</v>
      </c>
      <c r="Q752">
        <f t="shared" si="35"/>
        <v>89.011146874999994</v>
      </c>
      <c r="Y752">
        <f>TREND(H751:H755,G751:G755,G752)</f>
        <v>101.1984375</v>
      </c>
      <c r="Z752">
        <f>ABS((Y752-H752)/80*100)</f>
        <v>0</v>
      </c>
      <c r="AB752">
        <f>IF(ABS(T751) &gt; ABS(V751),T751,V751)</f>
        <v>64.004146874999989</v>
      </c>
      <c r="AH752">
        <f>H752-AG695</f>
        <v>152.4010375</v>
      </c>
      <c r="AI752">
        <f>100*(AH752-O752)/80</f>
        <v>153.01439687500002</v>
      </c>
      <c r="AN752">
        <f>IF(ABS(AK751) &gt; ABS(AM751),AK751,AM751)</f>
        <v>128.00739687499998</v>
      </c>
    </row>
    <row r="753" spans="1:41" x14ac:dyDescent="0.35">
      <c r="A753" t="s">
        <v>252</v>
      </c>
      <c r="B753" t="s">
        <v>1111</v>
      </c>
      <c r="C753" t="s">
        <v>2404</v>
      </c>
      <c r="D753">
        <v>25</v>
      </c>
      <c r="E753">
        <v>25</v>
      </c>
      <c r="F753">
        <v>0</v>
      </c>
      <c r="G753">
        <v>-1.22E-4</v>
      </c>
      <c r="H753">
        <v>101.1984375</v>
      </c>
      <c r="J753">
        <v>-5402</v>
      </c>
      <c r="N753" t="s">
        <v>181</v>
      </c>
      <c r="O753">
        <f t="shared" si="33"/>
        <v>49.99512</v>
      </c>
      <c r="P753">
        <f t="shared" si="34"/>
        <v>64.004146874999989</v>
      </c>
      <c r="Q753">
        <f t="shared" si="35"/>
        <v>64.004146874999989</v>
      </c>
      <c r="Y753">
        <f>TREND(H751:H755,G751:G755,G753)</f>
        <v>101.1984375</v>
      </c>
      <c r="Z753">
        <f>ABS((Y753-H753)/80*100)</f>
        <v>0</v>
      </c>
      <c r="AH753">
        <f>H753-AG695</f>
        <v>152.4010375</v>
      </c>
      <c r="AI753">
        <f>100*(AH753-O753)/80</f>
        <v>128.00739687499998</v>
      </c>
    </row>
    <row r="754" spans="1:41" x14ac:dyDescent="0.35">
      <c r="A754" t="s">
        <v>252</v>
      </c>
      <c r="B754" t="s">
        <v>1111</v>
      </c>
      <c r="C754" t="s">
        <v>2441</v>
      </c>
      <c r="D754">
        <v>25</v>
      </c>
      <c r="E754">
        <v>25</v>
      </c>
      <c r="F754">
        <v>0.5</v>
      </c>
      <c r="G754">
        <v>0.49995099999999998</v>
      </c>
      <c r="H754">
        <v>101.1984375</v>
      </c>
      <c r="J754">
        <v>-5456</v>
      </c>
      <c r="N754" t="s">
        <v>181</v>
      </c>
      <c r="O754">
        <f t="shared" si="33"/>
        <v>69.998040000000003</v>
      </c>
      <c r="P754">
        <f t="shared" si="34"/>
        <v>39.000496874999996</v>
      </c>
      <c r="Q754">
        <f t="shared" si="35"/>
        <v>39.000496874999996</v>
      </c>
      <c r="Y754">
        <f>TREND(H751:H755,G751:G755,G754)</f>
        <v>101.1984375</v>
      </c>
      <c r="Z754">
        <f>ABS((Y754-H754)/80*100)</f>
        <v>0</v>
      </c>
      <c r="AH754">
        <f>H754-AG695</f>
        <v>152.4010375</v>
      </c>
      <c r="AI754">
        <f>100*(AH754-O754)/80</f>
        <v>103.003746875</v>
      </c>
    </row>
    <row r="755" spans="1:41" x14ac:dyDescent="0.35">
      <c r="A755" t="s">
        <v>252</v>
      </c>
      <c r="B755" t="s">
        <v>1111</v>
      </c>
      <c r="C755" t="s">
        <v>2478</v>
      </c>
      <c r="D755">
        <v>25</v>
      </c>
      <c r="E755">
        <v>25</v>
      </c>
      <c r="F755">
        <v>1</v>
      </c>
      <c r="G755">
        <v>0.99997199999999997</v>
      </c>
      <c r="H755">
        <v>101.1984375</v>
      </c>
      <c r="J755">
        <v>-5515</v>
      </c>
      <c r="N755" t="s">
        <v>181</v>
      </c>
      <c r="O755">
        <f t="shared" si="33"/>
        <v>89.99888</v>
      </c>
      <c r="P755">
        <f t="shared" si="34"/>
        <v>13.999446874999995</v>
      </c>
      <c r="Q755">
        <f t="shared" si="35"/>
        <v>13.999446874999995</v>
      </c>
      <c r="Y755">
        <f>TREND(H751:H755,G751:G755,G755)</f>
        <v>101.1984375</v>
      </c>
      <c r="Z755">
        <f>ABS((Y755-H755)/80*100)</f>
        <v>0</v>
      </c>
      <c r="AH755">
        <f>H755-AG695</f>
        <v>152.4010375</v>
      </c>
      <c r="AI755">
        <f>100*(AH755-O755)/80</f>
        <v>78.002696874999998</v>
      </c>
    </row>
    <row r="756" spans="1:41" x14ac:dyDescent="0.35">
      <c r="A756" t="s">
        <v>252</v>
      </c>
      <c r="B756" t="s">
        <v>1111</v>
      </c>
      <c r="C756" t="s">
        <v>2515</v>
      </c>
      <c r="D756">
        <v>25</v>
      </c>
      <c r="E756">
        <v>25</v>
      </c>
      <c r="F756">
        <v>0</v>
      </c>
      <c r="G756">
        <v>-5.8E-5</v>
      </c>
      <c r="H756">
        <v>101.1984375</v>
      </c>
      <c r="J756">
        <v>-5554</v>
      </c>
      <c r="N756" t="s">
        <v>181</v>
      </c>
      <c r="O756">
        <f t="shared" si="33"/>
        <v>49.997680000000003</v>
      </c>
      <c r="P756">
        <f t="shared" si="34"/>
        <v>64.000946874999983</v>
      </c>
      <c r="Q756">
        <f t="shared" si="35"/>
        <v>64.000946874999983</v>
      </c>
      <c r="Y756">
        <f>TREND(H751:H755,G751:G755,G756)</f>
        <v>101.1984375</v>
      </c>
      <c r="Z756">
        <f>ABS((Y756-H756)/80*100)</f>
        <v>0</v>
      </c>
      <c r="AH756">
        <f>H756-AG695</f>
        <v>152.4010375</v>
      </c>
      <c r="AI756">
        <f>100*(AH756-O756)/80</f>
        <v>128.00419687499999</v>
      </c>
    </row>
    <row r="757" spans="1:41" x14ac:dyDescent="0.35">
      <c r="A757" t="s">
        <v>252</v>
      </c>
      <c r="B757" t="s">
        <v>1111</v>
      </c>
      <c r="C757" t="s">
        <v>2550</v>
      </c>
      <c r="D757">
        <v>25</v>
      </c>
      <c r="E757">
        <v>25</v>
      </c>
      <c r="F757">
        <v>-1</v>
      </c>
      <c r="G757">
        <v>-1.000138</v>
      </c>
      <c r="H757">
        <v>101.1984375</v>
      </c>
      <c r="J757">
        <v>-5599</v>
      </c>
      <c r="N757" t="s">
        <v>181</v>
      </c>
      <c r="O757">
        <f t="shared" si="33"/>
        <v>9.9944800000000011</v>
      </c>
      <c r="P757">
        <f t="shared" si="34"/>
        <v>114.004946875</v>
      </c>
      <c r="Q757">
        <f t="shared" si="35"/>
        <v>114.004946875</v>
      </c>
      <c r="Y757">
        <f>TREND(H751:H755,G751:G755,G757)</f>
        <v>101.1984375</v>
      </c>
      <c r="Z757">
        <f>ABS((Y757-H757)/80*100)</f>
        <v>0</v>
      </c>
      <c r="AH757">
        <f>H757-AG695</f>
        <v>152.4010375</v>
      </c>
      <c r="AI757">
        <f>100*(AH757-O757)/80</f>
        <v>178.00819687500001</v>
      </c>
    </row>
    <row r="758" spans="1:41" x14ac:dyDescent="0.35">
      <c r="A758" t="s">
        <v>254</v>
      </c>
      <c r="B758" t="s">
        <v>231</v>
      </c>
      <c r="C758" t="s">
        <v>255</v>
      </c>
      <c r="D758">
        <v>25</v>
      </c>
      <c r="E758">
        <v>25</v>
      </c>
      <c r="F758">
        <v>-1</v>
      </c>
      <c r="G758">
        <v>-1.000076</v>
      </c>
      <c r="H758">
        <v>10.4671875</v>
      </c>
      <c r="J758">
        <v>-6194</v>
      </c>
      <c r="N758" t="s">
        <v>182</v>
      </c>
      <c r="O758">
        <f t="shared" si="33"/>
        <v>9.9969600000000014</v>
      </c>
      <c r="P758">
        <f t="shared" si="34"/>
        <v>0.58778437499999781</v>
      </c>
      <c r="Q758">
        <f t="shared" si="35"/>
        <v>0.58778437499999781</v>
      </c>
      <c r="S758">
        <v>50.271875000000001</v>
      </c>
      <c r="T758">
        <v>0.33489374999999377</v>
      </c>
      <c r="U758">
        <v>90.360937500000006</v>
      </c>
      <c r="V758">
        <v>0.4818218750000014</v>
      </c>
      <c r="W758">
        <v>79.893751525878912</v>
      </c>
      <c r="X758">
        <f>(W758-80)/80*100</f>
        <v>-0.13281059265136008</v>
      </c>
      <c r="Y758">
        <f>TREND(H758:H762,G758:G762,G758)</f>
        <v>10.345966803771425</v>
      </c>
      <c r="Z758">
        <f>ABS((Y758-H758)/80*100)</f>
        <v>0.15152587028571807</v>
      </c>
      <c r="AA758">
        <f>MAX(Z758:Z762)</f>
        <v>0.15751694280167428</v>
      </c>
      <c r="AB758">
        <f>IF(ABS(MAX(P758:P764)) &gt; ABS(MIN(P758:P764)),MAX(P758:P764), MIN(P758:P764))</f>
        <v>0.58778437499999781</v>
      </c>
      <c r="AC758">
        <f>IF(ABS(AB759)&gt;ABS(AB758),AB759,AB758)</f>
        <v>0.58778437499999781</v>
      </c>
      <c r="AD758">
        <f>MAX(AD759:AD760)</f>
        <v>2.563750000001086E-2</v>
      </c>
      <c r="AE758">
        <f>MAX(AE759:AE779)</f>
        <v>0.39182499999999665</v>
      </c>
      <c r="AF758">
        <f>MAX(AD758,AA758)</f>
        <v>0.15751694280167428</v>
      </c>
      <c r="AG758">
        <f>H760-O760</f>
        <v>0.26791499999999502</v>
      </c>
      <c r="AH758">
        <f>H758-AG758</f>
        <v>10.199272500000005</v>
      </c>
      <c r="AI758">
        <f>100*(AH758-O758)/80</f>
        <v>0.25289062500000403</v>
      </c>
      <c r="AJ758">
        <v>50.003960000000006</v>
      </c>
      <c r="AK758">
        <v>0</v>
      </c>
      <c r="AL758">
        <v>90.093022500000018</v>
      </c>
      <c r="AM758">
        <v>0.14692812500001651</v>
      </c>
      <c r="AN758">
        <f>IF(ABS(MAX(AI758:AI764)) &gt; ABS(MIN(AI758:AI764)),MAX(AI758:AI764), MIN(AI758:AI764))</f>
        <v>0.25289062500000403</v>
      </c>
      <c r="AO758">
        <f>IF(ABS(AN759)&gt;ABS(AN758),AN759,AN758)</f>
        <v>0.25289062500000403</v>
      </c>
    </row>
    <row r="759" spans="1:41" x14ac:dyDescent="0.35">
      <c r="A759" t="s">
        <v>254</v>
      </c>
      <c r="B759" t="s">
        <v>231</v>
      </c>
      <c r="C759" t="s">
        <v>319</v>
      </c>
      <c r="D759">
        <v>25</v>
      </c>
      <c r="E759">
        <v>25</v>
      </c>
      <c r="F759">
        <v>-0.5</v>
      </c>
      <c r="G759">
        <v>-0.50041400000000003</v>
      </c>
      <c r="H759">
        <v>30.209375000000001</v>
      </c>
      <c r="J759">
        <v>-6186</v>
      </c>
      <c r="N759" t="s">
        <v>182</v>
      </c>
      <c r="O759">
        <f t="shared" si="33"/>
        <v>29.983439999999998</v>
      </c>
      <c r="P759">
        <f t="shared" si="34"/>
        <v>0.28241875000000416</v>
      </c>
      <c r="Q759">
        <f t="shared" si="35"/>
        <v>0.28241875000000416</v>
      </c>
      <c r="Y759">
        <f>TREND(H758:H762,G758:G762,G759)</f>
        <v>30.335388554241341</v>
      </c>
      <c r="Z759">
        <f>ABS((Y759-H759)/80*100)</f>
        <v>0.15751694280167428</v>
      </c>
      <c r="AB759">
        <f>IF(ABS(T758) &gt; ABS(V758),T758,V758)</f>
        <v>0.4818218750000014</v>
      </c>
      <c r="AD759">
        <f>ABS(P760-P763)</f>
        <v>2.563750000001086E-2</v>
      </c>
      <c r="AE759">
        <f>ABS(P786-P758)</f>
        <v>0.22315937499999705</v>
      </c>
      <c r="AH759">
        <f>H759-AG758</f>
        <v>29.941460000000006</v>
      </c>
      <c r="AI759">
        <f>100*(AH759-O759)/80</f>
        <v>-5.2474999999989613E-2</v>
      </c>
      <c r="AN759">
        <f>IF(ABS(AK758) &gt; ABS(AM758),AK758,AM758)</f>
        <v>0.14692812500001651</v>
      </c>
    </row>
    <row r="760" spans="1:41" x14ac:dyDescent="0.35">
      <c r="A760" t="s">
        <v>254</v>
      </c>
      <c r="B760" t="s">
        <v>231</v>
      </c>
      <c r="C760" t="s">
        <v>355</v>
      </c>
      <c r="D760">
        <v>25</v>
      </c>
      <c r="E760">
        <v>25</v>
      </c>
      <c r="F760">
        <v>0</v>
      </c>
      <c r="G760">
        <v>9.8999999999999994E-5</v>
      </c>
      <c r="H760">
        <v>50.271875000000001</v>
      </c>
      <c r="J760">
        <v>-6190</v>
      </c>
      <c r="N760" t="s">
        <v>182</v>
      </c>
      <c r="O760">
        <f t="shared" si="33"/>
        <v>50.003960000000006</v>
      </c>
      <c r="P760">
        <f t="shared" si="34"/>
        <v>0.33489374999999377</v>
      </c>
      <c r="Q760">
        <f t="shared" si="35"/>
        <v>0.33489374999999377</v>
      </c>
      <c r="Y760">
        <f>TREND(H758:H762,G758:G762,G760)</f>
        <v>50.358855314957481</v>
      </c>
      <c r="Z760">
        <f>ABS((Y760-H760)/80*100)</f>
        <v>0.1087253936968491</v>
      </c>
      <c r="AD760">
        <f>ABS(P758-P764)</f>
        <v>9.8500000000001364E-3</v>
      </c>
      <c r="AE760">
        <f>ABS(P787-P759)</f>
        <v>0.22388124999999093</v>
      </c>
      <c r="AH760">
        <f>H760-AG758</f>
        <v>50.003960000000006</v>
      </c>
      <c r="AI760">
        <f>100*(AH760-O760)/80</f>
        <v>0</v>
      </c>
    </row>
    <row r="761" spans="1:41" x14ac:dyDescent="0.35">
      <c r="A761" t="s">
        <v>254</v>
      </c>
      <c r="B761" t="s">
        <v>231</v>
      </c>
      <c r="C761" t="s">
        <v>392</v>
      </c>
      <c r="D761">
        <v>25</v>
      </c>
      <c r="E761">
        <v>25</v>
      </c>
      <c r="F761">
        <v>0.5</v>
      </c>
      <c r="G761">
        <v>0.499533</v>
      </c>
      <c r="H761">
        <v>70.40625</v>
      </c>
      <c r="J761">
        <v>-6186</v>
      </c>
      <c r="N761" t="s">
        <v>182</v>
      </c>
      <c r="O761">
        <f t="shared" si="33"/>
        <v>69.981319999999997</v>
      </c>
      <c r="P761">
        <f t="shared" si="34"/>
        <v>0.5311625000000042</v>
      </c>
      <c r="Q761">
        <f t="shared" si="35"/>
        <v>0.5311625000000042</v>
      </c>
      <c r="Y761">
        <f>TREND(H758:H762,G758:G762,G761)</f>
        <v>70.33915572308176</v>
      </c>
      <c r="Z761">
        <f>ABS((Y761-H761)/80*100)</f>
        <v>8.3867846147800407E-2</v>
      </c>
      <c r="AE761">
        <f>ABS(P788-P760)</f>
        <v>0.11808125000000835</v>
      </c>
      <c r="AH761">
        <f>H761-AG758</f>
        <v>70.138335000000012</v>
      </c>
      <c r="AI761">
        <f>100*(AH761-O761)/80</f>
        <v>0.19626875000001931</v>
      </c>
    </row>
    <row r="762" spans="1:41" x14ac:dyDescent="0.35">
      <c r="A762" t="s">
        <v>254</v>
      </c>
      <c r="B762" t="s">
        <v>231</v>
      </c>
      <c r="C762" t="s">
        <v>429</v>
      </c>
      <c r="D762">
        <v>25</v>
      </c>
      <c r="E762">
        <v>25</v>
      </c>
      <c r="F762">
        <v>1</v>
      </c>
      <c r="G762">
        <v>0.99938700000000003</v>
      </c>
      <c r="H762">
        <v>90.360937500000006</v>
      </c>
      <c r="J762">
        <v>-6179</v>
      </c>
      <c r="N762" t="s">
        <v>182</v>
      </c>
      <c r="O762">
        <f t="shared" si="33"/>
        <v>89.975480000000005</v>
      </c>
      <c r="P762">
        <f t="shared" si="34"/>
        <v>0.4818218750000014</v>
      </c>
      <c r="Q762">
        <f t="shared" si="35"/>
        <v>0.4818218750000014</v>
      </c>
      <c r="Y762">
        <f>TREND(H758:H762,G758:G762,G762)</f>
        <v>90.336258603947996</v>
      </c>
      <c r="Z762">
        <f>ABS((Y762-H762)/80*100)</f>
        <v>3.0848620065011545E-2</v>
      </c>
      <c r="AE762">
        <f>ABS(P789-P761)</f>
        <v>7.3946874999997192E-2</v>
      </c>
      <c r="AH762">
        <f>H762-AG758</f>
        <v>90.093022500000018</v>
      </c>
      <c r="AI762">
        <f>100*(AH762-O762)/80</f>
        <v>0.14692812500001651</v>
      </c>
    </row>
    <row r="763" spans="1:41" x14ac:dyDescent="0.35">
      <c r="A763" t="s">
        <v>254</v>
      </c>
      <c r="B763" t="s">
        <v>231</v>
      </c>
      <c r="C763" t="s">
        <v>466</v>
      </c>
      <c r="D763">
        <v>25</v>
      </c>
      <c r="E763">
        <v>25</v>
      </c>
      <c r="F763">
        <v>0</v>
      </c>
      <c r="G763">
        <v>5.5000000000000002E-5</v>
      </c>
      <c r="H763">
        <v>50.290624999999999</v>
      </c>
      <c r="J763">
        <v>-6186</v>
      </c>
      <c r="N763" t="s">
        <v>182</v>
      </c>
      <c r="O763">
        <f t="shared" si="33"/>
        <v>50.002199999999995</v>
      </c>
      <c r="P763">
        <f t="shared" si="34"/>
        <v>0.36053125000000463</v>
      </c>
      <c r="Q763">
        <f t="shared" si="35"/>
        <v>0.36053125000000463</v>
      </c>
      <c r="Y763">
        <f>TREND(H758:H762,G758:G762,G763)</f>
        <v>50.357095055908324</v>
      </c>
      <c r="Z763">
        <f>ABS((Y763-H763)/80*100)</f>
        <v>8.308756988540722E-2</v>
      </c>
      <c r="AE763">
        <f>ABS(P790-P762)</f>
        <v>0.10503437500000601</v>
      </c>
      <c r="AH763">
        <f>H763-AG758</f>
        <v>50.022710000000004</v>
      </c>
      <c r="AI763">
        <f>100*(AH763-O763)/80</f>
        <v>2.563750000001086E-2</v>
      </c>
    </row>
    <row r="764" spans="1:41" x14ac:dyDescent="0.35">
      <c r="A764" t="s">
        <v>254</v>
      </c>
      <c r="B764" t="s">
        <v>231</v>
      </c>
      <c r="C764" t="s">
        <v>503</v>
      </c>
      <c r="D764">
        <v>25</v>
      </c>
      <c r="E764">
        <v>25</v>
      </c>
      <c r="F764">
        <v>-1</v>
      </c>
      <c r="G764">
        <v>-0.99987899999999996</v>
      </c>
      <c r="H764">
        <v>10.4671875</v>
      </c>
      <c r="J764">
        <v>-6182</v>
      </c>
      <c r="N764" t="s">
        <v>182</v>
      </c>
      <c r="O764">
        <f t="shared" si="33"/>
        <v>10.004840000000002</v>
      </c>
      <c r="P764">
        <f t="shared" si="34"/>
        <v>0.57793437499999767</v>
      </c>
      <c r="Q764">
        <f t="shared" si="35"/>
        <v>0.57793437499999767</v>
      </c>
      <c r="Y764">
        <f>TREND(H758:H762,G758:G762,G764)</f>
        <v>10.353847963605162</v>
      </c>
      <c r="Z764">
        <f>ABS((Y764-H764)/80*100)</f>
        <v>0.14167442049354717</v>
      </c>
      <c r="AE764">
        <f>ABS(P791-P763)</f>
        <v>0.10891874999999551</v>
      </c>
      <c r="AH764">
        <f>H764-AG758</f>
        <v>10.199272500000005</v>
      </c>
      <c r="AI764">
        <f>100*(AH764-O764)/80</f>
        <v>0.2430406250000039</v>
      </c>
    </row>
    <row r="765" spans="1:41" x14ac:dyDescent="0.35">
      <c r="A765" t="s">
        <v>254</v>
      </c>
      <c r="B765" t="s">
        <v>231</v>
      </c>
      <c r="C765" t="s">
        <v>540</v>
      </c>
      <c r="D765">
        <v>-20</v>
      </c>
      <c r="E765">
        <v>-20.2</v>
      </c>
      <c r="F765">
        <v>-1</v>
      </c>
      <c r="G765">
        <v>-1.000294</v>
      </c>
      <c r="H765">
        <v>9.9375</v>
      </c>
      <c r="J765">
        <v>-24322</v>
      </c>
      <c r="N765" t="s">
        <v>182</v>
      </c>
      <c r="O765">
        <f t="shared" si="33"/>
        <v>9.9882399999999993</v>
      </c>
      <c r="P765">
        <f t="shared" si="34"/>
        <v>-6.3424999999999176E-2</v>
      </c>
      <c r="Q765">
        <f t="shared" si="35"/>
        <v>6.3424999999999176E-2</v>
      </c>
      <c r="S765">
        <v>49.754687500000003</v>
      </c>
      <c r="T765">
        <v>-0.27764062499999298</v>
      </c>
      <c r="U765">
        <v>90.1796875</v>
      </c>
      <c r="V765">
        <v>0.22590937500000408</v>
      </c>
      <c r="W765">
        <v>80.2421875</v>
      </c>
      <c r="X765">
        <f>(W765-80)/80*100</f>
        <v>0.302734375</v>
      </c>
      <c r="Y765">
        <f>TREND(H765:H769,G765:G769,G765)</f>
        <v>9.7564336311399984</v>
      </c>
      <c r="Z765">
        <f>ABS((Y765-H765)/80*100)</f>
        <v>0.226332961075002</v>
      </c>
      <c r="AA765">
        <f>MAX(Z765:Z769)</f>
        <v>0.226332961075002</v>
      </c>
      <c r="AB765">
        <f>IF(ABS(MAX(P765:P771)) &gt; ABS(MIN(P765:P771)),MAX(P765:P771), MIN(P765:P771))</f>
        <v>-0.37744374999999941</v>
      </c>
      <c r="AC765">
        <f>IF(ABS(AB766)&gt;ABS(AB765),AB766,AB765)</f>
        <v>-0.37744374999999941</v>
      </c>
      <c r="AE765">
        <f>ABS(P792-P764)</f>
        <v>0.13296562500000331</v>
      </c>
      <c r="AH765">
        <f>H765-AG758</f>
        <v>9.669585000000005</v>
      </c>
      <c r="AI765">
        <f>100*(AH765-O765)/80</f>
        <v>-0.39831874999999295</v>
      </c>
      <c r="AJ765">
        <v>49.486772500000008</v>
      </c>
      <c r="AK765">
        <v>-0.61253437499998675</v>
      </c>
      <c r="AL765">
        <v>89.911772500000012</v>
      </c>
      <c r="AM765">
        <v>-0.10898437499998082</v>
      </c>
      <c r="AN765">
        <f>IF(ABS(MAX(AI765:AI771)) &gt; ABS(MIN(AI765:AI771)),MAX(AI765:AI771), MIN(AI765:AI771))</f>
        <v>-0.71233749999999318</v>
      </c>
      <c r="AO765">
        <f>IF(ABS(AN766)&gt;ABS(AN765),AN766,AN765)</f>
        <v>-0.71233749999999318</v>
      </c>
    </row>
    <row r="766" spans="1:41" x14ac:dyDescent="0.35">
      <c r="A766" t="s">
        <v>254</v>
      </c>
      <c r="B766" t="s">
        <v>231</v>
      </c>
      <c r="C766" t="s">
        <v>577</v>
      </c>
      <c r="D766">
        <v>-20</v>
      </c>
      <c r="E766">
        <v>-19.899999999999999</v>
      </c>
      <c r="F766">
        <v>-0.5</v>
      </c>
      <c r="G766">
        <v>-0.49987300000000001</v>
      </c>
      <c r="H766">
        <v>29.703125</v>
      </c>
      <c r="J766">
        <v>-24337</v>
      </c>
      <c r="N766" t="s">
        <v>182</v>
      </c>
      <c r="O766">
        <f t="shared" si="33"/>
        <v>30.00508</v>
      </c>
      <c r="P766">
        <f t="shared" si="34"/>
        <v>-0.37744374999999941</v>
      </c>
      <c r="Q766">
        <f t="shared" si="35"/>
        <v>0.37744374999999941</v>
      </c>
      <c r="Y766">
        <f>TREND(H765:H769,G765:G769,G766)</f>
        <v>29.850267873948841</v>
      </c>
      <c r="Z766">
        <f>ABS((Y766-H766)/80*100)</f>
        <v>0.1839285924360512</v>
      </c>
      <c r="AB766">
        <f>IF(ABS(T765) &gt; ABS(V765),T765,V765)</f>
        <v>-0.27764062499999298</v>
      </c>
      <c r="AE766">
        <f>ABS(P814-P758)</f>
        <v>0.1686656249999996</v>
      </c>
      <c r="AH766">
        <f>H766-AG758</f>
        <v>29.435210000000005</v>
      </c>
      <c r="AI766">
        <f>100*(AH766-O766)/80</f>
        <v>-0.71233749999999318</v>
      </c>
      <c r="AN766">
        <f>IF(ABS(AK765) &gt; ABS(AM765),AK765,AM765)</f>
        <v>-0.61253437499998675</v>
      </c>
    </row>
    <row r="767" spans="1:41" x14ac:dyDescent="0.35">
      <c r="A767" t="s">
        <v>254</v>
      </c>
      <c r="B767" t="s">
        <v>231</v>
      </c>
      <c r="C767" t="s">
        <v>614</v>
      </c>
      <c r="D767">
        <v>-20</v>
      </c>
      <c r="E767">
        <v>-20.100000000000001</v>
      </c>
      <c r="F767">
        <v>0</v>
      </c>
      <c r="G767">
        <v>-5.8E-4</v>
      </c>
      <c r="H767">
        <v>49.754687500000003</v>
      </c>
      <c r="J767">
        <v>-24371</v>
      </c>
      <c r="N767" t="s">
        <v>182</v>
      </c>
      <c r="O767">
        <f t="shared" si="33"/>
        <v>49.976799999999997</v>
      </c>
      <c r="P767">
        <f t="shared" si="34"/>
        <v>-0.27764062499999298</v>
      </c>
      <c r="Q767">
        <f t="shared" si="35"/>
        <v>0.27764062499999298</v>
      </c>
      <c r="Y767">
        <f>TREND(H765:H769,G765:G769,G767)</f>
        <v>49.898808563877431</v>
      </c>
      <c r="Z767">
        <f>ABS((Y767-H767)/80*100)</f>
        <v>0.18015132984678495</v>
      </c>
      <c r="AE767">
        <f>ABS(P815-P759)</f>
        <v>3.5596875000005745E-2</v>
      </c>
      <c r="AH767">
        <f>H767-AG758</f>
        <v>49.486772500000008</v>
      </c>
      <c r="AI767">
        <f>100*(AH767-O767)/80</f>
        <v>-0.61253437499998675</v>
      </c>
    </row>
    <row r="768" spans="1:41" x14ac:dyDescent="0.35">
      <c r="A768" t="s">
        <v>254</v>
      </c>
      <c r="B768" t="s">
        <v>231</v>
      </c>
      <c r="C768" t="s">
        <v>649</v>
      </c>
      <c r="D768">
        <v>-20</v>
      </c>
      <c r="E768">
        <v>-19.899999999999999</v>
      </c>
      <c r="F768">
        <v>0.5</v>
      </c>
      <c r="G768">
        <v>0.49996699999999999</v>
      </c>
      <c r="H768">
        <v>70.003124999999997</v>
      </c>
      <c r="J768">
        <v>-24378</v>
      </c>
      <c r="N768" t="s">
        <v>182</v>
      </c>
      <c r="O768">
        <f t="shared" si="33"/>
        <v>69.998680000000007</v>
      </c>
      <c r="P768">
        <f t="shared" si="34"/>
        <v>5.5562499999872728E-3</v>
      </c>
      <c r="Q768">
        <f t="shared" si="35"/>
        <v>5.5562499999872728E-3</v>
      </c>
      <c r="Y768">
        <f>TREND(H765:H769,G765:G769,G768)</f>
        <v>69.997702192912257</v>
      </c>
      <c r="Z768">
        <f>ABS((Y768-H768)/80*100)</f>
        <v>6.7785088596750134E-3</v>
      </c>
      <c r="AE768">
        <f>ABS(P816-P760)</f>
        <v>6.834374999984405E-3</v>
      </c>
      <c r="AH768">
        <f>H768-AG758</f>
        <v>69.735209999999995</v>
      </c>
      <c r="AI768">
        <f>100*(AH768-O768)/80</f>
        <v>-0.32933750000001538</v>
      </c>
    </row>
    <row r="769" spans="1:41" x14ac:dyDescent="0.35">
      <c r="A769" t="s">
        <v>254</v>
      </c>
      <c r="B769" t="s">
        <v>231</v>
      </c>
      <c r="C769" t="s">
        <v>686</v>
      </c>
      <c r="D769">
        <v>-20</v>
      </c>
      <c r="E769">
        <v>-19.8</v>
      </c>
      <c r="F769">
        <v>1</v>
      </c>
      <c r="G769">
        <v>0.99997400000000003</v>
      </c>
      <c r="H769">
        <v>90.1796875</v>
      </c>
      <c r="J769">
        <v>-24399</v>
      </c>
      <c r="N769" t="s">
        <v>182</v>
      </c>
      <c r="O769">
        <f t="shared" si="33"/>
        <v>89.998959999999997</v>
      </c>
      <c r="P769">
        <f t="shared" si="34"/>
        <v>0.22590937500000408</v>
      </c>
      <c r="Q769">
        <f t="shared" si="35"/>
        <v>0.22590937500000408</v>
      </c>
      <c r="Y769">
        <f>TREND(H765:H769,G765:G769,G769)</f>
        <v>90.074912738121441</v>
      </c>
      <c r="Z769">
        <f>ABS((Y769-H769)/80*100)</f>
        <v>0.13096845234819909</v>
      </c>
      <c r="AE769">
        <f>ABS(P817-P761)</f>
        <v>0.12200937500001174</v>
      </c>
      <c r="AH769">
        <f>H769-AG758</f>
        <v>89.911772500000012</v>
      </c>
      <c r="AI769">
        <f>100*(AH769-O769)/80</f>
        <v>-0.10898437499998082</v>
      </c>
    </row>
    <row r="770" spans="1:41" x14ac:dyDescent="0.35">
      <c r="A770" t="s">
        <v>254</v>
      </c>
      <c r="B770" t="s">
        <v>231</v>
      </c>
      <c r="C770" t="s">
        <v>723</v>
      </c>
      <c r="D770">
        <v>-20</v>
      </c>
      <c r="E770">
        <v>-20.100000000000001</v>
      </c>
      <c r="F770">
        <v>0</v>
      </c>
      <c r="G770">
        <v>5.1999999999999997E-5</v>
      </c>
      <c r="H770">
        <v>49.817187500000003</v>
      </c>
      <c r="J770">
        <v>-24416</v>
      </c>
      <c r="N770" t="s">
        <v>182</v>
      </c>
      <c r="O770">
        <f t="shared" si="33"/>
        <v>50.002079999999999</v>
      </c>
      <c r="P770">
        <f t="shared" si="34"/>
        <v>-0.23111562499999572</v>
      </c>
      <c r="Q770">
        <f t="shared" si="35"/>
        <v>0.23111562499999572</v>
      </c>
      <c r="Y770">
        <f>TREND(H765:H769,G765:G769,G770)</f>
        <v>49.924185802725233</v>
      </c>
      <c r="Z770">
        <f>ABS((Y770-H770)/80*100)</f>
        <v>0.13374787840653823</v>
      </c>
      <c r="AE770">
        <f>ABS(P818-P762)</f>
        <v>6.2749999999986983E-2</v>
      </c>
      <c r="AH770">
        <f>H770-AG758</f>
        <v>49.549272500000008</v>
      </c>
      <c r="AI770">
        <f>100*(AH770-O770)/80</f>
        <v>-0.56600937499998949</v>
      </c>
    </row>
    <row r="771" spans="1:41" x14ac:dyDescent="0.35">
      <c r="A771" t="s">
        <v>254</v>
      </c>
      <c r="B771" t="s">
        <v>231</v>
      </c>
      <c r="C771" t="s">
        <v>759</v>
      </c>
      <c r="D771">
        <v>-20</v>
      </c>
      <c r="E771">
        <v>-20</v>
      </c>
      <c r="F771">
        <v>-1</v>
      </c>
      <c r="G771">
        <v>-1.0000929999999999</v>
      </c>
      <c r="H771">
        <v>9.8296875000000004</v>
      </c>
      <c r="J771">
        <v>-24425</v>
      </c>
      <c r="N771" t="s">
        <v>182</v>
      </c>
      <c r="O771">
        <f t="shared" si="33"/>
        <v>9.9962800000000041</v>
      </c>
      <c r="P771">
        <f t="shared" si="34"/>
        <v>-0.20824062500000462</v>
      </c>
      <c r="Q771">
        <f t="shared" si="35"/>
        <v>0.20824062500000462</v>
      </c>
      <c r="Y771">
        <f>TREND(H765:H769,G765:G769,G771)</f>
        <v>9.7645045567862212</v>
      </c>
      <c r="Z771">
        <f>ABS((Y771-H771)/80*100)</f>
        <v>8.1478679017223943E-2</v>
      </c>
      <c r="AE771">
        <f>ABS(P819-P763)</f>
        <v>6.5121875000011542E-2</v>
      </c>
      <c r="AH771">
        <f>H771-AG758</f>
        <v>9.5617725000000053</v>
      </c>
      <c r="AI771">
        <f>100*(AH771-O771)/80</f>
        <v>-0.54313437499999839</v>
      </c>
    </row>
    <row r="772" spans="1:41" x14ac:dyDescent="0.35">
      <c r="A772" t="s">
        <v>254</v>
      </c>
      <c r="B772" t="s">
        <v>231</v>
      </c>
      <c r="C772" t="s">
        <v>795</v>
      </c>
      <c r="D772">
        <v>0</v>
      </c>
      <c r="E772">
        <v>0</v>
      </c>
      <c r="F772">
        <v>-1</v>
      </c>
      <c r="G772">
        <v>-1.0001370000000001</v>
      </c>
      <c r="H772">
        <v>10.5140625</v>
      </c>
      <c r="J772">
        <v>-16786</v>
      </c>
      <c r="N772" t="s">
        <v>182</v>
      </c>
      <c r="O772">
        <f t="shared" si="33"/>
        <v>9.9945199999999979</v>
      </c>
      <c r="P772">
        <f t="shared" si="34"/>
        <v>0.64942812500000224</v>
      </c>
      <c r="Q772">
        <f t="shared" si="35"/>
        <v>0.64942812500000224</v>
      </c>
      <c r="S772">
        <v>50.1953125</v>
      </c>
      <c r="T772">
        <v>0.26294062499999882</v>
      </c>
      <c r="U772">
        <v>90.409374999999997</v>
      </c>
      <c r="V772">
        <v>0.53696874999999977</v>
      </c>
      <c r="W772">
        <v>79.895315551757818</v>
      </c>
      <c r="X772">
        <f>(W772-80)/80*100</f>
        <v>-0.13085556030272727</v>
      </c>
      <c r="Y772">
        <f>TREND(H772:H776,G772:G776,G772)</f>
        <v>10.392297437223732</v>
      </c>
      <c r="Z772">
        <f>ABS((Y772-H772)/80*100)</f>
        <v>0.15220632847033455</v>
      </c>
      <c r="AA772">
        <f>MAX(Z772:Z776)</f>
        <v>0.19754454271684097</v>
      </c>
      <c r="AB772">
        <f>IF(ABS(MAX(P772:P778)) &gt; ABS(MIN(P772:P778)),MAX(P772:P778), MIN(P772:P778))</f>
        <v>0.64942812500000224</v>
      </c>
      <c r="AC772">
        <f>IF(ABS(AB773)&gt;ABS(AB772),AB773,AB772)</f>
        <v>0.64942812500000224</v>
      </c>
      <c r="AE772">
        <f>ABS(P820-P764)</f>
        <v>6.1062499999995357E-2</v>
      </c>
      <c r="AH772">
        <f>H772-AG758</f>
        <v>10.246147500000005</v>
      </c>
      <c r="AI772">
        <f>100*(AH772-O772)/80</f>
        <v>0.31453437500000847</v>
      </c>
      <c r="AJ772">
        <v>49.927397500000005</v>
      </c>
      <c r="AK772">
        <v>-7.1953124999994955E-2</v>
      </c>
      <c r="AL772">
        <v>90.141459999999995</v>
      </c>
      <c r="AM772">
        <v>0.20207499999999712</v>
      </c>
      <c r="AN772">
        <f>IF(ABS(MAX(AI772:AI778)) &gt; ABS(MIN(AI772:AI778)),MAX(AI772:AI778), MIN(AI772:AI778))</f>
        <v>0.31453437500000847</v>
      </c>
      <c r="AO772">
        <f>IF(ABS(AN773)&gt;ABS(AN772),AN773,AN772)</f>
        <v>0.31453437500000847</v>
      </c>
    </row>
    <row r="773" spans="1:41" x14ac:dyDescent="0.35">
      <c r="A773" t="s">
        <v>254</v>
      </c>
      <c r="B773" t="s">
        <v>231</v>
      </c>
      <c r="C773" t="s">
        <v>832</v>
      </c>
      <c r="D773">
        <v>0</v>
      </c>
      <c r="E773">
        <v>0.1</v>
      </c>
      <c r="F773">
        <v>-0.5</v>
      </c>
      <c r="G773">
        <v>-0.50018899999999999</v>
      </c>
      <c r="H773">
        <v>30.317187499999999</v>
      </c>
      <c r="J773">
        <v>-16779</v>
      </c>
      <c r="N773" t="s">
        <v>182</v>
      </c>
      <c r="O773">
        <f t="shared" si="33"/>
        <v>29.992440000000002</v>
      </c>
      <c r="P773">
        <f t="shared" si="34"/>
        <v>0.40593437499999663</v>
      </c>
      <c r="Q773">
        <f t="shared" si="35"/>
        <v>0.40593437499999663</v>
      </c>
      <c r="Y773">
        <f>TREND(H772:H776,G772:G776,G773)</f>
        <v>30.37552080144641</v>
      </c>
      <c r="Z773">
        <f>ABS((Y773-H773)/80*100)</f>
        <v>7.2916626808012808E-2</v>
      </c>
      <c r="AB773">
        <f>IF(ABS(T772) &gt; ABS(V772),T772,V772)</f>
        <v>0.53696874999999977</v>
      </c>
      <c r="AE773">
        <f>ABS(P814-P786)</f>
        <v>0.39182499999999665</v>
      </c>
      <c r="AH773">
        <f>H773-AG758</f>
        <v>30.049272500000004</v>
      </c>
      <c r="AI773">
        <f>100*(AH773-O773)/80</f>
        <v>7.1040625000002855E-2</v>
      </c>
      <c r="AN773">
        <f>IF(ABS(AK772) &gt; ABS(AM772),AK772,AM772)</f>
        <v>0.20207499999999712</v>
      </c>
    </row>
    <row r="774" spans="1:41" x14ac:dyDescent="0.35">
      <c r="A774" t="s">
        <v>254</v>
      </c>
      <c r="B774" t="s">
        <v>231</v>
      </c>
      <c r="C774" t="s">
        <v>868</v>
      </c>
      <c r="D774">
        <v>0</v>
      </c>
      <c r="E774">
        <v>0</v>
      </c>
      <c r="F774">
        <v>0</v>
      </c>
      <c r="G774">
        <v>-3.7599999999999998E-4</v>
      </c>
      <c r="H774">
        <v>50.1953125</v>
      </c>
      <c r="J774">
        <v>-16756</v>
      </c>
      <c r="N774" t="s">
        <v>182</v>
      </c>
      <c r="O774">
        <f t="shared" si="33"/>
        <v>49.984960000000001</v>
      </c>
      <c r="P774">
        <f t="shared" si="34"/>
        <v>0.26294062499999882</v>
      </c>
      <c r="Q774">
        <f t="shared" si="35"/>
        <v>0.26294062499999882</v>
      </c>
      <c r="Y774">
        <f>TREND(H772:H776,G772:G776,G774)</f>
        <v>50.353348134173473</v>
      </c>
      <c r="Z774">
        <f>ABS((Y774-H774)/80*100)</f>
        <v>0.19754454271684097</v>
      </c>
      <c r="AE774">
        <f>ABS(P815-P787)</f>
        <v>0.25947812499999667</v>
      </c>
      <c r="AH774">
        <f>H774-AG758</f>
        <v>49.927397500000005</v>
      </c>
      <c r="AI774">
        <f>100*(AH774-O774)/80</f>
        <v>-7.1953124999994955E-2</v>
      </c>
    </row>
    <row r="775" spans="1:41" x14ac:dyDescent="0.35">
      <c r="A775" t="s">
        <v>254</v>
      </c>
      <c r="B775" t="s">
        <v>231</v>
      </c>
      <c r="C775" t="s">
        <v>904</v>
      </c>
      <c r="D775">
        <v>0</v>
      </c>
      <c r="E775">
        <v>0</v>
      </c>
      <c r="F775">
        <v>0.5</v>
      </c>
      <c r="G775">
        <v>0.49969000000000002</v>
      </c>
      <c r="H775">
        <v>70.345312500000006</v>
      </c>
      <c r="J775">
        <v>-16750</v>
      </c>
      <c r="N775" t="s">
        <v>182</v>
      </c>
      <c r="O775">
        <f t="shared" si="33"/>
        <v>69.9876</v>
      </c>
      <c r="P775">
        <f t="shared" si="34"/>
        <v>0.44714062500000651</v>
      </c>
      <c r="Q775">
        <f t="shared" si="35"/>
        <v>0.44714062500000651</v>
      </c>
      <c r="Y775">
        <f>TREND(H772:H776,G772:G776,G775)</f>
        <v>70.341288029629354</v>
      </c>
      <c r="Z775">
        <f>ABS((Y775-H775)/80*100)</f>
        <v>5.0305879633150141E-3</v>
      </c>
      <c r="AE775">
        <f>ABS(P816-P788)</f>
        <v>0.12491562499999276</v>
      </c>
      <c r="AH775">
        <f>H775-AG758</f>
        <v>70.077397500000018</v>
      </c>
      <c r="AI775">
        <f>100*(AH775-O775)/80</f>
        <v>0.11224687500002162</v>
      </c>
    </row>
    <row r="776" spans="1:41" x14ac:dyDescent="0.35">
      <c r="A776" t="s">
        <v>254</v>
      </c>
      <c r="B776" t="s">
        <v>231</v>
      </c>
      <c r="C776" t="s">
        <v>941</v>
      </c>
      <c r="D776">
        <v>0</v>
      </c>
      <c r="E776">
        <v>0.1</v>
      </c>
      <c r="F776">
        <v>1</v>
      </c>
      <c r="G776">
        <v>0.99949500000000002</v>
      </c>
      <c r="H776">
        <v>90.409374999999997</v>
      </c>
      <c r="J776">
        <v>-16750</v>
      </c>
      <c r="N776" t="s">
        <v>182</v>
      </c>
      <c r="O776">
        <f t="shared" si="33"/>
        <v>89.979799999999997</v>
      </c>
      <c r="P776">
        <f t="shared" si="34"/>
        <v>0.53696874999999977</v>
      </c>
      <c r="Q776">
        <f t="shared" si="35"/>
        <v>0.53696874999999977</v>
      </c>
      <c r="Y776">
        <f>TREND(H772:H776,G772:G776,G776)</f>
        <v>90.318795597527043</v>
      </c>
      <c r="Z776">
        <f>ABS((Y776-H776)/80*100)</f>
        <v>0.11322425309119311</v>
      </c>
      <c r="AE776">
        <f>ABS(P817-P789)</f>
        <v>0.19595625000000894</v>
      </c>
      <c r="AH776">
        <f>H776-AG758</f>
        <v>90.141459999999995</v>
      </c>
      <c r="AI776">
        <f>100*(AH776-O776)/80</f>
        <v>0.20207499999999712</v>
      </c>
    </row>
    <row r="777" spans="1:41" x14ac:dyDescent="0.35">
      <c r="A777" t="s">
        <v>254</v>
      </c>
      <c r="B777" t="s">
        <v>231</v>
      </c>
      <c r="C777" t="s">
        <v>978</v>
      </c>
      <c r="D777">
        <v>0</v>
      </c>
      <c r="E777">
        <v>-0.1</v>
      </c>
      <c r="F777">
        <v>0</v>
      </c>
      <c r="G777">
        <v>-1.55E-4</v>
      </c>
      <c r="H777">
        <v>50.2109375</v>
      </c>
      <c r="J777">
        <v>-16743</v>
      </c>
      <c r="N777" t="s">
        <v>182</v>
      </c>
      <c r="O777">
        <f t="shared" ref="O777:O840" si="36">(((G777--1)*(40))+10)</f>
        <v>49.9938</v>
      </c>
      <c r="P777">
        <f t="shared" ref="P777:P840" si="37">100*(H777-O777)/80</f>
        <v>0.2714218749999997</v>
      </c>
      <c r="Q777">
        <f t="shared" ref="Q777:Q840" si="38">ABS(P777)</f>
        <v>0.2714218749999997</v>
      </c>
      <c r="Y777">
        <f>TREND(H772:H776,G772:G776,G777)</f>
        <v>50.362181637584811</v>
      </c>
      <c r="Z777">
        <f>ABS((Y777-H777)/80*100)</f>
        <v>0.18905517198101407</v>
      </c>
      <c r="AE777">
        <f>ABS(P818-P790)</f>
        <v>0.16778437499999299</v>
      </c>
      <c r="AH777">
        <f>H777-AG758</f>
        <v>49.943022500000005</v>
      </c>
      <c r="AI777">
        <f>100*(AH777-O777)/80</f>
        <v>-6.3471874999994071E-2</v>
      </c>
    </row>
    <row r="778" spans="1:41" x14ac:dyDescent="0.35">
      <c r="A778" t="s">
        <v>254</v>
      </c>
      <c r="B778" t="s">
        <v>231</v>
      </c>
      <c r="C778" t="s">
        <v>1014</v>
      </c>
      <c r="D778">
        <v>0</v>
      </c>
      <c r="E778">
        <v>0</v>
      </c>
      <c r="F778">
        <v>-1</v>
      </c>
      <c r="G778">
        <v>-0.99994099999999997</v>
      </c>
      <c r="H778">
        <v>10.3828125</v>
      </c>
      <c r="J778">
        <v>-16739</v>
      </c>
      <c r="N778" t="s">
        <v>182</v>
      </c>
      <c r="O778">
        <f t="shared" si="36"/>
        <v>10.002360000000001</v>
      </c>
      <c r="P778">
        <f t="shared" si="37"/>
        <v>0.47556562499999844</v>
      </c>
      <c r="Q778">
        <f t="shared" si="38"/>
        <v>0.47556562499999844</v>
      </c>
      <c r="Y778">
        <f>TREND(H772:H776,G772:G776,G778)</f>
        <v>10.4001316755433</v>
      </c>
      <c r="Z778">
        <f>ABS((Y778-H778)/80*100)</f>
        <v>2.1648969429124421E-2</v>
      </c>
      <c r="AE778">
        <f>ABS(P819-P791)</f>
        <v>0.17404062500000705</v>
      </c>
      <c r="AH778">
        <f>H778-AG758</f>
        <v>10.114897500000005</v>
      </c>
      <c r="AI778">
        <f>100*(AH778-O778)/80</f>
        <v>0.14067187500000466</v>
      </c>
    </row>
    <row r="779" spans="1:41" x14ac:dyDescent="0.35">
      <c r="A779" t="s">
        <v>254</v>
      </c>
      <c r="B779" t="s">
        <v>231</v>
      </c>
      <c r="C779" t="s">
        <v>1050</v>
      </c>
      <c r="D779">
        <v>10</v>
      </c>
      <c r="E779">
        <v>10</v>
      </c>
      <c r="F779">
        <v>-1</v>
      </c>
      <c r="G779">
        <v>-0.99976100000000001</v>
      </c>
      <c r="H779">
        <v>10.628125000000001</v>
      </c>
      <c r="J779">
        <v>-12499</v>
      </c>
      <c r="N779" t="s">
        <v>182</v>
      </c>
      <c r="O779">
        <f t="shared" si="36"/>
        <v>10.00956</v>
      </c>
      <c r="P779">
        <f t="shared" si="37"/>
        <v>0.77320625000000032</v>
      </c>
      <c r="Q779">
        <f t="shared" si="38"/>
        <v>0.77320625000000032</v>
      </c>
      <c r="S779">
        <v>50.334375000000001</v>
      </c>
      <c r="T779">
        <v>0.42121875000000308</v>
      </c>
      <c r="U779">
        <v>90.356250000000003</v>
      </c>
      <c r="V779">
        <v>0.45416250000000602</v>
      </c>
      <c r="W779">
        <v>79.72812194824219</v>
      </c>
      <c r="X779">
        <f>(W779-80)/80*100</f>
        <v>-0.33984756469726207</v>
      </c>
      <c r="Y779">
        <f>TREND(H779:H783,G779:G783,G779)</f>
        <v>10.520340853208154</v>
      </c>
      <c r="Z779">
        <f>ABS((Y779-H779)/80*100)</f>
        <v>0.13473018348980847</v>
      </c>
      <c r="AA779">
        <f>MAX(Z779:Z783)</f>
        <v>0.13473018348980847</v>
      </c>
      <c r="AB779">
        <f>IF(ABS(MAX(P779:P785)) &gt; ABS(MIN(P779:P785)),MAX(P779:P785), MIN(P779:P785))</f>
        <v>0.77320625000000032</v>
      </c>
      <c r="AC779">
        <f>IF(ABS(AB780)&gt;ABS(AB779),AB780,AB779)</f>
        <v>0.77320625000000032</v>
      </c>
      <c r="AE779">
        <f>ABS(P820-P792)</f>
        <v>0.19402812499999866</v>
      </c>
      <c r="AH779">
        <f>H779-AG758</f>
        <v>10.360210000000006</v>
      </c>
      <c r="AI779">
        <f>100*(AH779-O779)/80</f>
        <v>0.43831250000000654</v>
      </c>
      <c r="AJ779">
        <v>50.066460000000006</v>
      </c>
      <c r="AK779">
        <v>8.6325000000009311E-2</v>
      </c>
      <c r="AL779">
        <v>90.088335000000001</v>
      </c>
      <c r="AM779">
        <v>0.11926875000000337</v>
      </c>
      <c r="AN779">
        <f>IF(ABS(MAX(AI779:AI785)) &gt; ABS(MIN(AI779:AI785)),MAX(AI779:AI785), MIN(AI779:AI785))</f>
        <v>0.43831250000000654</v>
      </c>
      <c r="AO779">
        <f>IF(ABS(AN780)&gt;ABS(AN779),AN780,AN779)</f>
        <v>0.43831250000000654</v>
      </c>
    </row>
    <row r="780" spans="1:41" x14ac:dyDescent="0.35">
      <c r="A780" t="s">
        <v>254</v>
      </c>
      <c r="B780" t="s">
        <v>231</v>
      </c>
      <c r="C780" t="s">
        <v>1085</v>
      </c>
      <c r="D780">
        <v>10</v>
      </c>
      <c r="E780">
        <v>10</v>
      </c>
      <c r="F780">
        <v>-0.5</v>
      </c>
      <c r="G780">
        <v>-0.50007400000000002</v>
      </c>
      <c r="H780">
        <v>30.359375</v>
      </c>
      <c r="J780">
        <v>-12476</v>
      </c>
      <c r="N780" t="s">
        <v>182</v>
      </c>
      <c r="O780">
        <f t="shared" si="36"/>
        <v>29.997039999999998</v>
      </c>
      <c r="P780">
        <f t="shared" si="37"/>
        <v>0.45291875000000203</v>
      </c>
      <c r="Q780">
        <f t="shared" si="38"/>
        <v>0.45291875000000203</v>
      </c>
      <c r="Y780">
        <f>TREND(H779:H783,G779:G783,G780)</f>
        <v>30.460879648140761</v>
      </c>
      <c r="Z780">
        <f>ABS((Y780-H780)/80*100)</f>
        <v>0.1268808101759511</v>
      </c>
      <c r="AB780">
        <f>IF(ABS(T779) &gt; ABS(V779),T779,V779)</f>
        <v>0.45416250000000602</v>
      </c>
      <c r="AH780">
        <f>H780-AG758</f>
        <v>30.091460000000005</v>
      </c>
      <c r="AI780">
        <f>100*(AH780-O780)/80</f>
        <v>0.11802500000000826</v>
      </c>
      <c r="AN780">
        <f>IF(ABS(AK779) &gt; ABS(AM779),AK779,AM779)</f>
        <v>0.11926875000000337</v>
      </c>
    </row>
    <row r="781" spans="1:41" x14ac:dyDescent="0.35">
      <c r="A781" t="s">
        <v>254</v>
      </c>
      <c r="B781" t="s">
        <v>1111</v>
      </c>
      <c r="C781" t="s">
        <v>1123</v>
      </c>
      <c r="D781">
        <v>10</v>
      </c>
      <c r="E781">
        <v>10</v>
      </c>
      <c r="F781">
        <v>0</v>
      </c>
      <c r="G781">
        <v>-6.4999999999999994E-5</v>
      </c>
      <c r="H781">
        <v>50.334375000000001</v>
      </c>
      <c r="J781">
        <v>-12463</v>
      </c>
      <c r="N781" t="s">
        <v>182</v>
      </c>
      <c r="O781">
        <f t="shared" si="36"/>
        <v>49.997399999999999</v>
      </c>
      <c r="P781">
        <f t="shared" si="37"/>
        <v>0.42121875000000308</v>
      </c>
      <c r="Q781">
        <f t="shared" si="38"/>
        <v>0.42121875000000308</v>
      </c>
      <c r="Y781">
        <f>TREND(H779:H783,G779:G783,G781)</f>
        <v>50.414268194001387</v>
      </c>
      <c r="Z781">
        <f>ABS((Y781-H781)/80*100)</f>
        <v>9.9866492501732296E-2</v>
      </c>
      <c r="AH781">
        <f>H781-AG758</f>
        <v>50.066460000000006</v>
      </c>
      <c r="AI781">
        <f>100*(AH781-O781)/80</f>
        <v>8.6325000000009311E-2</v>
      </c>
    </row>
    <row r="782" spans="1:41" x14ac:dyDescent="0.35">
      <c r="A782" t="s">
        <v>254</v>
      </c>
      <c r="B782" t="s">
        <v>1111</v>
      </c>
      <c r="C782" t="s">
        <v>1160</v>
      </c>
      <c r="D782">
        <v>10</v>
      </c>
      <c r="E782">
        <v>10</v>
      </c>
      <c r="F782">
        <v>0.5</v>
      </c>
      <c r="G782">
        <v>0.49992199999999998</v>
      </c>
      <c r="H782">
        <v>70.400000000000006</v>
      </c>
      <c r="J782">
        <v>-12448</v>
      </c>
      <c r="N782" t="s">
        <v>182</v>
      </c>
      <c r="O782">
        <f t="shared" si="36"/>
        <v>69.996880000000004</v>
      </c>
      <c r="P782">
        <f t="shared" si="37"/>
        <v>0.50390000000000157</v>
      </c>
      <c r="Q782">
        <f t="shared" si="38"/>
        <v>0.50390000000000157</v>
      </c>
      <c r="Y782">
        <f>TREND(H779:H783,G779:G783,G782)</f>
        <v>70.366778806568789</v>
      </c>
      <c r="Z782">
        <f>ABS((Y782-H782)/80*100)</f>
        <v>4.1526491789021236E-2</v>
      </c>
      <c r="AH782">
        <f>H782-AG758</f>
        <v>70.132085000000018</v>
      </c>
      <c r="AI782">
        <f>100*(AH782-O782)/80</f>
        <v>0.16900625000001668</v>
      </c>
    </row>
    <row r="783" spans="1:41" x14ac:dyDescent="0.35">
      <c r="A783" t="s">
        <v>254</v>
      </c>
      <c r="B783" t="s">
        <v>1111</v>
      </c>
      <c r="C783" t="s">
        <v>1197</v>
      </c>
      <c r="D783">
        <v>10</v>
      </c>
      <c r="E783">
        <v>10</v>
      </c>
      <c r="F783">
        <v>1</v>
      </c>
      <c r="G783">
        <v>0.99982300000000002</v>
      </c>
      <c r="H783">
        <v>90.356250000000003</v>
      </c>
      <c r="J783">
        <v>-12429</v>
      </c>
      <c r="N783" t="s">
        <v>182</v>
      </c>
      <c r="O783">
        <f t="shared" si="36"/>
        <v>89.992919999999998</v>
      </c>
      <c r="P783">
        <f t="shared" si="37"/>
        <v>0.45416250000000602</v>
      </c>
      <c r="Q783">
        <f t="shared" si="38"/>
        <v>0.45416250000000602</v>
      </c>
      <c r="Y783">
        <f>TREND(H779:H783,G779:G783,G783)</f>
        <v>90.315857498080888</v>
      </c>
      <c r="Z783">
        <f>ABS((Y783-H783)/80*100)</f>
        <v>5.049062739889365E-2</v>
      </c>
      <c r="AH783">
        <f>H783-AG758</f>
        <v>90.088335000000001</v>
      </c>
      <c r="AI783">
        <f>100*(AH783-O783)/80</f>
        <v>0.11926875000000337</v>
      </c>
    </row>
    <row r="784" spans="1:41" x14ac:dyDescent="0.35">
      <c r="A784" t="s">
        <v>254</v>
      </c>
      <c r="B784" t="s">
        <v>1111</v>
      </c>
      <c r="C784" t="s">
        <v>1234</v>
      </c>
      <c r="D784">
        <v>10</v>
      </c>
      <c r="E784">
        <v>10</v>
      </c>
      <c r="F784">
        <v>0</v>
      </c>
      <c r="G784">
        <v>6.2000000000000003E-5</v>
      </c>
      <c r="H784">
        <v>50.342187500000001</v>
      </c>
      <c r="J784">
        <v>-12422</v>
      </c>
      <c r="N784" t="s">
        <v>182</v>
      </c>
      <c r="O784">
        <f t="shared" si="36"/>
        <v>50.002479999999998</v>
      </c>
      <c r="P784">
        <f t="shared" si="37"/>
        <v>0.42463437500000367</v>
      </c>
      <c r="Q784">
        <f t="shared" si="38"/>
        <v>0.42463437500000367</v>
      </c>
      <c r="Y784">
        <f>TREND(H779:H783,G779:G783,G784)</f>
        <v>50.419336263466782</v>
      </c>
      <c r="Z784">
        <f>ABS((Y784-H784)/80*100)</f>
        <v>9.6435954333475848E-2</v>
      </c>
      <c r="AH784">
        <f>H784-AG758</f>
        <v>50.074272500000006</v>
      </c>
      <c r="AI784">
        <f>100*(AH784-O784)/80</f>
        <v>8.9740625000009899E-2</v>
      </c>
    </row>
    <row r="785" spans="1:41" x14ac:dyDescent="0.35">
      <c r="A785" t="s">
        <v>254</v>
      </c>
      <c r="B785" t="s">
        <v>1111</v>
      </c>
      <c r="C785" t="s">
        <v>1270</v>
      </c>
      <c r="D785">
        <v>10</v>
      </c>
      <c r="E785">
        <v>10</v>
      </c>
      <c r="F785">
        <v>-1</v>
      </c>
      <c r="G785">
        <v>-0.99980500000000005</v>
      </c>
      <c r="H785">
        <v>10.604687500000001</v>
      </c>
      <c r="J785">
        <v>-12408</v>
      </c>
      <c r="N785" t="s">
        <v>182</v>
      </c>
      <c r="O785">
        <f t="shared" si="36"/>
        <v>10.007799999999998</v>
      </c>
      <c r="P785">
        <f t="shared" si="37"/>
        <v>0.74610937500000363</v>
      </c>
      <c r="Q785">
        <f t="shared" si="38"/>
        <v>0.74610937500000363</v>
      </c>
      <c r="Y785">
        <f>TREND(H779:H783,G779:G783,G785)</f>
        <v>10.518584986621718</v>
      </c>
      <c r="Z785">
        <f>ABS((Y785-H785)/80*100)</f>
        <v>0.10762814172285307</v>
      </c>
      <c r="AH785">
        <f>H785-AG758</f>
        <v>10.336772500000006</v>
      </c>
      <c r="AI785">
        <f>100*(AH785-O785)/80</f>
        <v>0.41121562500000985</v>
      </c>
    </row>
    <row r="786" spans="1:41" x14ac:dyDescent="0.35">
      <c r="A786" t="s">
        <v>254</v>
      </c>
      <c r="B786" t="s">
        <v>1111</v>
      </c>
      <c r="C786" t="s">
        <v>1306</v>
      </c>
      <c r="D786">
        <v>25</v>
      </c>
      <c r="E786">
        <v>25</v>
      </c>
      <c r="F786">
        <v>-1</v>
      </c>
      <c r="G786">
        <v>-1.0000469999999999</v>
      </c>
      <c r="H786">
        <v>10.646875</v>
      </c>
      <c r="J786">
        <v>-6399</v>
      </c>
      <c r="N786" t="s">
        <v>182</v>
      </c>
      <c r="O786">
        <f t="shared" si="36"/>
        <v>9.9981200000000037</v>
      </c>
      <c r="P786">
        <f t="shared" si="37"/>
        <v>0.81094374999999486</v>
      </c>
      <c r="Q786">
        <f t="shared" si="38"/>
        <v>0.81094374999999486</v>
      </c>
      <c r="S786">
        <v>50.362499999999997</v>
      </c>
      <c r="T786">
        <v>0.45297500000000213</v>
      </c>
      <c r="U786">
        <v>90.478125000000006</v>
      </c>
      <c r="V786">
        <v>0.58685625000000741</v>
      </c>
      <c r="W786">
        <v>79.831251525878912</v>
      </c>
      <c r="X786">
        <f>(W786-80)/80*100</f>
        <v>-0.21093559265136008</v>
      </c>
      <c r="Y786">
        <f>TREND(H786:H790,G786:G790,G786)</f>
        <v>10.52795857229755</v>
      </c>
      <c r="Z786">
        <f>ABS((Y786-H786)/80*100)</f>
        <v>0.1486455346280624</v>
      </c>
      <c r="AA786">
        <f>MAX(Z786:Z790)</f>
        <v>0.1486455346280624</v>
      </c>
      <c r="AB786">
        <f>IF(ABS(MAX(P786:P792)) &gt; ABS(MIN(P786:P792)),MAX(P786:P792), MIN(P786:P792))</f>
        <v>0.81094374999999486</v>
      </c>
      <c r="AC786">
        <f>IF(ABS(AB787)&gt;ABS(AB786),AB787,AB786)</f>
        <v>0.81094374999999486</v>
      </c>
      <c r="AH786">
        <f>H786-AG758</f>
        <v>10.378960000000005</v>
      </c>
      <c r="AI786">
        <f>100*(AH786-O786)/80</f>
        <v>0.47605000000000119</v>
      </c>
      <c r="AJ786">
        <v>50.094585000000002</v>
      </c>
      <c r="AK786">
        <v>0.11808125000000835</v>
      </c>
      <c r="AL786">
        <v>90.210210000000018</v>
      </c>
      <c r="AM786">
        <v>0.25196250000002252</v>
      </c>
      <c r="AN786">
        <f>IF(ABS(MAX(AI786:AI792)) &gt; ABS(MIN(AI786:AI792)),MAX(AI786:AI792), MIN(AI786:AI792))</f>
        <v>0.47605000000000119</v>
      </c>
      <c r="AO786">
        <f>IF(ABS(AN787)&gt;ABS(AN786),AN787,AN786)</f>
        <v>0.47605000000000119</v>
      </c>
    </row>
    <row r="787" spans="1:41" x14ac:dyDescent="0.35">
      <c r="A787" t="s">
        <v>254</v>
      </c>
      <c r="B787" t="s">
        <v>1111</v>
      </c>
      <c r="C787" t="s">
        <v>1343</v>
      </c>
      <c r="D787">
        <v>25</v>
      </c>
      <c r="E787">
        <v>25</v>
      </c>
      <c r="F787">
        <v>-0.5</v>
      </c>
      <c r="G787">
        <v>-0.50012599999999996</v>
      </c>
      <c r="H787">
        <v>30.4</v>
      </c>
      <c r="J787">
        <v>-6387</v>
      </c>
      <c r="N787" t="s">
        <v>182</v>
      </c>
      <c r="O787">
        <f t="shared" si="36"/>
        <v>29.994960000000003</v>
      </c>
      <c r="P787">
        <f t="shared" si="37"/>
        <v>0.50629999999999509</v>
      </c>
      <c r="Q787">
        <f t="shared" si="38"/>
        <v>0.50629999999999509</v>
      </c>
      <c r="Y787">
        <f>TREND(H786:H790,G786:G790,G787)</f>
        <v>30.496859406904942</v>
      </c>
      <c r="Z787">
        <f>ABS((Y787-H787)/80*100)</f>
        <v>0.12107425863117972</v>
      </c>
      <c r="AB787">
        <f>IF(ABS(T786) &gt; ABS(V786),T786,V786)</f>
        <v>0.58685625000000741</v>
      </c>
      <c r="AH787">
        <f>H787-AG758</f>
        <v>30.132085000000004</v>
      </c>
      <c r="AI787">
        <f>100*(AH787-O787)/80</f>
        <v>0.17140625000000131</v>
      </c>
      <c r="AN787">
        <f>IF(ABS(AK786) &gt; ABS(AM786),AK786,AM786)</f>
        <v>0.25196250000002252</v>
      </c>
    </row>
    <row r="788" spans="1:41" x14ac:dyDescent="0.35">
      <c r="A788" t="s">
        <v>254</v>
      </c>
      <c r="B788" t="s">
        <v>1111</v>
      </c>
      <c r="C788" t="s">
        <v>1379</v>
      </c>
      <c r="D788">
        <v>25</v>
      </c>
      <c r="E788">
        <v>25</v>
      </c>
      <c r="F788">
        <v>0</v>
      </c>
      <c r="G788">
        <v>3.0000000000000001E-6</v>
      </c>
      <c r="H788">
        <v>50.362499999999997</v>
      </c>
      <c r="J788">
        <v>-6371</v>
      </c>
      <c r="N788" t="s">
        <v>182</v>
      </c>
      <c r="O788">
        <f t="shared" si="36"/>
        <v>50.000119999999995</v>
      </c>
      <c r="P788">
        <f t="shared" si="37"/>
        <v>0.45297500000000213</v>
      </c>
      <c r="Q788">
        <f t="shared" si="38"/>
        <v>0.45297500000000213</v>
      </c>
      <c r="Y788">
        <f>TREND(H786:H790,G786:G790,G788)</f>
        <v>50.474068616982862</v>
      </c>
      <c r="Z788">
        <f>ABS((Y788-H788)/80*100)</f>
        <v>0.13946077122858114</v>
      </c>
      <c r="AH788">
        <f>H788-AG758</f>
        <v>50.094585000000002</v>
      </c>
      <c r="AI788">
        <f>100*(AH788-O788)/80</f>
        <v>0.11808125000000835</v>
      </c>
    </row>
    <row r="789" spans="1:41" x14ac:dyDescent="0.35">
      <c r="A789" t="s">
        <v>254</v>
      </c>
      <c r="B789" t="s">
        <v>1111</v>
      </c>
      <c r="C789" t="s">
        <v>1416</v>
      </c>
      <c r="D789">
        <v>25</v>
      </c>
      <c r="E789">
        <v>25</v>
      </c>
      <c r="F789">
        <v>0.5</v>
      </c>
      <c r="G789">
        <v>0.49989</v>
      </c>
      <c r="H789">
        <v>70.479687499999997</v>
      </c>
      <c r="J789">
        <v>-6363</v>
      </c>
      <c r="N789" t="s">
        <v>182</v>
      </c>
      <c r="O789">
        <f t="shared" si="36"/>
        <v>69.995599999999996</v>
      </c>
      <c r="P789">
        <f t="shared" si="37"/>
        <v>0.60510937500000139</v>
      </c>
      <c r="Q789">
        <f t="shared" si="38"/>
        <v>0.60510937500000139</v>
      </c>
      <c r="Y789">
        <f>TREND(H786:H790,G786:G790,G789)</f>
        <v>70.441611351753721</v>
      </c>
      <c r="Z789">
        <f>ABS((Y789-H789)/80*100)</f>
        <v>4.7595185307844901E-2</v>
      </c>
      <c r="AH789">
        <f>H789-AG758</f>
        <v>70.211772499999995</v>
      </c>
      <c r="AI789">
        <f>100*(AH789-O789)/80</f>
        <v>0.27021562499999874</v>
      </c>
    </row>
    <row r="790" spans="1:41" x14ac:dyDescent="0.35">
      <c r="A790" t="s">
        <v>254</v>
      </c>
      <c r="B790" t="s">
        <v>1111</v>
      </c>
      <c r="C790" t="s">
        <v>1453</v>
      </c>
      <c r="D790">
        <v>25</v>
      </c>
      <c r="E790">
        <v>25</v>
      </c>
      <c r="F790">
        <v>1</v>
      </c>
      <c r="G790">
        <v>1.000216</v>
      </c>
      <c r="H790">
        <v>90.478125000000006</v>
      </c>
      <c r="J790">
        <v>-6350</v>
      </c>
      <c r="N790" t="s">
        <v>182</v>
      </c>
      <c r="O790">
        <f t="shared" si="36"/>
        <v>90.00864</v>
      </c>
      <c r="P790">
        <f t="shared" si="37"/>
        <v>0.58685625000000741</v>
      </c>
      <c r="Q790">
        <f t="shared" si="38"/>
        <v>0.58685625000000741</v>
      </c>
      <c r="Y790">
        <f>TREND(H786:H790,G786:G790,G790)</f>
        <v>90.426689552060935</v>
      </c>
      <c r="Z790">
        <f>ABS((Y790-H790)/80*100)</f>
        <v>6.4294309923838E-2</v>
      </c>
      <c r="AH790">
        <f>H790-AG758</f>
        <v>90.210210000000018</v>
      </c>
      <c r="AI790">
        <f>100*(AH790-O790)/80</f>
        <v>0.25196250000002252</v>
      </c>
    </row>
    <row r="791" spans="1:41" x14ac:dyDescent="0.35">
      <c r="A791" t="s">
        <v>254</v>
      </c>
      <c r="B791" t="s">
        <v>1111</v>
      </c>
      <c r="C791" t="s">
        <v>1489</v>
      </c>
      <c r="D791">
        <v>25</v>
      </c>
      <c r="E791">
        <v>25</v>
      </c>
      <c r="F791">
        <v>0</v>
      </c>
      <c r="G791">
        <v>-1.4E-5</v>
      </c>
      <c r="H791">
        <v>50.375</v>
      </c>
      <c r="J791">
        <v>-6344</v>
      </c>
      <c r="N791" t="s">
        <v>182</v>
      </c>
      <c r="O791">
        <f t="shared" si="36"/>
        <v>49.99944</v>
      </c>
      <c r="P791">
        <f t="shared" si="37"/>
        <v>0.46945000000000014</v>
      </c>
      <c r="Q791">
        <f t="shared" si="38"/>
        <v>0.46945000000000014</v>
      </c>
      <c r="Y791">
        <f>TREND(H786:H790,G786:G790,G791)</f>
        <v>50.473389567064594</v>
      </c>
      <c r="Z791">
        <f>ABS((Y791-H791)/80*100)</f>
        <v>0.12298695883074194</v>
      </c>
      <c r="AH791">
        <f>H791-AG758</f>
        <v>50.107085000000005</v>
      </c>
      <c r="AI791">
        <f>100*(AH791-O791)/80</f>
        <v>0.13455625000000637</v>
      </c>
    </row>
    <row r="792" spans="1:41" x14ac:dyDescent="0.35">
      <c r="A792" t="s">
        <v>254</v>
      </c>
      <c r="B792" t="s">
        <v>1111</v>
      </c>
      <c r="C792" t="s">
        <v>1526</v>
      </c>
      <c r="D792">
        <v>25</v>
      </c>
      <c r="E792">
        <v>25</v>
      </c>
      <c r="F792">
        <v>-1</v>
      </c>
      <c r="G792">
        <v>-0.99984300000000004</v>
      </c>
      <c r="H792">
        <v>10.574999999999999</v>
      </c>
      <c r="J792">
        <v>-6337</v>
      </c>
      <c r="N792" t="s">
        <v>182</v>
      </c>
      <c r="O792">
        <f t="shared" si="36"/>
        <v>10.006279999999999</v>
      </c>
      <c r="P792">
        <f t="shared" si="37"/>
        <v>0.71090000000000098</v>
      </c>
      <c r="Q792">
        <f t="shared" si="38"/>
        <v>0.71090000000000098</v>
      </c>
      <c r="Y792">
        <f>TREND(H786:H790,G786:G790,G792)</f>
        <v>10.536107171316708</v>
      </c>
      <c r="Z792">
        <f>ABS((Y792-H792)/80*100)</f>
        <v>4.8616035854114337E-2</v>
      </c>
      <c r="AH792">
        <f>H792-AG758</f>
        <v>10.307085000000004</v>
      </c>
      <c r="AI792">
        <f>100*(AH792-O792)/80</f>
        <v>0.3760062500000072</v>
      </c>
    </row>
    <row r="793" spans="1:41" x14ac:dyDescent="0.35">
      <c r="A793" t="s">
        <v>254</v>
      </c>
      <c r="B793" t="s">
        <v>1111</v>
      </c>
      <c r="C793" t="s">
        <v>1563</v>
      </c>
      <c r="D793">
        <v>50</v>
      </c>
      <c r="E793">
        <v>50</v>
      </c>
      <c r="F793">
        <v>-1</v>
      </c>
      <c r="G793">
        <v>-0.99998399999999998</v>
      </c>
      <c r="H793">
        <v>10.228125</v>
      </c>
      <c r="J793">
        <v>3535</v>
      </c>
      <c r="N793" t="s">
        <v>182</v>
      </c>
      <c r="O793">
        <f t="shared" si="36"/>
        <v>10.000640000000001</v>
      </c>
      <c r="P793">
        <f t="shared" si="37"/>
        <v>0.28435624999999964</v>
      </c>
      <c r="Q793">
        <f t="shared" si="38"/>
        <v>0.28435624999999964</v>
      </c>
      <c r="S793">
        <v>50.2578125</v>
      </c>
      <c r="T793">
        <v>0.322265625</v>
      </c>
      <c r="U793">
        <v>90.423437500000006</v>
      </c>
      <c r="V793">
        <v>0.52279687500000449</v>
      </c>
      <c r="W793">
        <v>80.195314025878901</v>
      </c>
      <c r="X793">
        <f>(W793-80)/80*100</f>
        <v>0.24414253234862571</v>
      </c>
      <c r="Y793">
        <f>TREND(H793:H797,G793:G797,G793)</f>
        <v>10.190903245188878</v>
      </c>
      <c r="Z793">
        <f>ABS((Y793-H793)/80*100)</f>
        <v>4.6527193513903331E-2</v>
      </c>
      <c r="AA793">
        <f>MAX(Z793:Z797)</f>
        <v>5.9168357940446732E-2</v>
      </c>
      <c r="AB793">
        <f>IF(ABS(MAX(P793:P799)) &gt; ABS(MIN(P793:P799)),MAX(P793:P799), MIN(P793:P799))</f>
        <v>0.52279687500000449</v>
      </c>
      <c r="AC793">
        <f>IF(ABS(AB794)&gt;ABS(AB793),AB794,AB793)</f>
        <v>0.52279687500000449</v>
      </c>
      <c r="AH793">
        <f>H793-AG758</f>
        <v>9.9602100000000053</v>
      </c>
      <c r="AI793">
        <f>100*(AH793-O793)/80</f>
        <v>-5.0537499999994129E-2</v>
      </c>
      <c r="AJ793">
        <v>49.989897500000005</v>
      </c>
      <c r="AK793">
        <v>-1.2628124999993773E-2</v>
      </c>
      <c r="AL793">
        <v>90.155522500000018</v>
      </c>
      <c r="AM793">
        <v>0.1879031250000196</v>
      </c>
      <c r="AN793">
        <f>IF(ABS(MAX(AI793:AI799)) &gt; ABS(MIN(AI793:AI799)),MAX(AI793:AI799), MIN(AI793:AI799))</f>
        <v>0.1879031250000196</v>
      </c>
      <c r="AO793">
        <f>IF(ABS(AN794)&gt;ABS(AN793),AN794,AN793)</f>
        <v>0.1879031250000196</v>
      </c>
    </row>
    <row r="794" spans="1:41" x14ac:dyDescent="0.35">
      <c r="A794" t="s">
        <v>254</v>
      </c>
      <c r="B794" t="s">
        <v>1111</v>
      </c>
      <c r="C794" t="s">
        <v>1599</v>
      </c>
      <c r="D794">
        <v>50</v>
      </c>
      <c r="E794">
        <v>50</v>
      </c>
      <c r="F794">
        <v>-0.5</v>
      </c>
      <c r="G794">
        <v>-0.50032600000000005</v>
      </c>
      <c r="H794">
        <v>30.201562500000001</v>
      </c>
      <c r="J794">
        <v>3563</v>
      </c>
      <c r="N794" t="s">
        <v>182</v>
      </c>
      <c r="O794">
        <f t="shared" si="36"/>
        <v>29.986959999999996</v>
      </c>
      <c r="P794">
        <f t="shared" si="37"/>
        <v>0.26825312500000642</v>
      </c>
      <c r="Q794">
        <f t="shared" si="38"/>
        <v>0.26825312500000642</v>
      </c>
      <c r="Y794">
        <f>TREND(H793:H797,G793:G797,G794)</f>
        <v>30.234626843920317</v>
      </c>
      <c r="Z794">
        <f>ABS((Y794-H794)/80*100)</f>
        <v>4.1330429900394705E-2</v>
      </c>
      <c r="AB794">
        <f>IF(ABS(T793) &gt; ABS(V793),T793,V793)</f>
        <v>0.52279687500000449</v>
      </c>
      <c r="AH794">
        <f>H794-AG758</f>
        <v>29.933647500000006</v>
      </c>
      <c r="AI794">
        <f>100*(AH794-O794)/80</f>
        <v>-6.6640624999987352E-2</v>
      </c>
      <c r="AN794">
        <f>IF(ABS(AK793) &gt; ABS(AM793),AK793,AM793)</f>
        <v>0.1879031250000196</v>
      </c>
    </row>
    <row r="795" spans="1:41" x14ac:dyDescent="0.35">
      <c r="A795" t="s">
        <v>254</v>
      </c>
      <c r="B795" t="s">
        <v>1111</v>
      </c>
      <c r="C795" t="s">
        <v>1636</v>
      </c>
      <c r="D795">
        <v>50</v>
      </c>
      <c r="E795">
        <v>50</v>
      </c>
      <c r="F795">
        <v>0</v>
      </c>
      <c r="G795">
        <v>0</v>
      </c>
      <c r="H795">
        <v>50.2578125</v>
      </c>
      <c r="J795">
        <v>3591</v>
      </c>
      <c r="N795" t="s">
        <v>182</v>
      </c>
      <c r="O795">
        <f t="shared" si="36"/>
        <v>50</v>
      </c>
      <c r="P795">
        <f t="shared" si="37"/>
        <v>0.322265625</v>
      </c>
      <c r="Q795">
        <f t="shared" si="38"/>
        <v>0.322265625</v>
      </c>
      <c r="Y795">
        <f>TREND(H793:H797,G793:G797,G795)</f>
        <v>50.305147186352357</v>
      </c>
      <c r="Z795">
        <f>ABS((Y795-H795)/80*100)</f>
        <v>5.9168357940446732E-2</v>
      </c>
      <c r="AH795">
        <f>H795-AG758</f>
        <v>49.989897500000005</v>
      </c>
      <c r="AI795">
        <f>100*(AH795-O795)/80</f>
        <v>-1.2628124999993773E-2</v>
      </c>
    </row>
    <row r="796" spans="1:41" x14ac:dyDescent="0.35">
      <c r="A796" t="s">
        <v>254</v>
      </c>
      <c r="B796" t="s">
        <v>1111</v>
      </c>
      <c r="C796" t="s">
        <v>1673</v>
      </c>
      <c r="D796">
        <v>50</v>
      </c>
      <c r="E796">
        <v>50</v>
      </c>
      <c r="F796">
        <v>0.5</v>
      </c>
      <c r="G796">
        <v>0.49988900000000003</v>
      </c>
      <c r="H796">
        <v>70.403125000000003</v>
      </c>
      <c r="J796">
        <v>3616</v>
      </c>
      <c r="N796" t="s">
        <v>182</v>
      </c>
      <c r="O796">
        <f t="shared" si="36"/>
        <v>69.995559999999998</v>
      </c>
      <c r="P796">
        <f t="shared" si="37"/>
        <v>0.50945625000000661</v>
      </c>
      <c r="Q796">
        <f t="shared" si="38"/>
        <v>0.50945625000000661</v>
      </c>
      <c r="Y796">
        <f>TREND(H793:H797,G793:G797,G796)</f>
        <v>70.358137323698827</v>
      </c>
      <c r="Z796">
        <f>ABS((Y796-H796)/80*100)</f>
        <v>5.6234595376469798E-2</v>
      </c>
      <c r="AH796">
        <f>H796-AG758</f>
        <v>70.135210000000001</v>
      </c>
      <c r="AI796">
        <f>100*(AH796-O796)/80</f>
        <v>0.17456250000000395</v>
      </c>
    </row>
    <row r="797" spans="1:41" x14ac:dyDescent="0.35">
      <c r="A797" t="s">
        <v>254</v>
      </c>
      <c r="B797" t="s">
        <v>1111</v>
      </c>
      <c r="C797" t="s">
        <v>1710</v>
      </c>
      <c r="D797">
        <v>50</v>
      </c>
      <c r="E797">
        <v>50</v>
      </c>
      <c r="F797">
        <v>1</v>
      </c>
      <c r="G797">
        <v>1.00013</v>
      </c>
      <c r="H797">
        <v>90.423437500000006</v>
      </c>
      <c r="J797">
        <v>3638</v>
      </c>
      <c r="N797" t="s">
        <v>182</v>
      </c>
      <c r="O797">
        <f t="shared" si="36"/>
        <v>90.005200000000002</v>
      </c>
      <c r="P797">
        <f t="shared" si="37"/>
        <v>0.52279687500000449</v>
      </c>
      <c r="Q797">
        <f t="shared" si="38"/>
        <v>0.52279687500000449</v>
      </c>
      <c r="Y797">
        <f>TREND(H793:H797,G793:G797,G797)</f>
        <v>90.425247900839622</v>
      </c>
      <c r="Z797">
        <f>ABS((Y797-H797)/80*100)</f>
        <v>2.2630010495205966E-3</v>
      </c>
      <c r="AH797">
        <f>H797-AG758</f>
        <v>90.155522500000018</v>
      </c>
      <c r="AI797">
        <f>100*(AH797-O797)/80</f>
        <v>0.1879031250000196</v>
      </c>
    </row>
    <row r="798" spans="1:41" x14ac:dyDescent="0.35">
      <c r="A798" t="s">
        <v>254</v>
      </c>
      <c r="B798" t="s">
        <v>1111</v>
      </c>
      <c r="C798" t="s">
        <v>1746</v>
      </c>
      <c r="D798">
        <v>50</v>
      </c>
      <c r="E798">
        <v>50</v>
      </c>
      <c r="F798">
        <v>0</v>
      </c>
      <c r="G798">
        <v>-1.1900000000000001E-4</v>
      </c>
      <c r="H798">
        <v>50.229687499999997</v>
      </c>
      <c r="J798">
        <v>3650</v>
      </c>
      <c r="N798" t="s">
        <v>182</v>
      </c>
      <c r="O798">
        <f t="shared" si="36"/>
        <v>49.995240000000003</v>
      </c>
      <c r="P798">
        <f t="shared" si="37"/>
        <v>0.29305937499999324</v>
      </c>
      <c r="Q798">
        <f t="shared" si="38"/>
        <v>0.29305937499999324</v>
      </c>
      <c r="Y798">
        <f>TREND(H793:H797,G793:G797,G798)</f>
        <v>50.300373514944617</v>
      </c>
      <c r="Z798">
        <f>ABS((Y798-H798)/80*100)</f>
        <v>8.8357518680775016E-2</v>
      </c>
      <c r="AH798">
        <f>H798-AG758</f>
        <v>49.961772500000002</v>
      </c>
      <c r="AI798">
        <f>100*(AH798-O798)/80</f>
        <v>-4.1834375000000534E-2</v>
      </c>
    </row>
    <row r="799" spans="1:41" x14ac:dyDescent="0.35">
      <c r="A799" t="s">
        <v>254</v>
      </c>
      <c r="B799" t="s">
        <v>1111</v>
      </c>
      <c r="C799" t="s">
        <v>1783</v>
      </c>
      <c r="D799">
        <v>50</v>
      </c>
      <c r="E799">
        <v>50</v>
      </c>
      <c r="F799">
        <v>-1</v>
      </c>
      <c r="G799">
        <v>-1.0000599999999999</v>
      </c>
      <c r="H799">
        <v>10.268750000000001</v>
      </c>
      <c r="J799">
        <v>3672</v>
      </c>
      <c r="N799" t="s">
        <v>182</v>
      </c>
      <c r="O799">
        <f t="shared" si="36"/>
        <v>9.997600000000002</v>
      </c>
      <c r="P799">
        <f t="shared" si="37"/>
        <v>0.33893749999999834</v>
      </c>
      <c r="Q799">
        <f t="shared" si="38"/>
        <v>0.33893749999999834</v>
      </c>
      <c r="Y799">
        <f>TREND(H793:H797,G793:G797,G799)</f>
        <v>10.187854513869652</v>
      </c>
      <c r="Z799">
        <f>ABS((Y799-H799)/80*100)</f>
        <v>0.10111935766293546</v>
      </c>
      <c r="AH799">
        <f>H799-AG758</f>
        <v>10.000835000000006</v>
      </c>
      <c r="AI799">
        <f>100*(AH799-O799)/80</f>
        <v>4.0437500000045645E-3</v>
      </c>
    </row>
    <row r="800" spans="1:41" x14ac:dyDescent="0.35">
      <c r="A800" t="s">
        <v>254</v>
      </c>
      <c r="B800" t="s">
        <v>1111</v>
      </c>
      <c r="C800" t="s">
        <v>1820</v>
      </c>
      <c r="D800">
        <v>70</v>
      </c>
      <c r="E800">
        <v>70</v>
      </c>
      <c r="F800">
        <v>-1</v>
      </c>
      <c r="G800">
        <v>-1.0001070000000001</v>
      </c>
      <c r="H800">
        <v>10.0765625</v>
      </c>
      <c r="J800">
        <v>11671</v>
      </c>
      <c r="N800" t="s">
        <v>182</v>
      </c>
      <c r="O800">
        <f t="shared" si="36"/>
        <v>9.9957199999999968</v>
      </c>
      <c r="P800">
        <f t="shared" si="37"/>
        <v>0.10105312500000352</v>
      </c>
      <c r="Q800">
        <f t="shared" si="38"/>
        <v>0.10105312500000352</v>
      </c>
      <c r="S800">
        <v>50.167187499999997</v>
      </c>
      <c r="T800">
        <v>0.19873437499999369</v>
      </c>
      <c r="U800">
        <v>90.407812500000006</v>
      </c>
      <c r="V800">
        <v>0.52791562500001277</v>
      </c>
      <c r="W800">
        <v>80.331251525878912</v>
      </c>
      <c r="X800">
        <f>(W800-80)/80*100</f>
        <v>0.41406440734863992</v>
      </c>
      <c r="Y800">
        <f>TREND(H800:H804,G800:G804,G800)</f>
        <v>9.9954344342527435</v>
      </c>
      <c r="Z800">
        <f>ABS((Y800-H800)/80*100)</f>
        <v>0.10141008218407023</v>
      </c>
      <c r="AA800">
        <f>MAX(Z800:Z804)</f>
        <v>0.11377451617052615</v>
      </c>
      <c r="AB800">
        <f>IF(ABS(MAX(P800:P806)) &gt; ABS(MIN(P800:P806)),MAX(P800:P806), MIN(P800:P806))</f>
        <v>0.52791562500001277</v>
      </c>
      <c r="AC800">
        <f>IF(ABS(AB801)&gt;ABS(AB800),AB801,AB800)</f>
        <v>0.52791562500001277</v>
      </c>
      <c r="AH800">
        <f>H800-AG758</f>
        <v>9.8086475000000046</v>
      </c>
      <c r="AI800">
        <f>100*(AH800-O800)/80</f>
        <v>-0.23384062499999025</v>
      </c>
      <c r="AJ800">
        <v>49.899272500000002</v>
      </c>
      <c r="AK800">
        <v>-0.13615937500000008</v>
      </c>
      <c r="AL800">
        <v>90.139897500000018</v>
      </c>
      <c r="AM800">
        <v>0.19302187500002788</v>
      </c>
      <c r="AN800">
        <f>IF(ABS(MAX(AI800:AI806)) &gt; ABS(MIN(AI800:AI806)),MAX(AI800:AI806), MIN(AI800:AI806))</f>
        <v>-0.32273749999999435</v>
      </c>
      <c r="AO800">
        <f>IF(ABS(AN801)&gt;ABS(AN800),AN801,AN800)</f>
        <v>-0.32273749999999435</v>
      </c>
    </row>
    <row r="801" spans="1:41" x14ac:dyDescent="0.35">
      <c r="A801" t="s">
        <v>254</v>
      </c>
      <c r="B801" t="s">
        <v>1111</v>
      </c>
      <c r="C801" t="s">
        <v>1857</v>
      </c>
      <c r="D801">
        <v>70</v>
      </c>
      <c r="E801">
        <v>70</v>
      </c>
      <c r="F801">
        <v>-0.5</v>
      </c>
      <c r="G801">
        <v>-0.50016499999999997</v>
      </c>
      <c r="H801">
        <v>30.003125000000001</v>
      </c>
      <c r="J801">
        <v>11692</v>
      </c>
      <c r="N801" t="s">
        <v>182</v>
      </c>
      <c r="O801">
        <f t="shared" si="36"/>
        <v>29.993400000000001</v>
      </c>
      <c r="P801">
        <f t="shared" si="37"/>
        <v>1.2156249999999424E-2</v>
      </c>
      <c r="Q801">
        <f t="shared" si="38"/>
        <v>1.2156249999999424E-2</v>
      </c>
      <c r="Y801">
        <f>TREND(H800:H804,G800:G804,G801)</f>
        <v>30.094144612936422</v>
      </c>
      <c r="Z801">
        <f>ABS((Y801-H801)/80*100)</f>
        <v>0.11377451617052615</v>
      </c>
      <c r="AB801">
        <f>IF(ABS(T800) &gt; ABS(V800),T800,V800)</f>
        <v>0.52791562500001277</v>
      </c>
      <c r="AH801">
        <f>H801-AG758</f>
        <v>29.735210000000006</v>
      </c>
      <c r="AI801">
        <f>100*(AH801-O801)/80</f>
        <v>-0.32273749999999435</v>
      </c>
      <c r="AN801">
        <f>IF(ABS(AK800) &gt; ABS(AM800),AK800,AM800)</f>
        <v>0.19302187500002788</v>
      </c>
    </row>
    <row r="802" spans="1:41" x14ac:dyDescent="0.35">
      <c r="A802" t="s">
        <v>254</v>
      </c>
      <c r="B802" t="s">
        <v>1111</v>
      </c>
      <c r="C802" t="s">
        <v>1894</v>
      </c>
      <c r="D802">
        <v>70</v>
      </c>
      <c r="E802">
        <v>70</v>
      </c>
      <c r="F802">
        <v>0</v>
      </c>
      <c r="G802">
        <v>2.05E-4</v>
      </c>
      <c r="H802">
        <v>50.167187499999997</v>
      </c>
      <c r="J802">
        <v>11716</v>
      </c>
      <c r="N802" t="s">
        <v>182</v>
      </c>
      <c r="O802">
        <f t="shared" si="36"/>
        <v>50.008200000000002</v>
      </c>
      <c r="P802">
        <f t="shared" si="37"/>
        <v>0.19873437499999369</v>
      </c>
      <c r="Q802">
        <f t="shared" si="38"/>
        <v>0.19873437499999369</v>
      </c>
      <c r="Y802">
        <f>TREND(H800:H804,G800:G804,G802)</f>
        <v>50.210061283486098</v>
      </c>
      <c r="Z802">
        <f>ABS((Y802-H802)/80*100)</f>
        <v>5.3592229357626309E-2</v>
      </c>
      <c r="AH802">
        <f>H802-AG758</f>
        <v>49.899272500000002</v>
      </c>
      <c r="AI802">
        <f>100*(AH802-O802)/80</f>
        <v>-0.13615937500000008</v>
      </c>
    </row>
    <row r="803" spans="1:41" x14ac:dyDescent="0.35">
      <c r="A803" t="s">
        <v>254</v>
      </c>
      <c r="B803" t="s">
        <v>1111</v>
      </c>
      <c r="C803" t="s">
        <v>1930</v>
      </c>
      <c r="D803">
        <v>70</v>
      </c>
      <c r="E803">
        <v>70</v>
      </c>
      <c r="F803">
        <v>0.5</v>
      </c>
      <c r="G803">
        <v>0.49981500000000001</v>
      </c>
      <c r="H803">
        <v>70.329687500000006</v>
      </c>
      <c r="J803">
        <v>11741</v>
      </c>
      <c r="N803" t="s">
        <v>182</v>
      </c>
      <c r="O803">
        <f t="shared" si="36"/>
        <v>69.992599999999996</v>
      </c>
      <c r="P803">
        <f t="shared" si="37"/>
        <v>0.42135937500001219</v>
      </c>
      <c r="Q803">
        <f t="shared" si="38"/>
        <v>0.42135937500001219</v>
      </c>
      <c r="Y803">
        <f>TREND(H800:H804,G800:G804,G803)</f>
        <v>70.295424370348471</v>
      </c>
      <c r="Z803">
        <f>ABS((Y803-H803)/80*100)</f>
        <v>4.2828912064418745E-2</v>
      </c>
      <c r="AH803">
        <f>H803-AG758</f>
        <v>70.061772500000018</v>
      </c>
      <c r="AI803">
        <f>100*(AH803-O803)/80</f>
        <v>8.6465625000027302E-2</v>
      </c>
    </row>
    <row r="804" spans="1:41" x14ac:dyDescent="0.35">
      <c r="A804" t="s">
        <v>254</v>
      </c>
      <c r="B804" t="s">
        <v>1111</v>
      </c>
      <c r="C804" t="s">
        <v>1966</v>
      </c>
      <c r="D804">
        <v>70</v>
      </c>
      <c r="E804">
        <v>70</v>
      </c>
      <c r="F804">
        <v>1</v>
      </c>
      <c r="G804">
        <v>0.999637</v>
      </c>
      <c r="H804">
        <v>90.407812500000006</v>
      </c>
      <c r="J804">
        <v>11763</v>
      </c>
      <c r="N804" t="s">
        <v>182</v>
      </c>
      <c r="O804">
        <f t="shared" si="36"/>
        <v>89.985479999999995</v>
      </c>
      <c r="P804">
        <f t="shared" si="37"/>
        <v>0.52791562500001277</v>
      </c>
      <c r="Q804">
        <f t="shared" si="38"/>
        <v>0.52791562500001277</v>
      </c>
      <c r="Y804">
        <f>TREND(H800:H804,G800:G804,G804)</f>
        <v>90.389310298976255</v>
      </c>
      <c r="Z804">
        <f>ABS((Y804-H804)/80*100)</f>
        <v>2.3127751279687914E-2</v>
      </c>
      <c r="AH804">
        <f>H804-AG758</f>
        <v>90.139897500000018</v>
      </c>
      <c r="AI804">
        <f>100*(AH804-O804)/80</f>
        <v>0.19302187500002788</v>
      </c>
    </row>
    <row r="805" spans="1:41" x14ac:dyDescent="0.35">
      <c r="A805" t="s">
        <v>254</v>
      </c>
      <c r="B805" t="s">
        <v>1111</v>
      </c>
      <c r="C805" t="s">
        <v>2003</v>
      </c>
      <c r="D805">
        <v>70</v>
      </c>
      <c r="E805">
        <v>70</v>
      </c>
      <c r="F805">
        <v>0</v>
      </c>
      <c r="G805">
        <v>-2.8499999999999999E-4</v>
      </c>
      <c r="H805">
        <v>50.089062499999997</v>
      </c>
      <c r="J805">
        <v>11782</v>
      </c>
      <c r="N805" t="s">
        <v>182</v>
      </c>
      <c r="O805">
        <f t="shared" si="36"/>
        <v>49.988599999999998</v>
      </c>
      <c r="P805">
        <f t="shared" si="37"/>
        <v>0.12557812499999876</v>
      </c>
      <c r="Q805">
        <f t="shared" si="38"/>
        <v>0.12557812499999876</v>
      </c>
      <c r="Y805">
        <f>TREND(H800:H804,G800:G804,G805)</f>
        <v>50.19036226242455</v>
      </c>
      <c r="Z805">
        <f>ABS((Y805-H805)/80*100)</f>
        <v>0.12662470303069107</v>
      </c>
      <c r="AH805">
        <f>H805-AG758</f>
        <v>49.821147500000002</v>
      </c>
      <c r="AI805">
        <f>100*(AH805-O805)/80</f>
        <v>-0.20931562499999501</v>
      </c>
    </row>
    <row r="806" spans="1:41" x14ac:dyDescent="0.35">
      <c r="A806" t="s">
        <v>254</v>
      </c>
      <c r="B806" t="s">
        <v>1111</v>
      </c>
      <c r="C806" t="s">
        <v>2040</v>
      </c>
      <c r="D806">
        <v>70</v>
      </c>
      <c r="E806">
        <v>70</v>
      </c>
      <c r="F806">
        <v>-1</v>
      </c>
      <c r="G806">
        <v>-0.99987599999999999</v>
      </c>
      <c r="H806">
        <v>10.034375000000001</v>
      </c>
      <c r="J806">
        <v>11792</v>
      </c>
      <c r="N806" t="s">
        <v>182</v>
      </c>
      <c r="O806">
        <f t="shared" si="36"/>
        <v>10.004960000000001</v>
      </c>
      <c r="P806">
        <f t="shared" si="37"/>
        <v>3.6768750000000239E-2</v>
      </c>
      <c r="Q806">
        <f t="shared" si="38"/>
        <v>3.6768750000000239E-2</v>
      </c>
      <c r="Y806">
        <f>TREND(H800:H804,G800:G804,G806)</f>
        <v>10.004721115610337</v>
      </c>
      <c r="Z806">
        <f>ABS((Y806-H806)/80*100)</f>
        <v>3.706735548707929E-2</v>
      </c>
      <c r="AH806">
        <f>H806-AG758</f>
        <v>9.7664600000000057</v>
      </c>
      <c r="AI806">
        <f>100*(AH806-O806)/80</f>
        <v>-0.29812499999999353</v>
      </c>
    </row>
    <row r="807" spans="1:41" x14ac:dyDescent="0.35">
      <c r="A807" t="s">
        <v>254</v>
      </c>
      <c r="B807" t="s">
        <v>1111</v>
      </c>
      <c r="C807" t="s">
        <v>2076</v>
      </c>
      <c r="D807">
        <v>85</v>
      </c>
      <c r="E807">
        <v>85</v>
      </c>
      <c r="F807">
        <v>-1</v>
      </c>
      <c r="G807">
        <v>-1.000021</v>
      </c>
      <c r="H807">
        <v>9.9328125000000007</v>
      </c>
      <c r="J807">
        <v>17812</v>
      </c>
      <c r="N807" t="s">
        <v>182</v>
      </c>
      <c r="O807">
        <f t="shared" si="36"/>
        <v>9.999159999999998</v>
      </c>
      <c r="P807">
        <f t="shared" si="37"/>
        <v>-8.2934374999996674E-2</v>
      </c>
      <c r="Q807">
        <f t="shared" si="38"/>
        <v>8.2934374999996674E-2</v>
      </c>
      <c r="S807">
        <v>50.1484375</v>
      </c>
      <c r="T807">
        <v>0.18374687500000597</v>
      </c>
      <c r="U807">
        <v>90.434375000000003</v>
      </c>
      <c r="V807">
        <v>0.54286874999998957</v>
      </c>
      <c r="W807">
        <v>80.50155944824219</v>
      </c>
      <c r="X807">
        <f>(W807-80)/80*100</f>
        <v>0.62694931030273793</v>
      </c>
      <c r="Y807">
        <f>TREND(H807:H811,G807:G811,G807)</f>
        <v>9.8741195906166297</v>
      </c>
      <c r="Z807">
        <f>ABS((Y807-H807)/80*100)</f>
        <v>7.3366136729213771E-2</v>
      </c>
      <c r="AA807">
        <f>MAX(Z807:Z811)</f>
        <v>0.10114403171214814</v>
      </c>
      <c r="AB807">
        <f>IF(ABS(MAX(P807:P813)) &gt; ABS(MIN(P807:P813)),MAX(P807:P813), MIN(P807:P813))</f>
        <v>0.54286874999998957</v>
      </c>
      <c r="AC807">
        <f>IF(ABS(AB808)&gt;ABS(AB807),AB808,AB807)</f>
        <v>0.54286874999998957</v>
      </c>
      <c r="AH807">
        <f>H807-AG758</f>
        <v>9.6648975000000057</v>
      </c>
      <c r="AI807">
        <f>100*(AH807-O807)/80</f>
        <v>-0.41782812499999045</v>
      </c>
      <c r="AJ807">
        <v>49.880522500000005</v>
      </c>
      <c r="AK807">
        <v>-0.1511468749999878</v>
      </c>
      <c r="AL807">
        <v>90.166460000000001</v>
      </c>
      <c r="AM807">
        <v>0.20797499999998692</v>
      </c>
      <c r="AN807">
        <f>IF(ABS(MAX(AI807:AI813)) &gt; ABS(MIN(AI807:AI813)),MAX(AI807:AI813), MIN(AI807:AI813))</f>
        <v>-0.50242499999999302</v>
      </c>
      <c r="AO807">
        <f>IF(ABS(AN808)&gt;ABS(AN807),AN808,AN807)</f>
        <v>-0.50242499999999302</v>
      </c>
    </row>
    <row r="808" spans="1:41" x14ac:dyDescent="0.35">
      <c r="A808" t="s">
        <v>254</v>
      </c>
      <c r="B808" t="s">
        <v>1111</v>
      </c>
      <c r="C808" t="s">
        <v>2112</v>
      </c>
      <c r="D808">
        <v>85</v>
      </c>
      <c r="E808">
        <v>85</v>
      </c>
      <c r="F808">
        <v>-0.5</v>
      </c>
      <c r="G808">
        <v>-0.50006099999999998</v>
      </c>
      <c r="H808">
        <v>29.928125000000001</v>
      </c>
      <c r="J808">
        <v>17833</v>
      </c>
      <c r="N808" t="s">
        <v>182</v>
      </c>
      <c r="O808">
        <f t="shared" si="36"/>
        <v>29.99756</v>
      </c>
      <c r="P808">
        <f t="shared" si="37"/>
        <v>-8.6793749999998226E-2</v>
      </c>
      <c r="Q808">
        <f t="shared" si="38"/>
        <v>8.6793749999998226E-2</v>
      </c>
      <c r="Y808">
        <f>TREND(H807:H811,G807:G811,G808)</f>
        <v>30.00904022536972</v>
      </c>
      <c r="Z808">
        <f>ABS((Y808-H808)/80*100)</f>
        <v>0.10114403171214814</v>
      </c>
      <c r="AB808">
        <f>IF(ABS(T807) &gt; ABS(V807),T807,V807)</f>
        <v>0.54286874999998957</v>
      </c>
      <c r="AH808">
        <f>H808-AG758</f>
        <v>29.660210000000006</v>
      </c>
      <c r="AI808">
        <f>100*(AH808-O808)/80</f>
        <v>-0.421687499999992</v>
      </c>
      <c r="AN808">
        <f>IF(ABS(AK807) &gt; ABS(AM807),AK807,AM807)</f>
        <v>0.20797499999998692</v>
      </c>
    </row>
    <row r="809" spans="1:41" x14ac:dyDescent="0.35">
      <c r="A809" t="s">
        <v>254</v>
      </c>
      <c r="B809" t="s">
        <v>1111</v>
      </c>
      <c r="C809" t="s">
        <v>2148</v>
      </c>
      <c r="D809">
        <v>85</v>
      </c>
      <c r="E809">
        <v>85</v>
      </c>
      <c r="F809">
        <v>0</v>
      </c>
      <c r="G809">
        <v>3.6000000000000001E-5</v>
      </c>
      <c r="H809">
        <v>50.1484375</v>
      </c>
      <c r="J809">
        <v>17863</v>
      </c>
      <c r="N809" t="s">
        <v>182</v>
      </c>
      <c r="O809">
        <f t="shared" si="36"/>
        <v>50.001439999999995</v>
      </c>
      <c r="P809">
        <f t="shared" si="37"/>
        <v>0.18374687500000597</v>
      </c>
      <c r="Q809">
        <f t="shared" si="38"/>
        <v>0.18374687500000597</v>
      </c>
      <c r="Y809">
        <f>TREND(H807:H811,G807:G811,G809)</f>
        <v>50.149478269769496</v>
      </c>
      <c r="Z809">
        <f>ABS((Y809-H809)/80*100)</f>
        <v>1.3009622118698161E-3</v>
      </c>
      <c r="AH809">
        <f>H809-AG758</f>
        <v>49.880522500000005</v>
      </c>
      <c r="AI809">
        <f>100*(AH809-O809)/80</f>
        <v>-0.1511468749999878</v>
      </c>
    </row>
    <row r="810" spans="1:41" x14ac:dyDescent="0.35">
      <c r="A810" t="s">
        <v>254</v>
      </c>
      <c r="B810" t="s">
        <v>1111</v>
      </c>
      <c r="C810" t="s">
        <v>2185</v>
      </c>
      <c r="D810">
        <v>85</v>
      </c>
      <c r="E810">
        <v>85</v>
      </c>
      <c r="F810">
        <v>0.5</v>
      </c>
      <c r="G810">
        <v>0.49986199999999997</v>
      </c>
      <c r="H810">
        <v>70.2890625</v>
      </c>
      <c r="J810">
        <v>17869</v>
      </c>
      <c r="N810" t="s">
        <v>182</v>
      </c>
      <c r="O810">
        <f t="shared" si="36"/>
        <v>69.99448000000001</v>
      </c>
      <c r="P810">
        <f t="shared" si="37"/>
        <v>0.36822812499998747</v>
      </c>
      <c r="Q810">
        <f t="shared" si="38"/>
        <v>0.36822812499998747</v>
      </c>
      <c r="Y810">
        <f>TREND(H807:H811,G807:G811,G810)</f>
        <v>70.279002314065224</v>
      </c>
      <c r="Z810">
        <f>ABS((Y810-H810)/80*100)</f>
        <v>1.2575232418470248E-2</v>
      </c>
      <c r="AH810">
        <f>H810-AG758</f>
        <v>70.021147500000012</v>
      </c>
      <c r="AI810">
        <f>100*(AH810-O810)/80</f>
        <v>3.3334375000002581E-2</v>
      </c>
    </row>
    <row r="811" spans="1:41" x14ac:dyDescent="0.35">
      <c r="A811" t="s">
        <v>254</v>
      </c>
      <c r="B811" t="s">
        <v>1111</v>
      </c>
      <c r="C811" t="s">
        <v>2222</v>
      </c>
      <c r="D811">
        <v>85</v>
      </c>
      <c r="E811">
        <v>85</v>
      </c>
      <c r="F811">
        <v>1</v>
      </c>
      <c r="G811">
        <v>1.0000020000000001</v>
      </c>
      <c r="H811">
        <v>90.434375000000003</v>
      </c>
      <c r="J811">
        <v>17882</v>
      </c>
      <c r="N811" t="s">
        <v>182</v>
      </c>
      <c r="O811">
        <f t="shared" si="36"/>
        <v>90.000080000000011</v>
      </c>
      <c r="P811">
        <f t="shared" si="37"/>
        <v>0.54286874999998957</v>
      </c>
      <c r="Q811">
        <f t="shared" si="38"/>
        <v>0.54286874999998957</v>
      </c>
      <c r="Y811">
        <f>TREND(H807:H811,G807:G811,G811)</f>
        <v>90.42117210017895</v>
      </c>
      <c r="Z811">
        <f>ABS((Y811-H811)/80*100)</f>
        <v>1.6503624776316173E-2</v>
      </c>
      <c r="AH811">
        <f>H811-AG758</f>
        <v>90.166460000000001</v>
      </c>
      <c r="AI811">
        <f>100*(AH811-O811)/80</f>
        <v>0.20797499999998692</v>
      </c>
    </row>
    <row r="812" spans="1:41" x14ac:dyDescent="0.35">
      <c r="A812" t="s">
        <v>254</v>
      </c>
      <c r="B812" t="s">
        <v>1111</v>
      </c>
      <c r="C812" t="s">
        <v>2258</v>
      </c>
      <c r="D812">
        <v>85</v>
      </c>
      <c r="E812">
        <v>85</v>
      </c>
      <c r="F812">
        <v>0</v>
      </c>
      <c r="G812">
        <v>-7.3999999999999996E-5</v>
      </c>
      <c r="H812">
        <v>50.046875</v>
      </c>
      <c r="J812">
        <v>17897</v>
      </c>
      <c r="N812" t="s">
        <v>182</v>
      </c>
      <c r="O812">
        <f t="shared" si="36"/>
        <v>49.997039999999998</v>
      </c>
      <c r="P812">
        <f t="shared" si="37"/>
        <v>6.2293750000002035E-2</v>
      </c>
      <c r="Q812">
        <f t="shared" si="38"/>
        <v>6.2293750000002035E-2</v>
      </c>
      <c r="Y812">
        <f>TREND(H807:H811,G807:G811,G812)</f>
        <v>50.145048232826895</v>
      </c>
      <c r="Z812">
        <f>ABS((Y812-H812)/80*100)</f>
        <v>0.1227165410336184</v>
      </c>
      <c r="AH812">
        <f>H812-AG758</f>
        <v>49.778960000000005</v>
      </c>
      <c r="AI812">
        <f>100*(AH812-O812)/80</f>
        <v>-0.27259999999999174</v>
      </c>
    </row>
    <row r="813" spans="1:41" x14ac:dyDescent="0.35">
      <c r="A813" t="s">
        <v>254</v>
      </c>
      <c r="B813" t="s">
        <v>1111</v>
      </c>
      <c r="C813" t="s">
        <v>2295</v>
      </c>
      <c r="D813">
        <v>85</v>
      </c>
      <c r="E813">
        <v>85</v>
      </c>
      <c r="F813">
        <v>-1</v>
      </c>
      <c r="G813">
        <v>-0.99953999999999998</v>
      </c>
      <c r="H813">
        <v>9.8843750000000004</v>
      </c>
      <c r="J813">
        <v>17914</v>
      </c>
      <c r="N813" t="s">
        <v>182</v>
      </c>
      <c r="O813">
        <f t="shared" si="36"/>
        <v>10.0184</v>
      </c>
      <c r="P813">
        <f t="shared" si="37"/>
        <v>-0.16753124999999924</v>
      </c>
      <c r="Q813">
        <f t="shared" si="38"/>
        <v>0.16753124999999924</v>
      </c>
      <c r="Y813">
        <f>TREND(H807:H811,G807:G811,G813)</f>
        <v>9.8934909339747321</v>
      </c>
      <c r="Z813">
        <f>ABS((Y813-H813)/80*100)</f>
        <v>1.13949174684147E-2</v>
      </c>
      <c r="AH813">
        <f>H813-AG758</f>
        <v>9.6164600000000053</v>
      </c>
      <c r="AI813">
        <f>100*(AH813-O813)/80</f>
        <v>-0.50242499999999302</v>
      </c>
    </row>
    <row r="814" spans="1:41" x14ac:dyDescent="0.35">
      <c r="A814" t="s">
        <v>254</v>
      </c>
      <c r="B814" t="s">
        <v>1111</v>
      </c>
      <c r="C814" t="s">
        <v>2332</v>
      </c>
      <c r="D814">
        <v>25</v>
      </c>
      <c r="E814">
        <v>25</v>
      </c>
      <c r="F814">
        <v>-1</v>
      </c>
      <c r="G814">
        <v>-1.000648</v>
      </c>
      <c r="H814">
        <v>10.309374999999999</v>
      </c>
      <c r="J814">
        <v>-5640</v>
      </c>
      <c r="N814" t="s">
        <v>182</v>
      </c>
      <c r="O814">
        <f t="shared" si="36"/>
        <v>9.9740800000000007</v>
      </c>
      <c r="P814">
        <f t="shared" si="37"/>
        <v>0.41911874999999821</v>
      </c>
      <c r="Q814">
        <f t="shared" si="38"/>
        <v>0.41911874999999821</v>
      </c>
      <c r="S814">
        <v>50.254687500000003</v>
      </c>
      <c r="T814">
        <v>0.32805937500000937</v>
      </c>
      <c r="U814">
        <v>90.3359375</v>
      </c>
      <c r="V814">
        <v>0.41907187500001442</v>
      </c>
      <c r="W814">
        <v>80.026562499999997</v>
      </c>
      <c r="X814">
        <f>(W814-80)/80*100</f>
        <v>3.3203124999996447E-2</v>
      </c>
      <c r="Y814">
        <f>TREND(H814:H818,G814:G818,G814)</f>
        <v>10.239681871408784</v>
      </c>
      <c r="Z814">
        <f>ABS((Y814-H814)/80*100)</f>
        <v>8.7116410739018768E-2</v>
      </c>
      <c r="AA814">
        <f>MAX(Z814:Z818)</f>
        <v>0.10140663303559894</v>
      </c>
      <c r="AB814">
        <f>IF(ABS(MAX(P814:P820)) &gt; ABS(MIN(P814:P820)),MAX(P814:P820), MIN(P814:P820))</f>
        <v>0.51687187500000231</v>
      </c>
      <c r="AC814">
        <f>IF(ABS(AB815)&gt;ABS(AB814),AB815,AB814)</f>
        <v>0.51687187500000231</v>
      </c>
      <c r="AH814">
        <f>H814-AG758</f>
        <v>10.041460000000004</v>
      </c>
      <c r="AI814">
        <f>100*(AH814-O814)/80</f>
        <v>8.4225000000004435E-2</v>
      </c>
      <c r="AJ814">
        <v>49.986772500000008</v>
      </c>
      <c r="AK814">
        <v>-6.834374999984405E-3</v>
      </c>
      <c r="AL814">
        <v>90.068022500000012</v>
      </c>
      <c r="AM814">
        <v>8.4178125000029524E-2</v>
      </c>
      <c r="AN814">
        <f>IF(ABS(MAX(AI814:AI820)) &gt; ABS(MIN(AI814:AI820)),MAX(AI814:AI820), MIN(AI814:AI820))</f>
        <v>0.18197812500000854</v>
      </c>
      <c r="AO814">
        <f>IF(ABS(AN815)&gt;ABS(AN814),AN815,AN814)</f>
        <v>0.18197812500000854</v>
      </c>
    </row>
    <row r="815" spans="1:41" x14ac:dyDescent="0.35">
      <c r="A815" t="s">
        <v>254</v>
      </c>
      <c r="B815" t="s">
        <v>1111</v>
      </c>
      <c r="C815" t="s">
        <v>2369</v>
      </c>
      <c r="D815">
        <v>25</v>
      </c>
      <c r="E815">
        <v>25</v>
      </c>
      <c r="F815">
        <v>-0.5</v>
      </c>
      <c r="G815">
        <v>-0.50028799999999995</v>
      </c>
      <c r="H815">
        <v>30.185937500000001</v>
      </c>
      <c r="J815">
        <v>-5682</v>
      </c>
      <c r="N815" t="s">
        <v>182</v>
      </c>
      <c r="O815">
        <f t="shared" si="36"/>
        <v>29.988480000000003</v>
      </c>
      <c r="P815">
        <f t="shared" si="37"/>
        <v>0.24682187499999841</v>
      </c>
      <c r="Q815">
        <f t="shared" si="38"/>
        <v>0.24682187499999841</v>
      </c>
      <c r="Y815">
        <f>TREND(H814:H818,G814:G818,G815)</f>
        <v>30.267062806428481</v>
      </c>
      <c r="Z815">
        <f>ABS((Y815-H815)/80*100)</f>
        <v>0.10140663303559894</v>
      </c>
      <c r="AB815">
        <f>IF(ABS(T814) &gt; ABS(V814),T814,V814)</f>
        <v>0.41907187500001442</v>
      </c>
      <c r="AH815">
        <f>H815-AG758</f>
        <v>29.918022500000006</v>
      </c>
      <c r="AI815">
        <f>100*(AH815-O815)/80</f>
        <v>-8.8071874999995359E-2</v>
      </c>
      <c r="AN815">
        <f>IF(ABS(AK814) &gt; ABS(AM814),AK814,AM814)</f>
        <v>8.4178125000029524E-2</v>
      </c>
    </row>
    <row r="816" spans="1:41" x14ac:dyDescent="0.35">
      <c r="A816" t="s">
        <v>254</v>
      </c>
      <c r="B816" t="s">
        <v>1111</v>
      </c>
      <c r="C816" t="s">
        <v>2405</v>
      </c>
      <c r="D816">
        <v>25</v>
      </c>
      <c r="E816">
        <v>25</v>
      </c>
      <c r="F816">
        <v>0</v>
      </c>
      <c r="G816">
        <v>-1.94E-4</v>
      </c>
      <c r="H816">
        <v>50.254687500000003</v>
      </c>
      <c r="J816">
        <v>-5723</v>
      </c>
      <c r="N816" t="s">
        <v>182</v>
      </c>
      <c r="O816">
        <f t="shared" si="36"/>
        <v>49.992239999999995</v>
      </c>
      <c r="P816">
        <f t="shared" si="37"/>
        <v>0.32805937500000937</v>
      </c>
      <c r="Q816">
        <f t="shared" si="38"/>
        <v>0.32805937500000937</v>
      </c>
      <c r="Y816">
        <f>TREND(H814:H818,G814:G818,G816)</f>
        <v>50.283796840559383</v>
      </c>
      <c r="Z816">
        <f>ABS((Y816-H816)/80*100)</f>
        <v>3.6386675699224824E-2</v>
      </c>
      <c r="AH816">
        <f>H816-AG758</f>
        <v>49.986772500000008</v>
      </c>
      <c r="AI816">
        <f>100*(AH816-O816)/80</f>
        <v>-6.834374999984405E-3</v>
      </c>
    </row>
    <row r="817" spans="1:41" x14ac:dyDescent="0.35">
      <c r="A817" t="s">
        <v>254</v>
      </c>
      <c r="B817" t="s">
        <v>1111</v>
      </c>
      <c r="C817" t="s">
        <v>2442</v>
      </c>
      <c r="D817">
        <v>25</v>
      </c>
      <c r="E817">
        <v>25</v>
      </c>
      <c r="F817">
        <v>0.5</v>
      </c>
      <c r="G817">
        <v>0.49998100000000001</v>
      </c>
      <c r="H817">
        <v>70.326562499999994</v>
      </c>
      <c r="J817">
        <v>-5763</v>
      </c>
      <c r="N817" t="s">
        <v>182</v>
      </c>
      <c r="O817">
        <f t="shared" si="36"/>
        <v>69.99924</v>
      </c>
      <c r="P817">
        <f t="shared" si="37"/>
        <v>0.40915312499999246</v>
      </c>
      <c r="Q817">
        <f t="shared" si="38"/>
        <v>0.40915312499999246</v>
      </c>
      <c r="Y817">
        <f>TREND(H814:H818,G814:G818,G817)</f>
        <v>70.303772976088766</v>
      </c>
      <c r="Z817">
        <f>ABS((Y817-H817)/80*100)</f>
        <v>2.8486904889035713E-2</v>
      </c>
      <c r="AH817">
        <f>H817-AG758</f>
        <v>70.058647500000006</v>
      </c>
      <c r="AI817">
        <f>100*(AH817-O817)/80</f>
        <v>7.4259375000007566E-2</v>
      </c>
    </row>
    <row r="818" spans="1:41" x14ac:dyDescent="0.35">
      <c r="A818" t="s">
        <v>254</v>
      </c>
      <c r="B818" t="s">
        <v>1111</v>
      </c>
      <c r="C818" t="s">
        <v>2479</v>
      </c>
      <c r="D818">
        <v>25</v>
      </c>
      <c r="E818">
        <v>25</v>
      </c>
      <c r="F818">
        <v>1</v>
      </c>
      <c r="G818">
        <v>1.0000169999999999</v>
      </c>
      <c r="H818">
        <v>90.3359375</v>
      </c>
      <c r="J818">
        <v>-5798</v>
      </c>
      <c r="N818" t="s">
        <v>182</v>
      </c>
      <c r="O818">
        <f t="shared" si="36"/>
        <v>90.000679999999988</v>
      </c>
      <c r="P818">
        <f t="shared" si="37"/>
        <v>0.41907187500001442</v>
      </c>
      <c r="Q818">
        <f t="shared" si="38"/>
        <v>0.41907187500001442</v>
      </c>
      <c r="Y818">
        <f>TREND(H814:H818,G814:G818,G818)</f>
        <v>90.318185505514577</v>
      </c>
      <c r="Z818">
        <f>ABS((Y818-H818)/80*100)</f>
        <v>2.2189993106778161E-2</v>
      </c>
      <c r="AH818">
        <f>H818-AG758</f>
        <v>90.068022500000012</v>
      </c>
      <c r="AI818">
        <f>100*(AH818-O818)/80</f>
        <v>8.4178125000029524E-2</v>
      </c>
    </row>
    <row r="819" spans="1:41" x14ac:dyDescent="0.35">
      <c r="A819" t="s">
        <v>254</v>
      </c>
      <c r="B819" t="s">
        <v>1111</v>
      </c>
      <c r="C819" t="s">
        <v>2516</v>
      </c>
      <c r="D819">
        <v>25</v>
      </c>
      <c r="E819">
        <v>25</v>
      </c>
      <c r="F819">
        <v>0</v>
      </c>
      <c r="G819">
        <v>-1.66E-4</v>
      </c>
      <c r="H819">
        <v>50.229687499999997</v>
      </c>
      <c r="J819">
        <v>-5829</v>
      </c>
      <c r="N819" t="s">
        <v>182</v>
      </c>
      <c r="O819">
        <f t="shared" si="36"/>
        <v>49.993360000000003</v>
      </c>
      <c r="P819">
        <f t="shared" si="37"/>
        <v>0.29540937499999309</v>
      </c>
      <c r="Q819">
        <f t="shared" si="38"/>
        <v>0.29540937499999309</v>
      </c>
      <c r="Y819">
        <f>TREND(H814:H818,G814:G818,G819)</f>
        <v>50.28491756696873</v>
      </c>
      <c r="Z819">
        <f>ABS((Y819-H819)/80*100)</f>
        <v>6.903758371091584E-2</v>
      </c>
      <c r="AH819">
        <f>H819-AG758</f>
        <v>49.961772500000002</v>
      </c>
      <c r="AI819">
        <f>100*(AH819-O819)/80</f>
        <v>-3.9484375000000682E-2</v>
      </c>
    </row>
    <row r="820" spans="1:41" x14ac:dyDescent="0.35">
      <c r="A820" t="s">
        <v>254</v>
      </c>
      <c r="B820" t="s">
        <v>1111</v>
      </c>
      <c r="C820" t="s">
        <v>2551</v>
      </c>
      <c r="D820">
        <v>25</v>
      </c>
      <c r="E820">
        <v>25</v>
      </c>
      <c r="F820">
        <v>-1</v>
      </c>
      <c r="G820">
        <v>-1.0000640000000001</v>
      </c>
      <c r="H820">
        <v>10.410937499999999</v>
      </c>
      <c r="J820">
        <v>-5853</v>
      </c>
      <c r="N820" t="s">
        <v>182</v>
      </c>
      <c r="O820">
        <f t="shared" si="36"/>
        <v>9.9974399999999974</v>
      </c>
      <c r="P820">
        <f t="shared" si="37"/>
        <v>0.51687187500000231</v>
      </c>
      <c r="Q820">
        <f t="shared" si="38"/>
        <v>0.51687187500000231</v>
      </c>
      <c r="Y820">
        <f>TREND(H814:H818,G814:G818,G820)</f>
        <v>10.263057022232289</v>
      </c>
      <c r="Z820">
        <f>ABS((Y820-H820)/80*100)</f>
        <v>0.18485059720963815</v>
      </c>
      <c r="AH820">
        <f>H820-AG758</f>
        <v>10.143022500000004</v>
      </c>
      <c r="AI820">
        <f>100*(AH820-O820)/80</f>
        <v>0.18197812500000854</v>
      </c>
    </row>
    <row r="821" spans="1:41" x14ac:dyDescent="0.35">
      <c r="A821" t="s">
        <v>256</v>
      </c>
      <c r="B821" t="s">
        <v>231</v>
      </c>
      <c r="C821" t="s">
        <v>257</v>
      </c>
      <c r="D821">
        <v>25</v>
      </c>
      <c r="E821">
        <v>25</v>
      </c>
      <c r="F821">
        <v>-1</v>
      </c>
      <c r="G821">
        <v>-1.0000469999999999</v>
      </c>
      <c r="H821">
        <v>10.103125</v>
      </c>
      <c r="J821">
        <v>-6131</v>
      </c>
      <c r="N821" t="s">
        <v>183</v>
      </c>
      <c r="O821">
        <f t="shared" si="36"/>
        <v>9.9981200000000037</v>
      </c>
      <c r="P821">
        <f t="shared" si="37"/>
        <v>0.13125624999999586</v>
      </c>
      <c r="Q821">
        <f t="shared" si="38"/>
        <v>0.13125624999999586</v>
      </c>
      <c r="S821">
        <v>50.125</v>
      </c>
      <c r="T821">
        <v>0.14935000000000365</v>
      </c>
      <c r="U821">
        <v>90.315624999999997</v>
      </c>
      <c r="V821">
        <v>0.42203125000000341</v>
      </c>
      <c r="W821">
        <v>80.212503051757807</v>
      </c>
      <c r="X821">
        <f>(W821-80)/80*100</f>
        <v>0.26562881469725852</v>
      </c>
      <c r="Y821">
        <f>TREND(H821:H825,G821:G825,G821)</f>
        <v>10.046243535262875</v>
      </c>
      <c r="Z821">
        <f>ABS((Y821-H821)/80*100)</f>
        <v>7.1101830921407316E-2</v>
      </c>
      <c r="AA821">
        <f>MAX(Z821:Z825)</f>
        <v>9.6303255975360713E-2</v>
      </c>
      <c r="AB821">
        <f>IF(ABS(MAX(P821:P827)) &gt; ABS(MIN(P821:P827)),MAX(P821:P827), MIN(P821:P827))</f>
        <v>0.43420937500000534</v>
      </c>
      <c r="AC821">
        <f>IF(ABS(AB822)&gt;ABS(AB821),AB822,AB821)</f>
        <v>0.43420937500000534</v>
      </c>
      <c r="AD821">
        <f>MAX(AD822:AD823)</f>
        <v>1.2959374999994555E-2</v>
      </c>
      <c r="AE821">
        <f>MAX(AE822:AE842)</f>
        <v>0.22435624999999959</v>
      </c>
      <c r="AF821">
        <f>MAX(AD821,AA821)</f>
        <v>9.6303255975360713E-2</v>
      </c>
      <c r="AG821">
        <f>H823-O823</f>
        <v>0.11948000000000292</v>
      </c>
      <c r="AH821">
        <f>H821-AG821</f>
        <v>9.9836449999999974</v>
      </c>
      <c r="AI821">
        <f>100*(AH821-O821)/80</f>
        <v>-1.8093750000007791E-2</v>
      </c>
      <c r="AJ821">
        <v>50.005519999999997</v>
      </c>
      <c r="AK821">
        <v>0</v>
      </c>
      <c r="AL821">
        <v>90.196145000000001</v>
      </c>
      <c r="AM821">
        <v>0.27268125000000865</v>
      </c>
      <c r="AN821">
        <f>IF(ABS(MAX(AI821:AI827)) &gt; ABS(MIN(AI821:AI827)),MAX(AI821:AI827), MIN(AI821:AI827))</f>
        <v>0.28485937499999281</v>
      </c>
      <c r="AO821">
        <f>IF(ABS(AN822)&gt;ABS(AN821),AN822,AN821)</f>
        <v>0.28485937499999281</v>
      </c>
    </row>
    <row r="822" spans="1:41" x14ac:dyDescent="0.35">
      <c r="A822" t="s">
        <v>256</v>
      </c>
      <c r="B822" t="s">
        <v>231</v>
      </c>
      <c r="C822" t="s">
        <v>320</v>
      </c>
      <c r="D822">
        <v>25</v>
      </c>
      <c r="E822">
        <v>25</v>
      </c>
      <c r="F822">
        <v>-0.5</v>
      </c>
      <c r="G822">
        <v>-0.50039</v>
      </c>
      <c r="H822">
        <v>30.056249999999999</v>
      </c>
      <c r="J822">
        <v>-6115</v>
      </c>
      <c r="N822" t="s">
        <v>183</v>
      </c>
      <c r="O822">
        <f t="shared" si="36"/>
        <v>29.984400000000001</v>
      </c>
      <c r="P822">
        <f t="shared" si="37"/>
        <v>8.9812499999997186E-2</v>
      </c>
      <c r="Q822">
        <f t="shared" si="38"/>
        <v>8.9812499999997186E-2</v>
      </c>
      <c r="Y822">
        <f>TREND(H821:H825,G821:G825,G822)</f>
        <v>30.106559341299764</v>
      </c>
      <c r="Z822">
        <f>ABS((Y822-H822)/80*100)</f>
        <v>6.288667662470715E-2</v>
      </c>
      <c r="AB822">
        <f>IF(ABS(T821) &gt; ABS(V821),T821,V821)</f>
        <v>0.42203125000000341</v>
      </c>
      <c r="AD822">
        <f>ABS(P823-P826)</f>
        <v>1.0321874999998926E-2</v>
      </c>
      <c r="AE822">
        <f>ABS(P849-P821)</f>
        <v>0.13883125000000218</v>
      </c>
      <c r="AH822">
        <f>H822-AG821</f>
        <v>29.936769999999996</v>
      </c>
      <c r="AI822">
        <f>100*(AH822-O822)/80</f>
        <v>-5.953750000000646E-2</v>
      </c>
      <c r="AN822">
        <f>IF(ABS(AK821) &gt; ABS(AM821),AK821,AM821)</f>
        <v>0.27268125000000865</v>
      </c>
    </row>
    <row r="823" spans="1:41" x14ac:dyDescent="0.35">
      <c r="A823" t="s">
        <v>256</v>
      </c>
      <c r="B823" t="s">
        <v>231</v>
      </c>
      <c r="C823" t="s">
        <v>356</v>
      </c>
      <c r="D823">
        <v>25</v>
      </c>
      <c r="E823">
        <v>25</v>
      </c>
      <c r="F823">
        <v>0</v>
      </c>
      <c r="G823">
        <v>1.3799999999999999E-4</v>
      </c>
      <c r="H823">
        <v>50.125</v>
      </c>
      <c r="J823">
        <v>-6117</v>
      </c>
      <c r="N823" t="s">
        <v>183</v>
      </c>
      <c r="O823">
        <f t="shared" si="36"/>
        <v>50.005519999999997</v>
      </c>
      <c r="P823">
        <f t="shared" si="37"/>
        <v>0.14935000000000365</v>
      </c>
      <c r="Q823">
        <f t="shared" si="38"/>
        <v>0.14935000000000365</v>
      </c>
      <c r="Y823">
        <f>TREND(H821:H825,G821:G825,G823)</f>
        <v>50.201844206245184</v>
      </c>
      <c r="Z823">
        <f>ABS((Y823-H823)/80*100)</f>
        <v>9.6055257806479943E-2</v>
      </c>
      <c r="AD823">
        <f>ABS(P821-P827)</f>
        <v>1.2959374999994555E-2</v>
      </c>
      <c r="AE823">
        <f>ABS(P850-P822)</f>
        <v>9.6628125000002285E-2</v>
      </c>
      <c r="AH823">
        <f>H823-AG821</f>
        <v>50.005519999999997</v>
      </c>
      <c r="AI823">
        <f>100*(AH823-O823)/80</f>
        <v>0</v>
      </c>
    </row>
    <row r="824" spans="1:41" x14ac:dyDescent="0.35">
      <c r="A824" t="s">
        <v>256</v>
      </c>
      <c r="B824" t="s">
        <v>231</v>
      </c>
      <c r="C824" t="s">
        <v>393</v>
      </c>
      <c r="D824">
        <v>25</v>
      </c>
      <c r="E824">
        <v>25</v>
      </c>
      <c r="F824">
        <v>0.5</v>
      </c>
      <c r="G824">
        <v>0.499558</v>
      </c>
      <c r="H824">
        <v>70.329687500000006</v>
      </c>
      <c r="J824">
        <v>-6115</v>
      </c>
      <c r="N824" t="s">
        <v>183</v>
      </c>
      <c r="O824">
        <f t="shared" si="36"/>
        <v>69.982320000000001</v>
      </c>
      <c r="P824">
        <f t="shared" si="37"/>
        <v>0.43420937500000534</v>
      </c>
      <c r="Q824">
        <f t="shared" si="38"/>
        <v>0.43420937500000534</v>
      </c>
      <c r="Y824">
        <f>TREND(H821:H825,G821:G825,G824)</f>
        <v>70.252644895219717</v>
      </c>
      <c r="Z824">
        <f>ABS((Y824-H824)/80*100)</f>
        <v>9.6303255975360713E-2</v>
      </c>
      <c r="AE824">
        <f>ABS(P851-P823)</f>
        <v>0.11221249999999294</v>
      </c>
      <c r="AH824">
        <f>H824-AG821</f>
        <v>70.210207499999996</v>
      </c>
      <c r="AI824">
        <f>100*(AH824-O824)/80</f>
        <v>0.28485937499999281</v>
      </c>
    </row>
    <row r="825" spans="1:41" x14ac:dyDescent="0.35">
      <c r="A825" t="s">
        <v>256</v>
      </c>
      <c r="B825" t="s">
        <v>231</v>
      </c>
      <c r="C825" t="s">
        <v>430</v>
      </c>
      <c r="D825">
        <v>25</v>
      </c>
      <c r="E825">
        <v>25</v>
      </c>
      <c r="F825">
        <v>1</v>
      </c>
      <c r="G825">
        <v>0.99944999999999995</v>
      </c>
      <c r="H825">
        <v>90.315624999999997</v>
      </c>
      <c r="J825">
        <v>-6117</v>
      </c>
      <c r="N825" t="s">
        <v>183</v>
      </c>
      <c r="O825">
        <f t="shared" si="36"/>
        <v>89.977999999999994</v>
      </c>
      <c r="P825">
        <f t="shared" si="37"/>
        <v>0.42203125000000341</v>
      </c>
      <c r="Q825">
        <f t="shared" si="38"/>
        <v>0.42203125000000341</v>
      </c>
      <c r="Y825">
        <f>TREND(H821:H825,G821:G825,G825)</f>
        <v>90.322395521972453</v>
      </c>
      <c r="Z825">
        <f>ABS((Y825-H825)/80*100)</f>
        <v>8.4631524655698342E-3</v>
      </c>
      <c r="AE825">
        <f>ABS(P852-P824)</f>
        <v>6.4406249999926501E-3</v>
      </c>
      <c r="AH825">
        <f>H825-AG821</f>
        <v>90.196145000000001</v>
      </c>
      <c r="AI825">
        <f>100*(AH825-O825)/80</f>
        <v>0.27268125000000865</v>
      </c>
    </row>
    <row r="826" spans="1:41" x14ac:dyDescent="0.35">
      <c r="A826" t="s">
        <v>256</v>
      </c>
      <c r="B826" t="s">
        <v>231</v>
      </c>
      <c r="C826" t="s">
        <v>467</v>
      </c>
      <c r="D826">
        <v>25</v>
      </c>
      <c r="E826">
        <v>25</v>
      </c>
      <c r="F826">
        <v>0</v>
      </c>
      <c r="G826">
        <v>7.1000000000000005E-5</v>
      </c>
      <c r="H826">
        <v>50.114062500000003</v>
      </c>
      <c r="J826">
        <v>-6117</v>
      </c>
      <c r="N826" t="s">
        <v>183</v>
      </c>
      <c r="O826">
        <f t="shared" si="36"/>
        <v>50.002839999999999</v>
      </c>
      <c r="P826">
        <f t="shared" si="37"/>
        <v>0.13902812500000472</v>
      </c>
      <c r="Q826">
        <f t="shared" si="38"/>
        <v>0.13902812500000472</v>
      </c>
      <c r="Y826">
        <f>TREND(H821:H825,G821:G825,G826)</f>
        <v>50.19915427863684</v>
      </c>
      <c r="Z826">
        <f>ABS((Y826-H826)/80*100)</f>
        <v>0.10636472329604631</v>
      </c>
      <c r="AE826">
        <f>ABS(P853-P825)</f>
        <v>1.440312499999763E-2</v>
      </c>
      <c r="AH826">
        <f>H826-AG821</f>
        <v>49.9945825</v>
      </c>
      <c r="AI826">
        <f>100*(AH826-O826)/80</f>
        <v>-1.0321874999998926E-2</v>
      </c>
    </row>
    <row r="827" spans="1:41" x14ac:dyDescent="0.35">
      <c r="A827" t="s">
        <v>256</v>
      </c>
      <c r="B827" t="s">
        <v>231</v>
      </c>
      <c r="C827" t="s">
        <v>504</v>
      </c>
      <c r="D827">
        <v>25</v>
      </c>
      <c r="E827">
        <v>25</v>
      </c>
      <c r="F827">
        <v>-1</v>
      </c>
      <c r="G827">
        <v>-0.99990500000000004</v>
      </c>
      <c r="H827">
        <v>10.098437499999999</v>
      </c>
      <c r="J827">
        <v>-6117</v>
      </c>
      <c r="N827" t="s">
        <v>183</v>
      </c>
      <c r="O827">
        <f t="shared" si="36"/>
        <v>10.003799999999998</v>
      </c>
      <c r="P827">
        <f t="shared" si="37"/>
        <v>0.1182968750000013</v>
      </c>
      <c r="Q827">
        <f t="shared" si="38"/>
        <v>0.1182968750000013</v>
      </c>
      <c r="Y827">
        <f>TREND(H821:H825,G821:G825,G827)</f>
        <v>10.05194457586564</v>
      </c>
      <c r="Z827">
        <f>ABS((Y827-H827)/80*100)</f>
        <v>5.8116155167948762E-2</v>
      </c>
      <c r="AE827">
        <f>ABS(P854-P826)</f>
        <v>0.12669687499998972</v>
      </c>
      <c r="AH827">
        <f>H827-AG821</f>
        <v>9.9789574999999964</v>
      </c>
      <c r="AI827">
        <f>100*(AH827-O827)/80</f>
        <v>-3.1053125000002346E-2</v>
      </c>
    </row>
    <row r="828" spans="1:41" x14ac:dyDescent="0.35">
      <c r="A828" t="s">
        <v>256</v>
      </c>
      <c r="B828" t="s">
        <v>231</v>
      </c>
      <c r="C828" t="s">
        <v>541</v>
      </c>
      <c r="D828">
        <v>-20</v>
      </c>
      <c r="E828">
        <v>-20.2</v>
      </c>
      <c r="F828">
        <v>-1</v>
      </c>
      <c r="G828">
        <v>-1.0002150000000001</v>
      </c>
      <c r="H828">
        <v>10.353125</v>
      </c>
      <c r="J828">
        <v>-24536</v>
      </c>
      <c r="N828" t="s">
        <v>183</v>
      </c>
      <c r="O828">
        <f t="shared" si="36"/>
        <v>9.991399999999997</v>
      </c>
      <c r="P828">
        <f t="shared" si="37"/>
        <v>0.45215625000000426</v>
      </c>
      <c r="Q828">
        <f t="shared" si="38"/>
        <v>0.45215625000000426</v>
      </c>
      <c r="S828">
        <v>50.418750000000003</v>
      </c>
      <c r="T828">
        <v>0.55013750000000528</v>
      </c>
      <c r="U828">
        <v>90.373437499999994</v>
      </c>
      <c r="V828">
        <v>0.46594687500000731</v>
      </c>
      <c r="W828">
        <v>80.020310974121088</v>
      </c>
      <c r="X828">
        <f>(W828-80)/80*100</f>
        <v>2.5388717651360082E-2</v>
      </c>
      <c r="Y828">
        <f>TREND(H828:H832,G828:G832,G828)</f>
        <v>10.369957473272351</v>
      </c>
      <c r="Z828">
        <f>ABS((Y828-H828)/80*100)</f>
        <v>2.1040591590437696E-2</v>
      </c>
      <c r="AA828">
        <f>MAX(Z828:Z832)</f>
        <v>0.13352967811510297</v>
      </c>
      <c r="AB828">
        <f>IF(ABS(MAX(P828:P834)) &gt; ABS(MIN(P828:P834)),MAX(P828:P834), MIN(P828:P834))</f>
        <v>0.68029062499999071</v>
      </c>
      <c r="AC828">
        <f>IF(ABS(AB829)&gt;ABS(AB828),AB829,AB828)</f>
        <v>0.68029062499999071</v>
      </c>
      <c r="AE828">
        <f>ABS(P855-P827)</f>
        <v>0.13972187499999622</v>
      </c>
      <c r="AH828">
        <f>H828-AG821</f>
        <v>10.233644999999997</v>
      </c>
      <c r="AI828">
        <f>100*(AH828-O828)/80</f>
        <v>0.30280625000000061</v>
      </c>
      <c r="AJ828">
        <v>50.29927</v>
      </c>
      <c r="AK828">
        <v>0.40078750000000163</v>
      </c>
      <c r="AL828">
        <v>90.253957499999984</v>
      </c>
      <c r="AM828">
        <v>0.31659687499999478</v>
      </c>
      <c r="AN828">
        <f>IF(ABS(MAX(AI828:AI834)) &gt; ABS(MIN(AI828:AI834)),MAX(AI828:AI834), MIN(AI828:AI834))</f>
        <v>0.53094062499997818</v>
      </c>
      <c r="AO828">
        <f>IF(ABS(AN829)&gt;ABS(AN828),AN829,AN828)</f>
        <v>0.53094062499997818</v>
      </c>
    </row>
    <row r="829" spans="1:41" x14ac:dyDescent="0.35">
      <c r="A829" t="s">
        <v>256</v>
      </c>
      <c r="B829" t="s">
        <v>231</v>
      </c>
      <c r="C829" t="s">
        <v>578</v>
      </c>
      <c r="D829">
        <v>-20</v>
      </c>
      <c r="E829">
        <v>-19.899999999999999</v>
      </c>
      <c r="F829">
        <v>-0.5</v>
      </c>
      <c r="G829">
        <v>-0.49983899999999998</v>
      </c>
      <c r="H829">
        <v>30.376562499999999</v>
      </c>
      <c r="J829">
        <v>-24558</v>
      </c>
      <c r="N829" t="s">
        <v>183</v>
      </c>
      <c r="O829">
        <f t="shared" si="36"/>
        <v>30.006440000000005</v>
      </c>
      <c r="P829">
        <f t="shared" si="37"/>
        <v>0.46265312499999212</v>
      </c>
      <c r="Q829">
        <f t="shared" si="38"/>
        <v>0.46265312499999212</v>
      </c>
      <c r="Y829">
        <f>TREND(H828:H832,G828:G832,G829)</f>
        <v>30.40462615331241</v>
      </c>
      <c r="Z829">
        <f>ABS((Y829-H829)/80*100)</f>
        <v>3.5079566640514592E-2</v>
      </c>
      <c r="AB829">
        <f>IF(ABS(T828) &gt; ABS(V828),T828,V828)</f>
        <v>0.55013750000000528</v>
      </c>
      <c r="AE829">
        <f>ABS(P877-P821)</f>
        <v>3.5049999999994252E-2</v>
      </c>
      <c r="AH829">
        <f>H829-AG821</f>
        <v>30.257082499999996</v>
      </c>
      <c r="AI829">
        <f>100*(AH829-O829)/80</f>
        <v>0.31330312499998847</v>
      </c>
      <c r="AN829">
        <f>IF(ABS(AK828) &gt; ABS(AM828),AK828,AM828)</f>
        <v>0.40078750000000163</v>
      </c>
    </row>
    <row r="830" spans="1:41" x14ac:dyDescent="0.35">
      <c r="A830" t="s">
        <v>256</v>
      </c>
      <c r="B830" t="s">
        <v>231</v>
      </c>
      <c r="C830" t="s">
        <v>615</v>
      </c>
      <c r="D830">
        <v>-20</v>
      </c>
      <c r="E830">
        <v>-20.100000000000001</v>
      </c>
      <c r="F830">
        <v>0</v>
      </c>
      <c r="G830">
        <v>-5.3399999999999997E-4</v>
      </c>
      <c r="H830">
        <v>50.418750000000003</v>
      </c>
      <c r="J830">
        <v>-24582</v>
      </c>
      <c r="N830" t="s">
        <v>183</v>
      </c>
      <c r="O830">
        <f t="shared" si="36"/>
        <v>49.978639999999999</v>
      </c>
      <c r="P830">
        <f t="shared" si="37"/>
        <v>0.55013750000000528</v>
      </c>
      <c r="Q830">
        <f t="shared" si="38"/>
        <v>0.55013750000000528</v>
      </c>
      <c r="Y830">
        <f>TREND(H828:H832,G828:G832,G830)</f>
        <v>50.396412820313621</v>
      </c>
      <c r="Z830">
        <f>ABS((Y830-H830)/80*100)</f>
        <v>2.7921474607977004E-2</v>
      </c>
      <c r="AE830">
        <f>ABS(P878-P822)</f>
        <v>6.9753125000002747E-2</v>
      </c>
      <c r="AH830">
        <f>H830-AG821</f>
        <v>50.29927</v>
      </c>
      <c r="AI830">
        <f>100*(AH830-O830)/80</f>
        <v>0.40078750000000163</v>
      </c>
    </row>
    <row r="831" spans="1:41" x14ac:dyDescent="0.35">
      <c r="A831" t="s">
        <v>256</v>
      </c>
      <c r="B831" t="s">
        <v>231</v>
      </c>
      <c r="C831" t="s">
        <v>650</v>
      </c>
      <c r="D831">
        <v>-20</v>
      </c>
      <c r="E831">
        <v>-19.899999999999999</v>
      </c>
      <c r="F831">
        <v>0.5</v>
      </c>
      <c r="G831">
        <v>0.500027</v>
      </c>
      <c r="H831">
        <v>70.545312499999994</v>
      </c>
      <c r="J831">
        <v>-24595</v>
      </c>
      <c r="N831" t="s">
        <v>183</v>
      </c>
      <c r="O831">
        <f t="shared" si="36"/>
        <v>70.001080000000002</v>
      </c>
      <c r="P831">
        <f t="shared" si="37"/>
        <v>0.68029062499999071</v>
      </c>
      <c r="Q831">
        <f t="shared" si="38"/>
        <v>0.68029062499999071</v>
      </c>
      <c r="Y831">
        <f>TREND(H828:H832,G828:G832,G831)</f>
        <v>70.438488757507912</v>
      </c>
      <c r="Z831">
        <f>ABS((Y831-H831)/80*100)</f>
        <v>0.13352967811510297</v>
      </c>
      <c r="AE831">
        <f>ABS(P879-P823)</f>
        <v>6.2875000000000014E-2</v>
      </c>
      <c r="AH831">
        <f>H831-AG821</f>
        <v>70.425832499999984</v>
      </c>
      <c r="AI831">
        <f>100*(AH831-O831)/80</f>
        <v>0.53094062499997818</v>
      </c>
    </row>
    <row r="832" spans="1:41" x14ac:dyDescent="0.35">
      <c r="A832" t="s">
        <v>256</v>
      </c>
      <c r="B832" t="s">
        <v>231</v>
      </c>
      <c r="C832" t="s">
        <v>687</v>
      </c>
      <c r="D832">
        <v>-20</v>
      </c>
      <c r="E832">
        <v>-19.8</v>
      </c>
      <c r="F832">
        <v>1</v>
      </c>
      <c r="G832">
        <v>1.0000169999999999</v>
      </c>
      <c r="H832">
        <v>90.373437499999994</v>
      </c>
      <c r="J832">
        <v>-24604</v>
      </c>
      <c r="N832" t="s">
        <v>183</v>
      </c>
      <c r="O832">
        <f t="shared" si="36"/>
        <v>90.000679999999988</v>
      </c>
      <c r="P832">
        <f t="shared" si="37"/>
        <v>0.46594687500000731</v>
      </c>
      <c r="Q832">
        <f t="shared" si="38"/>
        <v>0.46594687500000731</v>
      </c>
      <c r="Y832">
        <f>TREND(H828:H832,G828:G832,G832)</f>
        <v>90.45770229559372</v>
      </c>
      <c r="Z832">
        <f>ABS((Y832-H832)/80*100)</f>
        <v>0.10533099449215656</v>
      </c>
      <c r="AE832">
        <f>ABS(P880-P824)</f>
        <v>0.21791562500000694</v>
      </c>
      <c r="AH832">
        <f>H832-AG821</f>
        <v>90.253957499999984</v>
      </c>
      <c r="AI832">
        <f>100*(AH832-O832)/80</f>
        <v>0.31659687499999478</v>
      </c>
    </row>
    <row r="833" spans="1:41" x14ac:dyDescent="0.35">
      <c r="A833" t="s">
        <v>256</v>
      </c>
      <c r="B833" t="s">
        <v>231</v>
      </c>
      <c r="C833" t="s">
        <v>724</v>
      </c>
      <c r="D833">
        <v>-20</v>
      </c>
      <c r="E833">
        <v>-20.100000000000001</v>
      </c>
      <c r="F833">
        <v>0</v>
      </c>
      <c r="G833">
        <v>9.2999999999999997E-5</v>
      </c>
      <c r="H833">
        <v>50.381250000000001</v>
      </c>
      <c r="J833">
        <v>-24639</v>
      </c>
      <c r="N833" t="s">
        <v>183</v>
      </c>
      <c r="O833">
        <f t="shared" si="36"/>
        <v>50.003719999999994</v>
      </c>
      <c r="P833">
        <f t="shared" si="37"/>
        <v>0.47191250000000906</v>
      </c>
      <c r="Q833">
        <f t="shared" si="38"/>
        <v>0.47191250000000906</v>
      </c>
      <c r="Y833">
        <f>TREND(H828:H832,G828:G832,G833)</f>
        <v>50.421517416182297</v>
      </c>
      <c r="Z833">
        <f>ABS((Y833-H833)/80*100)</f>
        <v>5.0334270227869737E-2</v>
      </c>
      <c r="AE833">
        <f>ABS(P881-P825)</f>
        <v>6.6759374999989518E-2</v>
      </c>
      <c r="AH833">
        <f>H833-AG821</f>
        <v>50.261769999999999</v>
      </c>
      <c r="AI833">
        <f>100*(AH833-O833)/80</f>
        <v>0.32256250000000541</v>
      </c>
    </row>
    <row r="834" spans="1:41" x14ac:dyDescent="0.35">
      <c r="A834" t="s">
        <v>256</v>
      </c>
      <c r="B834" t="s">
        <v>231</v>
      </c>
      <c r="C834" t="s">
        <v>759</v>
      </c>
      <c r="D834">
        <v>-20</v>
      </c>
      <c r="E834">
        <v>-20</v>
      </c>
      <c r="F834">
        <v>-1</v>
      </c>
      <c r="G834">
        <v>-1.0001439999999999</v>
      </c>
      <c r="H834">
        <v>10.254687499999999</v>
      </c>
      <c r="J834">
        <v>-24647</v>
      </c>
      <c r="N834" t="s">
        <v>183</v>
      </c>
      <c r="O834">
        <f t="shared" si="36"/>
        <v>9.9942400000000031</v>
      </c>
      <c r="P834">
        <f t="shared" si="37"/>
        <v>0.32555937499999521</v>
      </c>
      <c r="Q834">
        <f t="shared" si="38"/>
        <v>0.32555937499999521</v>
      </c>
      <c r="Y834">
        <f>TREND(H828:H832,G828:G832,G834)</f>
        <v>10.372800258450468</v>
      </c>
      <c r="Z834">
        <f>ABS((Y834-H834)/80*100)</f>
        <v>0.14764094806308581</v>
      </c>
      <c r="AE834">
        <f>ABS(P882-P826)</f>
        <v>7.5590624999994915E-2</v>
      </c>
      <c r="AH834">
        <f>H834-AG821</f>
        <v>10.135207499999996</v>
      </c>
      <c r="AI834">
        <f>100*(AH834-O834)/80</f>
        <v>0.17620937499999156</v>
      </c>
    </row>
    <row r="835" spans="1:41" x14ac:dyDescent="0.35">
      <c r="A835" t="s">
        <v>256</v>
      </c>
      <c r="B835" t="s">
        <v>231</v>
      </c>
      <c r="C835" t="s">
        <v>796</v>
      </c>
      <c r="D835">
        <v>0</v>
      </c>
      <c r="E835">
        <v>0</v>
      </c>
      <c r="F835">
        <v>-1</v>
      </c>
      <c r="G835">
        <v>-1.000049</v>
      </c>
      <c r="H835">
        <v>10.3</v>
      </c>
      <c r="J835">
        <v>-16874</v>
      </c>
      <c r="N835" t="s">
        <v>183</v>
      </c>
      <c r="O835">
        <f t="shared" si="36"/>
        <v>9.9980400000000014</v>
      </c>
      <c r="P835">
        <f t="shared" si="37"/>
        <v>0.37744999999999918</v>
      </c>
      <c r="Q835">
        <f t="shared" si="38"/>
        <v>0.37744999999999918</v>
      </c>
      <c r="S835">
        <v>50.356250000000003</v>
      </c>
      <c r="T835">
        <v>0.46506250000000193</v>
      </c>
      <c r="U835">
        <v>90.385937499999997</v>
      </c>
      <c r="V835">
        <v>0.50387187500000152</v>
      </c>
      <c r="W835">
        <v>80.085940551757815</v>
      </c>
      <c r="X835">
        <f>(W835-80)/80*100</f>
        <v>0.10742568969726919</v>
      </c>
      <c r="Y835">
        <f>TREND(H835:H839,G835:G839,G835)</f>
        <v>10.27648621959721</v>
      </c>
      <c r="Z835">
        <f>ABS((Y835-H835)/80*100)</f>
        <v>2.9392225503488412E-2</v>
      </c>
      <c r="AA835">
        <f>MAX(Z835:Z839)</f>
        <v>7.2490335418073926E-2</v>
      </c>
      <c r="AB835">
        <f>IF(ABS(MAX(P835:P841)) &gt; ABS(MIN(P835:P841)),MAX(P835:P841), MIN(P835:P841))</f>
        <v>0.54840000000000444</v>
      </c>
      <c r="AC835">
        <f>IF(ABS(AB836)&gt;ABS(AB835),AB836,AB835)</f>
        <v>0.54840000000000444</v>
      </c>
      <c r="AE835">
        <f>ABS(P883-P827)</f>
        <v>7.3125000000000551E-2</v>
      </c>
      <c r="AH835">
        <f>H835-AG821</f>
        <v>10.180519999999998</v>
      </c>
      <c r="AI835">
        <f>100*(AH835-O835)/80</f>
        <v>0.22809999999999553</v>
      </c>
      <c r="AJ835">
        <v>50.23677</v>
      </c>
      <c r="AK835">
        <v>0.31571249999999829</v>
      </c>
      <c r="AL835">
        <v>90.266457500000001</v>
      </c>
      <c r="AM835">
        <v>0.35452187500000676</v>
      </c>
      <c r="AN835">
        <f>IF(ABS(MAX(AI835:AI841)) &gt; ABS(MIN(AI835:AI841)),MAX(AI835:AI841), MIN(AI835:AI841))</f>
        <v>0.39905000000000967</v>
      </c>
      <c r="AO835">
        <f>IF(ABS(AN836)&gt;ABS(AN835),AN836,AN835)</f>
        <v>0.39905000000000967</v>
      </c>
    </row>
    <row r="836" spans="1:41" x14ac:dyDescent="0.35">
      <c r="A836" t="s">
        <v>256</v>
      </c>
      <c r="B836" t="s">
        <v>231</v>
      </c>
      <c r="C836" t="s">
        <v>833</v>
      </c>
      <c r="D836">
        <v>0</v>
      </c>
      <c r="E836">
        <v>0.1</v>
      </c>
      <c r="F836">
        <v>-0.5</v>
      </c>
      <c r="G836">
        <v>-0.50002199999999997</v>
      </c>
      <c r="H836">
        <v>30.2578125</v>
      </c>
      <c r="J836">
        <v>-16867</v>
      </c>
      <c r="N836" t="s">
        <v>183</v>
      </c>
      <c r="O836">
        <f t="shared" si="36"/>
        <v>29.999120000000001</v>
      </c>
      <c r="P836">
        <f t="shared" si="37"/>
        <v>0.32336562499999832</v>
      </c>
      <c r="Q836">
        <f t="shared" si="38"/>
        <v>0.32336562499999832</v>
      </c>
      <c r="Y836">
        <f>TREND(H835:H839,G835:G839,G836)</f>
        <v>30.315804768334459</v>
      </c>
      <c r="Z836">
        <f>ABS((Y836-H836)/80*100)</f>
        <v>7.2490335418073926E-2</v>
      </c>
      <c r="AB836">
        <f>IF(ABS(T835) &gt; ABS(V835),T835,V835)</f>
        <v>0.50387187500000152</v>
      </c>
      <c r="AE836">
        <f>ABS(P877-P849)</f>
        <v>0.17388124999999643</v>
      </c>
      <c r="AH836">
        <f>H836-AG821</f>
        <v>30.138332499999997</v>
      </c>
      <c r="AI836">
        <f>100*(AH836-O836)/80</f>
        <v>0.17401562499999468</v>
      </c>
      <c r="AN836">
        <f>IF(ABS(AK835) &gt; ABS(AM835),AK835,AM835)</f>
        <v>0.35452187500000676</v>
      </c>
    </row>
    <row r="837" spans="1:41" x14ac:dyDescent="0.35">
      <c r="A837" t="s">
        <v>256</v>
      </c>
      <c r="B837" t="s">
        <v>231</v>
      </c>
      <c r="C837" t="s">
        <v>868</v>
      </c>
      <c r="D837">
        <v>0</v>
      </c>
      <c r="E837">
        <v>0</v>
      </c>
      <c r="F837">
        <v>0</v>
      </c>
      <c r="G837">
        <v>-3.9500000000000001E-4</v>
      </c>
      <c r="H837">
        <v>50.356250000000003</v>
      </c>
      <c r="J837">
        <v>-16844</v>
      </c>
      <c r="N837" t="s">
        <v>183</v>
      </c>
      <c r="O837">
        <f t="shared" si="36"/>
        <v>49.984200000000001</v>
      </c>
      <c r="P837">
        <f t="shared" si="37"/>
        <v>0.46506250000000193</v>
      </c>
      <c r="Q837">
        <f t="shared" si="38"/>
        <v>0.46506250000000193</v>
      </c>
      <c r="Y837">
        <f>TREND(H835:H839,G835:G839,G837)</f>
        <v>50.339092727884527</v>
      </c>
      <c r="Z837">
        <f>ABS((Y837-H837)/80*100)</f>
        <v>2.1446590144345024E-2</v>
      </c>
      <c r="AE837">
        <f>ABS(P878-P850)</f>
        <v>0.16638125000000503</v>
      </c>
      <c r="AH837">
        <f>H837-AG821</f>
        <v>50.23677</v>
      </c>
      <c r="AI837">
        <f>100*(AH837-O837)/80</f>
        <v>0.31571249999999829</v>
      </c>
    </row>
    <row r="838" spans="1:41" x14ac:dyDescent="0.35">
      <c r="A838" t="s">
        <v>256</v>
      </c>
      <c r="B838" t="s">
        <v>231</v>
      </c>
      <c r="C838" t="s">
        <v>905</v>
      </c>
      <c r="D838">
        <v>0</v>
      </c>
      <c r="E838">
        <v>0</v>
      </c>
      <c r="F838">
        <v>0.5</v>
      </c>
      <c r="G838">
        <v>0.49965700000000002</v>
      </c>
      <c r="H838">
        <v>70.424999999999997</v>
      </c>
      <c r="J838">
        <v>-16826</v>
      </c>
      <c r="N838" t="s">
        <v>183</v>
      </c>
      <c r="O838">
        <f t="shared" si="36"/>
        <v>69.986279999999994</v>
      </c>
      <c r="P838">
        <f t="shared" si="37"/>
        <v>0.54840000000000444</v>
      </c>
      <c r="Q838">
        <f t="shared" si="38"/>
        <v>0.54840000000000444</v>
      </c>
      <c r="Y838">
        <f>TREND(H835:H839,G835:G839,G838)</f>
        <v>70.379413188445966</v>
      </c>
      <c r="Z838">
        <f>ABS((Y838-H838)/80*100)</f>
        <v>5.6983514442539011E-2</v>
      </c>
      <c r="AE838">
        <f>ABS(P879-P851)</f>
        <v>0.17508749999999296</v>
      </c>
      <c r="AH838">
        <f>H838-AG821</f>
        <v>70.305520000000001</v>
      </c>
      <c r="AI838">
        <f>100*(AH838-O838)/80</f>
        <v>0.39905000000000967</v>
      </c>
    </row>
    <row r="839" spans="1:41" x14ac:dyDescent="0.35">
      <c r="A839" t="s">
        <v>256</v>
      </c>
      <c r="B839" t="s">
        <v>231</v>
      </c>
      <c r="C839" t="s">
        <v>942</v>
      </c>
      <c r="D839">
        <v>0</v>
      </c>
      <c r="E839">
        <v>0.1</v>
      </c>
      <c r="F839">
        <v>1</v>
      </c>
      <c r="G839">
        <v>0.99957099999999999</v>
      </c>
      <c r="H839">
        <v>90.385937499999997</v>
      </c>
      <c r="J839">
        <v>-16832</v>
      </c>
      <c r="N839" t="s">
        <v>183</v>
      </c>
      <c r="O839">
        <f t="shared" si="36"/>
        <v>89.982839999999996</v>
      </c>
      <c r="P839">
        <f t="shared" si="37"/>
        <v>0.50387187500000152</v>
      </c>
      <c r="Q839">
        <f t="shared" si="38"/>
        <v>0.50387187500000152</v>
      </c>
      <c r="Y839">
        <f>TREND(H835:H839,G835:G839,G839)</f>
        <v>90.414203095737832</v>
      </c>
      <c r="Z839">
        <f>ABS((Y839-H839)/80*100)</f>
        <v>3.5331994672294087E-2</v>
      </c>
      <c r="AE839">
        <f>ABS(P880-P852)</f>
        <v>0.22435624999999959</v>
      </c>
      <c r="AH839">
        <f>H839-AG821</f>
        <v>90.266457500000001</v>
      </c>
      <c r="AI839">
        <f>100*(AH839-O839)/80</f>
        <v>0.35452187500000676</v>
      </c>
    </row>
    <row r="840" spans="1:41" x14ac:dyDescent="0.35">
      <c r="A840" t="s">
        <v>256</v>
      </c>
      <c r="B840" t="s">
        <v>231</v>
      </c>
      <c r="C840" t="s">
        <v>979</v>
      </c>
      <c r="D840">
        <v>0</v>
      </c>
      <c r="E840">
        <v>-0.1</v>
      </c>
      <c r="F840">
        <v>0</v>
      </c>
      <c r="G840">
        <v>-7.7999999999999999E-5</v>
      </c>
      <c r="H840">
        <v>50.325000000000003</v>
      </c>
      <c r="J840">
        <v>-16817</v>
      </c>
      <c r="N840" t="s">
        <v>183</v>
      </c>
      <c r="O840">
        <f t="shared" si="36"/>
        <v>49.996879999999997</v>
      </c>
      <c r="P840">
        <f t="shared" si="37"/>
        <v>0.4101500000000069</v>
      </c>
      <c r="Q840">
        <f t="shared" si="38"/>
        <v>0.4101500000000069</v>
      </c>
      <c r="Y840">
        <f>TREND(H835:H839,G835:G839,G840)</f>
        <v>50.351796969815368</v>
      </c>
      <c r="Z840">
        <f>ABS((Y840-H840)/80*100)</f>
        <v>3.3496212269206183E-2</v>
      </c>
      <c r="AE840">
        <f>ABS(P881-P853)</f>
        <v>5.2356249999991888E-2</v>
      </c>
      <c r="AH840">
        <f>H840-AG821</f>
        <v>50.20552</v>
      </c>
      <c r="AI840">
        <f>100*(AH840-O840)/80</f>
        <v>0.26080000000000325</v>
      </c>
    </row>
    <row r="841" spans="1:41" x14ac:dyDescent="0.35">
      <c r="A841" t="s">
        <v>256</v>
      </c>
      <c r="B841" t="s">
        <v>231</v>
      </c>
      <c r="C841" t="s">
        <v>1014</v>
      </c>
      <c r="D841">
        <v>0</v>
      </c>
      <c r="E841">
        <v>0</v>
      </c>
      <c r="F841">
        <v>-1</v>
      </c>
      <c r="G841">
        <v>-1.000051</v>
      </c>
      <c r="H841">
        <v>10.1734375</v>
      </c>
      <c r="J841">
        <v>-16811</v>
      </c>
      <c r="N841" t="s">
        <v>183</v>
      </c>
      <c r="O841">
        <f t="shared" ref="O841:O904" si="39">(((G841--1)*(40))+10)</f>
        <v>9.9979599999999991</v>
      </c>
      <c r="P841">
        <f t="shared" ref="P841:P904" si="40">100*(H841-O841)/80</f>
        <v>0.21934687500000161</v>
      </c>
      <c r="Q841">
        <f t="shared" ref="Q841:Q904" si="41">ABS(P841)</f>
        <v>0.21934687500000161</v>
      </c>
      <c r="Y841">
        <f>TREND(H835:H839,G835:G839,G841)</f>
        <v>10.276406066651276</v>
      </c>
      <c r="Z841">
        <f>ABS((Y841-H841)/80*100)</f>
        <v>0.12871070831409481</v>
      </c>
      <c r="AE841">
        <f>ABS(P882-P854)</f>
        <v>0.20228749999998463</v>
      </c>
      <c r="AH841">
        <f>H841-AG821</f>
        <v>10.053957499999997</v>
      </c>
      <c r="AI841">
        <f>100*(AH841-O841)/80</f>
        <v>6.999687499999796E-2</v>
      </c>
    </row>
    <row r="842" spans="1:41" x14ac:dyDescent="0.35">
      <c r="A842" t="s">
        <v>256</v>
      </c>
      <c r="B842" t="s">
        <v>231</v>
      </c>
      <c r="C842" t="s">
        <v>1051</v>
      </c>
      <c r="D842">
        <v>10</v>
      </c>
      <c r="E842">
        <v>10</v>
      </c>
      <c r="F842">
        <v>-1</v>
      </c>
      <c r="G842">
        <v>-0.99984499999999998</v>
      </c>
      <c r="H842">
        <v>10.21875</v>
      </c>
      <c r="J842">
        <v>-12516</v>
      </c>
      <c r="N842" t="s">
        <v>183</v>
      </c>
      <c r="O842">
        <f t="shared" si="39"/>
        <v>10.0062</v>
      </c>
      <c r="P842">
        <f t="shared" si="40"/>
        <v>0.2656875000000003</v>
      </c>
      <c r="Q842">
        <f t="shared" si="41"/>
        <v>0.2656875000000003</v>
      </c>
      <c r="S842">
        <v>50.214062499999997</v>
      </c>
      <c r="T842">
        <v>0.2716781250000011</v>
      </c>
      <c r="U842">
        <v>90.384375000000006</v>
      </c>
      <c r="V842">
        <v>0.49471875000000054</v>
      </c>
      <c r="W842">
        <v>80.165626525878906</v>
      </c>
      <c r="X842">
        <f>(W842-80)/80*100</f>
        <v>0.20703315734863281</v>
      </c>
      <c r="Y842">
        <f>TREND(H842:H846,G842:G846,G842)</f>
        <v>10.177723694202513</v>
      </c>
      <c r="Z842">
        <f>ABS((Y842-H842)/80*100)</f>
        <v>5.1282882246859174E-2</v>
      </c>
      <c r="AA842">
        <f>MAX(Z842:Z846)</f>
        <v>7.5500506289269964E-2</v>
      </c>
      <c r="AB842">
        <f>IF(ABS(MAX(P842:P848)) &gt; ABS(MIN(P842:P848)),MAX(P842:P848), MIN(P842:P848))</f>
        <v>0.49471875000000054</v>
      </c>
      <c r="AC842">
        <f>IF(ABS(AB843)&gt;ABS(AB842),AB843,AB842)</f>
        <v>0.49471875000000054</v>
      </c>
      <c r="AE842">
        <f>ABS(P883-P855)</f>
        <v>0.21284687499999677</v>
      </c>
      <c r="AH842">
        <f>H842-AG821</f>
        <v>10.099269999999997</v>
      </c>
      <c r="AI842">
        <f>100*(AH842-O842)/80</f>
        <v>0.11633749999999665</v>
      </c>
      <c r="AJ842">
        <v>50.094582499999994</v>
      </c>
      <c r="AK842">
        <v>0.12232812499999746</v>
      </c>
      <c r="AL842">
        <v>90.264894999999996</v>
      </c>
      <c r="AM842">
        <v>0.34536874999998801</v>
      </c>
      <c r="AN842">
        <f>IF(ABS(MAX(AI842:AI848)) &gt; ABS(MIN(AI842:AI848)),MAX(AI842:AI848), MIN(AI842:AI848))</f>
        <v>0.34536874999998801</v>
      </c>
      <c r="AO842">
        <f>IF(ABS(AN843)&gt;ABS(AN842),AN843,AN842)</f>
        <v>0.34536874999998801</v>
      </c>
    </row>
    <row r="843" spans="1:41" x14ac:dyDescent="0.35">
      <c r="A843" t="s">
        <v>256</v>
      </c>
      <c r="B843" t="s">
        <v>231</v>
      </c>
      <c r="C843" t="s">
        <v>1086</v>
      </c>
      <c r="D843">
        <v>10</v>
      </c>
      <c r="E843">
        <v>10</v>
      </c>
      <c r="F843">
        <v>-0.5</v>
      </c>
      <c r="G843">
        <v>-0.50009700000000001</v>
      </c>
      <c r="H843">
        <v>30.1953125</v>
      </c>
      <c r="J843">
        <v>-12509</v>
      </c>
      <c r="N843" t="s">
        <v>183</v>
      </c>
      <c r="O843">
        <f t="shared" si="39"/>
        <v>29.996119999999998</v>
      </c>
      <c r="P843">
        <f t="shared" si="40"/>
        <v>0.24899062500000291</v>
      </c>
      <c r="Q843">
        <f t="shared" si="41"/>
        <v>0.24899062500000291</v>
      </c>
      <c r="Y843">
        <f>TREND(H842:H846,G842:G846,G843)</f>
        <v>30.220739115990796</v>
      </c>
      <c r="Z843">
        <f>ABS((Y843-H843)/80*100)</f>
        <v>3.1783269988494567E-2</v>
      </c>
      <c r="AB843">
        <f>IF(ABS(T842) &gt; ABS(V842),T842,V842)</f>
        <v>0.49471875000000054</v>
      </c>
      <c r="AH843">
        <f>H843-AG821</f>
        <v>30.075832499999997</v>
      </c>
      <c r="AI843">
        <f>100*(AH843-O843)/80</f>
        <v>9.9640624999999261E-2</v>
      </c>
      <c r="AN843">
        <f>IF(ABS(AK842) &gt; ABS(AM842),AK842,AM842)</f>
        <v>0.34536874999998801</v>
      </c>
    </row>
    <row r="844" spans="1:41" x14ac:dyDescent="0.35">
      <c r="A844" t="s">
        <v>256</v>
      </c>
      <c r="B844" t="s">
        <v>1111</v>
      </c>
      <c r="C844" t="s">
        <v>1124</v>
      </c>
      <c r="D844">
        <v>10</v>
      </c>
      <c r="E844">
        <v>10</v>
      </c>
      <c r="F844">
        <v>0</v>
      </c>
      <c r="G844">
        <v>-8.2000000000000001E-5</v>
      </c>
      <c r="H844">
        <v>50.214062499999997</v>
      </c>
      <c r="J844">
        <v>-12488</v>
      </c>
      <c r="N844" t="s">
        <v>183</v>
      </c>
      <c r="O844">
        <f t="shared" si="39"/>
        <v>49.996719999999996</v>
      </c>
      <c r="P844">
        <f t="shared" si="40"/>
        <v>0.2716781250000011</v>
      </c>
      <c r="Q844">
        <f t="shared" si="41"/>
        <v>0.2716781250000011</v>
      </c>
      <c r="Y844">
        <f>TREND(H842:H846,G842:G846,G844)</f>
        <v>50.274462905031413</v>
      </c>
      <c r="Z844">
        <f>ABS((Y844-H844)/80*100)</f>
        <v>7.5500506289269964E-2</v>
      </c>
      <c r="AH844">
        <f>H844-AG821</f>
        <v>50.094582499999994</v>
      </c>
      <c r="AI844">
        <f>100*(AH844-O844)/80</f>
        <v>0.12232812499999746</v>
      </c>
    </row>
    <row r="845" spans="1:41" x14ac:dyDescent="0.35">
      <c r="A845" t="s">
        <v>256</v>
      </c>
      <c r="B845" t="s">
        <v>1111</v>
      </c>
      <c r="C845" t="s">
        <v>1161</v>
      </c>
      <c r="D845">
        <v>10</v>
      </c>
      <c r="E845">
        <v>10</v>
      </c>
      <c r="F845">
        <v>0.5</v>
      </c>
      <c r="G845">
        <v>0.49992700000000001</v>
      </c>
      <c r="H845">
        <v>70.360937500000006</v>
      </c>
      <c r="J845">
        <v>-12470</v>
      </c>
      <c r="N845" t="s">
        <v>183</v>
      </c>
      <c r="O845">
        <f t="shared" si="39"/>
        <v>69.997079999999997</v>
      </c>
      <c r="P845">
        <f t="shared" si="40"/>
        <v>0.45482187500001103</v>
      </c>
      <c r="Q845">
        <f t="shared" si="41"/>
        <v>0.45482187500001103</v>
      </c>
      <c r="Y845">
        <f>TREND(H842:H846,G842:G846,G845)</f>
        <v>70.327946056605683</v>
      </c>
      <c r="Z845">
        <f>ABS((Y845-H845)/80*100)</f>
        <v>4.1239304242903785E-2</v>
      </c>
      <c r="AH845">
        <f>H845-AG821</f>
        <v>70.241457499999996</v>
      </c>
      <c r="AI845">
        <f>100*(AH845-O845)/80</f>
        <v>0.30547187499999851</v>
      </c>
    </row>
    <row r="846" spans="1:41" x14ac:dyDescent="0.35">
      <c r="A846" t="s">
        <v>256</v>
      </c>
      <c r="B846" t="s">
        <v>1111</v>
      </c>
      <c r="C846" t="s">
        <v>1198</v>
      </c>
      <c r="D846">
        <v>10</v>
      </c>
      <c r="E846">
        <v>10</v>
      </c>
      <c r="F846">
        <v>1</v>
      </c>
      <c r="G846">
        <v>0.99971500000000002</v>
      </c>
      <c r="H846">
        <v>90.384375000000006</v>
      </c>
      <c r="J846">
        <v>-12461</v>
      </c>
      <c r="N846" t="s">
        <v>183</v>
      </c>
      <c r="O846">
        <f t="shared" si="39"/>
        <v>89.988600000000005</v>
      </c>
      <c r="P846">
        <f t="shared" si="40"/>
        <v>0.49471875000000054</v>
      </c>
      <c r="Q846">
        <f t="shared" si="41"/>
        <v>0.49471875000000054</v>
      </c>
      <c r="Y846">
        <f>TREND(H842:H846,G842:G846,G846)</f>
        <v>90.372565728169604</v>
      </c>
      <c r="Z846">
        <f>ABS((Y846-H846)/80*100)</f>
        <v>1.4761589788001572E-2</v>
      </c>
      <c r="AH846">
        <f>H846-AG821</f>
        <v>90.264894999999996</v>
      </c>
      <c r="AI846">
        <f>100*(AH846-O846)/80</f>
        <v>0.34536874999998801</v>
      </c>
    </row>
    <row r="847" spans="1:41" x14ac:dyDescent="0.35">
      <c r="A847" t="s">
        <v>256</v>
      </c>
      <c r="B847" t="s">
        <v>1111</v>
      </c>
      <c r="C847" t="s">
        <v>1234</v>
      </c>
      <c r="D847">
        <v>10</v>
      </c>
      <c r="E847">
        <v>10</v>
      </c>
      <c r="F847">
        <v>0</v>
      </c>
      <c r="G847">
        <v>1.16E-4</v>
      </c>
      <c r="H847">
        <v>50.28125</v>
      </c>
      <c r="J847">
        <v>-12441</v>
      </c>
      <c r="N847" t="s">
        <v>183</v>
      </c>
      <c r="O847">
        <f t="shared" si="39"/>
        <v>50.004640000000002</v>
      </c>
      <c r="P847">
        <f t="shared" si="40"/>
        <v>0.34576249999999753</v>
      </c>
      <c r="Q847">
        <f t="shared" si="41"/>
        <v>0.34576249999999753</v>
      </c>
      <c r="Y847">
        <f>TREND(H842:H846,G842:G846,G847)</f>
        <v>50.282403941420782</v>
      </c>
      <c r="Z847">
        <f>ABS((Y847-H847)/80*100)</f>
        <v>1.4424267759771681E-3</v>
      </c>
      <c r="AH847">
        <f>H847-AG821</f>
        <v>50.161769999999997</v>
      </c>
      <c r="AI847">
        <f>100*(AH847-O847)/80</f>
        <v>0.19641249999999388</v>
      </c>
    </row>
    <row r="848" spans="1:41" x14ac:dyDescent="0.35">
      <c r="A848" t="s">
        <v>256</v>
      </c>
      <c r="B848" t="s">
        <v>1111</v>
      </c>
      <c r="C848" t="s">
        <v>1271</v>
      </c>
      <c r="D848">
        <v>10</v>
      </c>
      <c r="E848">
        <v>10</v>
      </c>
      <c r="F848">
        <v>-1</v>
      </c>
      <c r="G848">
        <v>-0.99990800000000002</v>
      </c>
      <c r="H848">
        <v>10.199999999999999</v>
      </c>
      <c r="J848">
        <v>-12437</v>
      </c>
      <c r="N848" t="s">
        <v>183</v>
      </c>
      <c r="O848">
        <f t="shared" si="39"/>
        <v>10.003679999999999</v>
      </c>
      <c r="P848">
        <f t="shared" si="40"/>
        <v>0.24540000000000006</v>
      </c>
      <c r="Q848">
        <f t="shared" si="41"/>
        <v>0.24540000000000006</v>
      </c>
      <c r="Y848">
        <f>TREND(H842:H846,G842:G846,G848)</f>
        <v>10.175197000805888</v>
      </c>
      <c r="Z848">
        <f>ABS((Y848-H848)/80*100)</f>
        <v>3.1003748992639576E-2</v>
      </c>
      <c r="AH848">
        <f>H848-AG821</f>
        <v>10.080519999999996</v>
      </c>
      <c r="AI848">
        <f>100*(AH848-O848)/80</f>
        <v>9.6049999999996416E-2</v>
      </c>
    </row>
    <row r="849" spans="1:41" x14ac:dyDescent="0.35">
      <c r="A849" t="s">
        <v>256</v>
      </c>
      <c r="B849" t="s">
        <v>1111</v>
      </c>
      <c r="C849" t="s">
        <v>1307</v>
      </c>
      <c r="D849">
        <v>25</v>
      </c>
      <c r="E849">
        <v>25</v>
      </c>
      <c r="F849">
        <v>-1</v>
      </c>
      <c r="G849">
        <v>-0.99993299999999996</v>
      </c>
      <c r="H849">
        <v>10.21875</v>
      </c>
      <c r="J849">
        <v>-6341</v>
      </c>
      <c r="N849" t="s">
        <v>183</v>
      </c>
      <c r="O849">
        <f t="shared" si="39"/>
        <v>10.002680000000002</v>
      </c>
      <c r="P849">
        <f t="shared" si="40"/>
        <v>0.27008749999999804</v>
      </c>
      <c r="Q849">
        <f t="shared" si="41"/>
        <v>0.27008749999999804</v>
      </c>
      <c r="S849">
        <v>50.206249999999997</v>
      </c>
      <c r="T849">
        <v>0.26156249999999659</v>
      </c>
      <c r="U849">
        <v>90.339062499999997</v>
      </c>
      <c r="V849">
        <v>0.40762812500000578</v>
      </c>
      <c r="W849">
        <v>80.120315551757813</v>
      </c>
      <c r="X849">
        <f>(W849-80)/80*100</f>
        <v>0.15039443969726563</v>
      </c>
      <c r="Y849">
        <f>TREND(H849:H853,G849:G853,G849)</f>
        <v>10.16862262038903</v>
      </c>
      <c r="Z849">
        <f>ABS((Y849-H849)/80*100)</f>
        <v>6.265922451371253E-2</v>
      </c>
      <c r="AA849">
        <f>MAX(Z849:Z853)</f>
        <v>7.4461620795123196E-2</v>
      </c>
      <c r="AB849">
        <f>IF(ABS(MAX(P849:P855)) &gt; ABS(MIN(P849:P855)),MAX(P849:P855), MIN(P849:P855))</f>
        <v>0.44064999999999799</v>
      </c>
      <c r="AC849">
        <f>IF(ABS(AB850)&gt;ABS(AB849),AB850,AB849)</f>
        <v>0.44064999999999799</v>
      </c>
      <c r="AH849">
        <f>H849-AG821</f>
        <v>10.099269999999997</v>
      </c>
      <c r="AI849">
        <f>100*(AH849-O849)/80</f>
        <v>0.12073749999999439</v>
      </c>
      <c r="AJ849">
        <v>50.086769999999994</v>
      </c>
      <c r="AK849">
        <v>0.11221249999999294</v>
      </c>
      <c r="AL849">
        <v>90.219582500000001</v>
      </c>
      <c r="AM849">
        <v>0.25827812500001102</v>
      </c>
      <c r="AN849">
        <f>IF(ABS(MAX(AI849:AI855)) &gt; ABS(MIN(AI849:AI855)),MAX(AI849:AI855), MIN(AI849:AI855))</f>
        <v>0.29129999999998546</v>
      </c>
      <c r="AO849">
        <f>IF(ABS(AN850)&gt;ABS(AN849),AN850,AN849)</f>
        <v>0.29129999999998546</v>
      </c>
    </row>
    <row r="850" spans="1:41" x14ac:dyDescent="0.35">
      <c r="A850" t="s">
        <v>256</v>
      </c>
      <c r="B850" t="s">
        <v>1111</v>
      </c>
      <c r="C850" t="s">
        <v>1344</v>
      </c>
      <c r="D850">
        <v>25</v>
      </c>
      <c r="E850">
        <v>25</v>
      </c>
      <c r="F850">
        <v>-0.5</v>
      </c>
      <c r="G850">
        <v>-0.50009599999999998</v>
      </c>
      <c r="H850">
        <v>30.145312499999999</v>
      </c>
      <c r="J850">
        <v>-6319</v>
      </c>
      <c r="N850" t="s">
        <v>183</v>
      </c>
      <c r="O850">
        <f t="shared" si="39"/>
        <v>29.99616</v>
      </c>
      <c r="P850">
        <f t="shared" si="40"/>
        <v>0.18644062499999947</v>
      </c>
      <c r="Q850">
        <f t="shared" si="41"/>
        <v>0.18644062499999947</v>
      </c>
      <c r="Y850">
        <f>TREND(H849:H853,G849:G853,G850)</f>
        <v>30.204428514746475</v>
      </c>
      <c r="Z850">
        <f>ABS((Y850-H850)/80*100)</f>
        <v>7.3895018433094428E-2</v>
      </c>
      <c r="AB850">
        <f>IF(ABS(T849) &gt; ABS(V849),T849,V849)</f>
        <v>0.40762812500000578</v>
      </c>
      <c r="AH850">
        <f>H850-AG821</f>
        <v>30.025832499999996</v>
      </c>
      <c r="AI850">
        <f>100*(AH850-O850)/80</f>
        <v>3.7090624999995825E-2</v>
      </c>
      <c r="AN850">
        <f>IF(ABS(AK849) &gt; ABS(AM849),AK849,AM849)</f>
        <v>0.25827812500001102</v>
      </c>
    </row>
    <row r="851" spans="1:41" x14ac:dyDescent="0.35">
      <c r="A851" t="s">
        <v>256</v>
      </c>
      <c r="B851" t="s">
        <v>1111</v>
      </c>
      <c r="C851" t="s">
        <v>1380</v>
      </c>
      <c r="D851">
        <v>25</v>
      </c>
      <c r="E851">
        <v>25</v>
      </c>
      <c r="F851">
        <v>0</v>
      </c>
      <c r="G851">
        <v>-7.4999999999999993E-5</v>
      </c>
      <c r="H851">
        <v>50.206249999999997</v>
      </c>
      <c r="J851">
        <v>-6297</v>
      </c>
      <c r="N851" t="s">
        <v>183</v>
      </c>
      <c r="O851">
        <f t="shared" si="39"/>
        <v>49.997</v>
      </c>
      <c r="P851">
        <f t="shared" si="40"/>
        <v>0.26156249999999659</v>
      </c>
      <c r="Q851">
        <f t="shared" si="41"/>
        <v>0.26156249999999659</v>
      </c>
      <c r="Y851">
        <f>TREND(H849:H853,G849:G853,G851)</f>
        <v>50.247609990112458</v>
      </c>
      <c r="Z851">
        <f>ABS((Y851-H851)/80*100)</f>
        <v>5.1699987640576595E-2</v>
      </c>
      <c r="AH851">
        <f>H851-AG821</f>
        <v>50.086769999999994</v>
      </c>
      <c r="AI851">
        <f>100*(AH851-O851)/80</f>
        <v>0.11221249999999294</v>
      </c>
    </row>
    <row r="852" spans="1:41" x14ac:dyDescent="0.35">
      <c r="A852" t="s">
        <v>256</v>
      </c>
      <c r="B852" t="s">
        <v>1111</v>
      </c>
      <c r="C852" t="s">
        <v>1417</v>
      </c>
      <c r="D852">
        <v>25</v>
      </c>
      <c r="E852">
        <v>25</v>
      </c>
      <c r="F852">
        <v>0.5</v>
      </c>
      <c r="G852">
        <v>0.49993700000000002</v>
      </c>
      <c r="H852">
        <v>70.349999999999994</v>
      </c>
      <c r="J852">
        <v>-6286</v>
      </c>
      <c r="N852" t="s">
        <v>183</v>
      </c>
      <c r="O852">
        <f t="shared" si="39"/>
        <v>69.997479999999996</v>
      </c>
      <c r="P852">
        <f t="shared" si="40"/>
        <v>0.44064999999999799</v>
      </c>
      <c r="Q852">
        <f t="shared" si="41"/>
        <v>0.44064999999999799</v>
      </c>
      <c r="Y852">
        <f>TREND(H849:H853,G849:G853,G852)</f>
        <v>70.290430703363896</v>
      </c>
      <c r="Z852">
        <f>ABS((Y852-H852)/80*100)</f>
        <v>7.4461620795123196E-2</v>
      </c>
      <c r="AH852">
        <f>H852-AG821</f>
        <v>70.230519999999984</v>
      </c>
      <c r="AI852">
        <f>100*(AH852-O852)/80</f>
        <v>0.29129999999998546</v>
      </c>
    </row>
    <row r="853" spans="1:41" x14ac:dyDescent="0.35">
      <c r="A853" t="s">
        <v>256</v>
      </c>
      <c r="B853" t="s">
        <v>1111</v>
      </c>
      <c r="C853" t="s">
        <v>1453</v>
      </c>
      <c r="D853">
        <v>25</v>
      </c>
      <c r="E853">
        <v>25</v>
      </c>
      <c r="F853">
        <v>1</v>
      </c>
      <c r="G853">
        <v>1.000324</v>
      </c>
      <c r="H853">
        <v>90.339062499999997</v>
      </c>
      <c r="J853">
        <v>-6275</v>
      </c>
      <c r="N853" t="s">
        <v>183</v>
      </c>
      <c r="O853">
        <f t="shared" si="39"/>
        <v>90.012959999999993</v>
      </c>
      <c r="P853">
        <f t="shared" si="40"/>
        <v>0.40762812500000578</v>
      </c>
      <c r="Q853">
        <f t="shared" si="41"/>
        <v>0.40762812500000578</v>
      </c>
      <c r="Y853">
        <f>TREND(H849:H853,G849:G853,G853)</f>
        <v>90.348283171388147</v>
      </c>
      <c r="Z853">
        <f>ABS((Y853-H853)/80*100)</f>
        <v>1.1525839235186908E-2</v>
      </c>
      <c r="AH853">
        <f>H853-AG821</f>
        <v>90.219582500000001</v>
      </c>
      <c r="AI853">
        <f>100*(AH853-O853)/80</f>
        <v>0.25827812500001102</v>
      </c>
    </row>
    <row r="854" spans="1:41" x14ac:dyDescent="0.35">
      <c r="A854" t="s">
        <v>256</v>
      </c>
      <c r="B854" t="s">
        <v>1111</v>
      </c>
      <c r="C854" t="s">
        <v>1490</v>
      </c>
      <c r="D854">
        <v>25</v>
      </c>
      <c r="E854">
        <v>25</v>
      </c>
      <c r="F854">
        <v>0</v>
      </c>
      <c r="G854">
        <v>-1.9999999999999999E-6</v>
      </c>
      <c r="H854">
        <v>50.212499999999999</v>
      </c>
      <c r="J854">
        <v>-6273</v>
      </c>
      <c r="N854" t="s">
        <v>183</v>
      </c>
      <c r="O854">
        <f t="shared" si="39"/>
        <v>49.999920000000003</v>
      </c>
      <c r="P854">
        <f t="shared" si="40"/>
        <v>0.26572499999999444</v>
      </c>
      <c r="Q854">
        <f t="shared" si="41"/>
        <v>0.26572499999999444</v>
      </c>
      <c r="Y854">
        <f>TREND(H849:H853,G849:G853,G854)</f>
        <v>50.250536171708234</v>
      </c>
      <c r="Z854">
        <f>ABS((Y854-H854)/80*100)</f>
        <v>4.7545214635293931E-2</v>
      </c>
      <c r="AH854">
        <f>H854-AG821</f>
        <v>50.093019999999996</v>
      </c>
      <c r="AI854">
        <f>100*(AH854-O854)/80</f>
        <v>0.11637499999999079</v>
      </c>
    </row>
    <row r="855" spans="1:41" x14ac:dyDescent="0.35">
      <c r="A855" t="s">
        <v>256</v>
      </c>
      <c r="B855" t="s">
        <v>1111</v>
      </c>
      <c r="C855" t="s">
        <v>1527</v>
      </c>
      <c r="D855">
        <v>25</v>
      </c>
      <c r="E855">
        <v>25</v>
      </c>
      <c r="F855">
        <v>-1</v>
      </c>
      <c r="G855">
        <v>-0.99992599999999998</v>
      </c>
      <c r="H855">
        <v>10.209375</v>
      </c>
      <c r="J855">
        <v>-6259</v>
      </c>
      <c r="N855" t="s">
        <v>183</v>
      </c>
      <c r="O855">
        <f t="shared" si="39"/>
        <v>10.002960000000002</v>
      </c>
      <c r="P855">
        <f t="shared" si="40"/>
        <v>0.25801874999999752</v>
      </c>
      <c r="Q855">
        <f t="shared" si="41"/>
        <v>0.25801874999999752</v>
      </c>
      <c r="Y855">
        <f>TREND(H849:H853,G849:G853,G855)</f>
        <v>10.168903213144787</v>
      </c>
      <c r="Z855">
        <f>ABS((Y855-H855)/80*100)</f>
        <v>5.0589733569015305E-2</v>
      </c>
      <c r="AH855">
        <f>H855-AG821</f>
        <v>10.089894999999997</v>
      </c>
      <c r="AI855">
        <f>100*(AH855-O855)/80</f>
        <v>0.10866874999999387</v>
      </c>
    </row>
    <row r="856" spans="1:41" x14ac:dyDescent="0.35">
      <c r="A856" t="s">
        <v>256</v>
      </c>
      <c r="B856" t="s">
        <v>1111</v>
      </c>
      <c r="C856" t="s">
        <v>1564</v>
      </c>
      <c r="D856">
        <v>50</v>
      </c>
      <c r="E856">
        <v>50</v>
      </c>
      <c r="F856">
        <v>-1</v>
      </c>
      <c r="G856">
        <v>-1.000041</v>
      </c>
      <c r="H856">
        <v>10.1546875</v>
      </c>
      <c r="J856">
        <v>3773</v>
      </c>
      <c r="N856" t="s">
        <v>183</v>
      </c>
      <c r="O856">
        <f t="shared" si="39"/>
        <v>9.9983600000000017</v>
      </c>
      <c r="P856">
        <f t="shared" si="40"/>
        <v>0.19540937499999744</v>
      </c>
      <c r="Q856">
        <f t="shared" si="41"/>
        <v>0.19540937499999744</v>
      </c>
      <c r="S856">
        <v>50.214062499999997</v>
      </c>
      <c r="T856">
        <v>0.26487812499999208</v>
      </c>
      <c r="U856">
        <v>90.375</v>
      </c>
      <c r="V856">
        <v>0.45889999999999986</v>
      </c>
      <c r="W856">
        <v>80.220312500000006</v>
      </c>
      <c r="X856">
        <f>(W856-80)/80*100</f>
        <v>0.27539062500000711</v>
      </c>
      <c r="Y856">
        <f>TREND(H856:H860,G856:G860,G856)</f>
        <v>10.107557773655834</v>
      </c>
      <c r="Z856">
        <f>ABS((Y856-H856)/80*100)</f>
        <v>5.891215793020655E-2</v>
      </c>
      <c r="AA856">
        <f>MAX(Z856:Z860)</f>
        <v>7.0041233510775847E-2</v>
      </c>
      <c r="AB856">
        <f>IF(ABS(MAX(P856:P862)) &gt; ABS(MIN(P856:P862)),MAX(P856:P862), MIN(P856:P862))</f>
        <v>0.45889999999999986</v>
      </c>
      <c r="AC856">
        <f>IF(ABS(AB857)&gt;ABS(AB856),AB857,AB856)</f>
        <v>0.45889999999999986</v>
      </c>
      <c r="AH856">
        <f>H856-AG821</f>
        <v>10.035207499999997</v>
      </c>
      <c r="AI856">
        <f>100*(AH856-O856)/80</f>
        <v>4.6059374999993796E-2</v>
      </c>
      <c r="AJ856">
        <v>50.094582499999994</v>
      </c>
      <c r="AK856">
        <v>0.11552812499998844</v>
      </c>
      <c r="AL856">
        <v>90.25551999999999</v>
      </c>
      <c r="AM856">
        <v>0.30954999999998734</v>
      </c>
      <c r="AN856">
        <f>IF(ABS(MAX(AI856:AI862)) &gt; ABS(MIN(AI856:AI862)),MAX(AI856:AI862), MIN(AI856:AI862))</f>
        <v>0.30954999999998734</v>
      </c>
      <c r="AO856">
        <f>IF(ABS(AN857)&gt;ABS(AN856),AN857,AN856)</f>
        <v>0.30954999999998734</v>
      </c>
    </row>
    <row r="857" spans="1:41" x14ac:dyDescent="0.35">
      <c r="A857" t="s">
        <v>256</v>
      </c>
      <c r="B857" t="s">
        <v>1111</v>
      </c>
      <c r="C857" t="s">
        <v>1600</v>
      </c>
      <c r="D857">
        <v>50</v>
      </c>
      <c r="E857">
        <v>50</v>
      </c>
      <c r="F857">
        <v>-0.5</v>
      </c>
      <c r="G857">
        <v>-0.50016799999999995</v>
      </c>
      <c r="H857">
        <v>30.109375</v>
      </c>
      <c r="J857">
        <v>3814</v>
      </c>
      <c r="N857" t="s">
        <v>183</v>
      </c>
      <c r="O857">
        <f t="shared" si="39"/>
        <v>29.993280000000002</v>
      </c>
      <c r="P857">
        <f t="shared" si="40"/>
        <v>0.1451187499999973</v>
      </c>
      <c r="Q857">
        <f t="shared" si="41"/>
        <v>0.1451187499999973</v>
      </c>
      <c r="Y857">
        <f>TREND(H856:H860,G856:G860,G857)</f>
        <v>30.165407986808621</v>
      </c>
      <c r="Z857">
        <f>ABS((Y857-H857)/80*100)</f>
        <v>7.0041233510775847E-2</v>
      </c>
      <c r="AB857">
        <f>IF(ABS(T856) &gt; ABS(V856),T856,V856)</f>
        <v>0.45889999999999986</v>
      </c>
      <c r="AH857">
        <f>H857-AG821</f>
        <v>29.989894999999997</v>
      </c>
      <c r="AI857">
        <f>100*(AH857-O857)/80</f>
        <v>-4.231250000006348E-3</v>
      </c>
      <c r="AN857">
        <f>IF(ABS(AK856) &gt; ABS(AM856),AK856,AM856)</f>
        <v>0.30954999999998734</v>
      </c>
    </row>
    <row r="858" spans="1:41" x14ac:dyDescent="0.35">
      <c r="A858" t="s">
        <v>256</v>
      </c>
      <c r="B858" t="s">
        <v>1111</v>
      </c>
      <c r="C858" t="s">
        <v>1637</v>
      </c>
      <c r="D858">
        <v>50</v>
      </c>
      <c r="E858">
        <v>50</v>
      </c>
      <c r="F858">
        <v>0</v>
      </c>
      <c r="G858">
        <v>5.3999999999999998E-5</v>
      </c>
      <c r="H858">
        <v>50.214062499999997</v>
      </c>
      <c r="J858">
        <v>3838</v>
      </c>
      <c r="N858" t="s">
        <v>183</v>
      </c>
      <c r="O858">
        <f t="shared" si="39"/>
        <v>50.002160000000003</v>
      </c>
      <c r="P858">
        <f t="shared" si="40"/>
        <v>0.26487812499999208</v>
      </c>
      <c r="Q858">
        <f t="shared" si="41"/>
        <v>0.26487812499999208</v>
      </c>
      <c r="Y858">
        <f>TREND(H856:H860,G856:G860,G858)</f>
        <v>50.237262136410045</v>
      </c>
      <c r="Z858">
        <f>ABS((Y858-H858)/80*100)</f>
        <v>2.8999545512560232E-2</v>
      </c>
      <c r="AH858">
        <f>H858-AG821</f>
        <v>50.094582499999994</v>
      </c>
      <c r="AI858">
        <f>100*(AH858-O858)/80</f>
        <v>0.11552812499998844</v>
      </c>
    </row>
    <row r="859" spans="1:41" x14ac:dyDescent="0.35">
      <c r="A859" t="s">
        <v>256</v>
      </c>
      <c r="B859" t="s">
        <v>1111</v>
      </c>
      <c r="C859" t="s">
        <v>1674</v>
      </c>
      <c r="D859">
        <v>50</v>
      </c>
      <c r="E859">
        <v>50</v>
      </c>
      <c r="F859">
        <v>0.5</v>
      </c>
      <c r="G859">
        <v>0.50002400000000002</v>
      </c>
      <c r="H859">
        <v>70.325000000000003</v>
      </c>
      <c r="J859">
        <v>3871</v>
      </c>
      <c r="N859" t="s">
        <v>183</v>
      </c>
      <c r="O859">
        <f t="shared" si="39"/>
        <v>70.000959999999992</v>
      </c>
      <c r="P859">
        <f t="shared" si="40"/>
        <v>0.40505000000001345</v>
      </c>
      <c r="Q859">
        <f t="shared" si="41"/>
        <v>0.40505000000001345</v>
      </c>
      <c r="Y859">
        <f>TREND(H856:H860,G856:G860,G859)</f>
        <v>70.299004561125912</v>
      </c>
      <c r="Z859">
        <f>ABS((Y859-H859)/80*100)</f>
        <v>3.2494298592613546E-2</v>
      </c>
      <c r="AH859">
        <f>H859-AG821</f>
        <v>70.205520000000007</v>
      </c>
      <c r="AI859">
        <f>100*(AH859-O859)/80</f>
        <v>0.25570000000001869</v>
      </c>
    </row>
    <row r="860" spans="1:41" x14ac:dyDescent="0.35">
      <c r="A860" t="s">
        <v>256</v>
      </c>
      <c r="B860" t="s">
        <v>1111</v>
      </c>
      <c r="C860" t="s">
        <v>1711</v>
      </c>
      <c r="D860">
        <v>50</v>
      </c>
      <c r="E860">
        <v>50</v>
      </c>
      <c r="F860">
        <v>1</v>
      </c>
      <c r="G860">
        <v>1.000197</v>
      </c>
      <c r="H860">
        <v>90.375</v>
      </c>
      <c r="J860">
        <v>3880</v>
      </c>
      <c r="N860" t="s">
        <v>183</v>
      </c>
      <c r="O860">
        <f t="shared" si="39"/>
        <v>90.00788</v>
      </c>
      <c r="P860">
        <f t="shared" si="40"/>
        <v>0.45889999999999986</v>
      </c>
      <c r="Q860">
        <f t="shared" si="41"/>
        <v>0.45889999999999986</v>
      </c>
      <c r="Y860">
        <f>TREND(H856:H860,G856:G860,G860)</f>
        <v>90.3688925419996</v>
      </c>
      <c r="Z860">
        <f>ABS((Y860-H860)/80*100)</f>
        <v>7.6343225005004456E-3</v>
      </c>
      <c r="AH860">
        <f>H860-AG821</f>
        <v>90.25551999999999</v>
      </c>
      <c r="AI860">
        <f>100*(AH860-O860)/80</f>
        <v>0.30954999999998734</v>
      </c>
    </row>
    <row r="861" spans="1:41" x14ac:dyDescent="0.35">
      <c r="A861" t="s">
        <v>256</v>
      </c>
      <c r="B861" t="s">
        <v>1111</v>
      </c>
      <c r="C861" t="s">
        <v>1747</v>
      </c>
      <c r="D861">
        <v>50</v>
      </c>
      <c r="E861">
        <v>50</v>
      </c>
      <c r="F861">
        <v>0</v>
      </c>
      <c r="G861">
        <v>-9.2999999999999997E-5</v>
      </c>
      <c r="H861">
        <v>50.196874999999999</v>
      </c>
      <c r="J861">
        <v>3902</v>
      </c>
      <c r="N861" t="s">
        <v>183</v>
      </c>
      <c r="O861">
        <f t="shared" si="39"/>
        <v>49.996279999999999</v>
      </c>
      <c r="P861">
        <f t="shared" si="40"/>
        <v>0.25074374999999982</v>
      </c>
      <c r="Q861">
        <f t="shared" si="41"/>
        <v>0.25074374999999982</v>
      </c>
      <c r="Y861">
        <f>TREND(H856:H860,G856:G860,G861)</f>
        <v>50.231363630226809</v>
      </c>
      <c r="Z861">
        <f>ABS((Y861-H861)/80*100)</f>
        <v>4.3110787783513516E-2</v>
      </c>
      <c r="AH861">
        <f>H861-AG821</f>
        <v>50.077394999999996</v>
      </c>
      <c r="AI861">
        <f>100*(AH861-O861)/80</f>
        <v>0.10139374999999617</v>
      </c>
    </row>
    <row r="862" spans="1:41" x14ac:dyDescent="0.35">
      <c r="A862" t="s">
        <v>256</v>
      </c>
      <c r="B862" t="s">
        <v>1111</v>
      </c>
      <c r="C862" t="s">
        <v>1784</v>
      </c>
      <c r="D862">
        <v>50</v>
      </c>
      <c r="E862">
        <v>50</v>
      </c>
      <c r="F862">
        <v>-1</v>
      </c>
      <c r="G862">
        <v>-0.99996700000000005</v>
      </c>
      <c r="H862">
        <v>10.1859375</v>
      </c>
      <c r="J862">
        <v>3924</v>
      </c>
      <c r="N862" t="s">
        <v>183</v>
      </c>
      <c r="O862">
        <f t="shared" si="39"/>
        <v>10.001319999999998</v>
      </c>
      <c r="P862">
        <f t="shared" si="40"/>
        <v>0.23077187500000207</v>
      </c>
      <c r="Q862">
        <f t="shared" si="41"/>
        <v>0.23077187500000207</v>
      </c>
      <c r="Y862">
        <f>TREND(H856:H860,G856:G860,G862)</f>
        <v>10.110527089693647</v>
      </c>
      <c r="Z862">
        <f>ABS((Y862-H862)/80*100)</f>
        <v>9.4263012882940256E-2</v>
      </c>
      <c r="AH862">
        <f>H862-AG821</f>
        <v>10.066457499999997</v>
      </c>
      <c r="AI862">
        <f>100*(AH862-O862)/80</f>
        <v>8.1421874999998423E-2</v>
      </c>
    </row>
    <row r="863" spans="1:41" x14ac:dyDescent="0.35">
      <c r="A863" t="s">
        <v>256</v>
      </c>
      <c r="B863" t="s">
        <v>1111</v>
      </c>
      <c r="C863" t="s">
        <v>1821</v>
      </c>
      <c r="D863">
        <v>70</v>
      </c>
      <c r="E863">
        <v>70</v>
      </c>
      <c r="F863">
        <v>-1</v>
      </c>
      <c r="G863">
        <v>-0.99990100000000004</v>
      </c>
      <c r="H863">
        <v>10.25</v>
      </c>
      <c r="J863">
        <v>12060</v>
      </c>
      <c r="N863" t="s">
        <v>183</v>
      </c>
      <c r="O863">
        <f t="shared" si="39"/>
        <v>10.003959999999999</v>
      </c>
      <c r="P863">
        <f t="shared" si="40"/>
        <v>0.30755000000000088</v>
      </c>
      <c r="Q863">
        <f t="shared" si="41"/>
        <v>0.30755000000000088</v>
      </c>
      <c r="S863">
        <v>50.21875</v>
      </c>
      <c r="T863">
        <v>0.25983749999999972</v>
      </c>
      <c r="U863">
        <v>90.498437499999994</v>
      </c>
      <c r="V863">
        <v>0.63639687500000264</v>
      </c>
      <c r="W863">
        <v>80.248435974121094</v>
      </c>
      <c r="X863">
        <f>(W863-80)/80*100</f>
        <v>0.31054496765136719</v>
      </c>
      <c r="Y863">
        <f>TREND(H863:H867,G863:G867,G863)</f>
        <v>10.141850095311916</v>
      </c>
      <c r="Z863">
        <f>ABS((Y863-H863)/80*100)</f>
        <v>0.13518738086010451</v>
      </c>
      <c r="AA863">
        <f>MAX(Z863:Z867)</f>
        <v>0.13518738086010451</v>
      </c>
      <c r="AB863">
        <f>IF(ABS(MAX(P863:P869)) &gt; ABS(MIN(P863:P869)),MAX(P863:P869), MIN(P863:P869))</f>
        <v>0.63639687500000264</v>
      </c>
      <c r="AC863">
        <f>IF(ABS(AB864)&gt;ABS(AB863),AB864,AB863)</f>
        <v>0.63639687500000264</v>
      </c>
      <c r="AH863">
        <f>H863-AG821</f>
        <v>10.130519999999997</v>
      </c>
      <c r="AI863">
        <f>100*(AH863-O863)/80</f>
        <v>0.15819999999999723</v>
      </c>
      <c r="AJ863">
        <v>50.099269999999997</v>
      </c>
      <c r="AK863">
        <v>0.11048749999999607</v>
      </c>
      <c r="AL863">
        <v>90.378957499999984</v>
      </c>
      <c r="AM863">
        <v>0.48704687499999011</v>
      </c>
      <c r="AN863">
        <f>IF(ABS(MAX(AI863:AI869)) &gt; ABS(MIN(AI863:AI869)),MAX(AI863:AI869), MIN(AI863:AI869))</f>
        <v>0.48704687499999011</v>
      </c>
      <c r="AO863">
        <f>IF(ABS(AN864)&gt;ABS(AN863),AN864,AN863)</f>
        <v>0.48704687499999011</v>
      </c>
    </row>
    <row r="864" spans="1:41" x14ac:dyDescent="0.35">
      <c r="A864" t="s">
        <v>256</v>
      </c>
      <c r="B864" t="s">
        <v>1111</v>
      </c>
      <c r="C864" t="s">
        <v>1858</v>
      </c>
      <c r="D864">
        <v>70</v>
      </c>
      <c r="E864">
        <v>70</v>
      </c>
      <c r="F864">
        <v>-0.5</v>
      </c>
      <c r="G864">
        <v>-0.50014899999999995</v>
      </c>
      <c r="H864">
        <v>30.120312500000001</v>
      </c>
      <c r="J864">
        <v>12082</v>
      </c>
      <c r="N864" t="s">
        <v>183</v>
      </c>
      <c r="O864">
        <f t="shared" si="39"/>
        <v>29.994040000000002</v>
      </c>
      <c r="P864">
        <f t="shared" si="40"/>
        <v>0.15784062499999862</v>
      </c>
      <c r="Q864">
        <f t="shared" si="41"/>
        <v>0.15784062499999862</v>
      </c>
      <c r="Y864">
        <f>TREND(H863:H867,G863:G867,G864)</f>
        <v>30.214252901575485</v>
      </c>
      <c r="Z864">
        <f>ABS((Y864-H864)/80*100)</f>
        <v>0.11742550196935486</v>
      </c>
      <c r="AB864">
        <f>IF(ABS(T863) &gt; ABS(V863),T863,V863)</f>
        <v>0.63639687500000264</v>
      </c>
      <c r="AH864">
        <f>H864-AG821</f>
        <v>30.000832499999998</v>
      </c>
      <c r="AI864">
        <f>100*(AH864-O864)/80</f>
        <v>8.4906249999949779E-3</v>
      </c>
      <c r="AN864">
        <f>IF(ABS(AK863) &gt; ABS(AM863),AK863,AM863)</f>
        <v>0.48704687499999011</v>
      </c>
    </row>
    <row r="865" spans="1:41" x14ac:dyDescent="0.35">
      <c r="A865" t="s">
        <v>256</v>
      </c>
      <c r="B865" t="s">
        <v>1111</v>
      </c>
      <c r="C865" t="s">
        <v>1894</v>
      </c>
      <c r="D865">
        <v>70</v>
      </c>
      <c r="E865">
        <v>70</v>
      </c>
      <c r="F865">
        <v>0</v>
      </c>
      <c r="G865">
        <v>2.72E-4</v>
      </c>
      <c r="H865">
        <v>50.21875</v>
      </c>
      <c r="J865">
        <v>12117</v>
      </c>
      <c r="N865" t="s">
        <v>183</v>
      </c>
      <c r="O865">
        <f t="shared" si="39"/>
        <v>50.01088</v>
      </c>
      <c r="P865">
        <f t="shared" si="40"/>
        <v>0.25983749999999972</v>
      </c>
      <c r="Q865">
        <f t="shared" si="41"/>
        <v>0.25983749999999972</v>
      </c>
      <c r="Y865">
        <f>TREND(H863:H867,G863:G867,G865)</f>
        <v>50.313525910414306</v>
      </c>
      <c r="Z865">
        <f>ABS((Y865-H865)/80*100)</f>
        <v>0.11846988801788248</v>
      </c>
      <c r="AH865">
        <f>H865-AG821</f>
        <v>50.099269999999997</v>
      </c>
      <c r="AI865">
        <f>100*(AH865-O865)/80</f>
        <v>0.11048749999999607</v>
      </c>
    </row>
    <row r="866" spans="1:41" x14ac:dyDescent="0.35">
      <c r="A866" t="s">
        <v>256</v>
      </c>
      <c r="B866" t="s">
        <v>1111</v>
      </c>
      <c r="C866" t="s">
        <v>1931</v>
      </c>
      <c r="D866">
        <v>70</v>
      </c>
      <c r="E866">
        <v>70</v>
      </c>
      <c r="F866">
        <v>0.5</v>
      </c>
      <c r="G866">
        <v>0.49979899999999999</v>
      </c>
      <c r="H866">
        <v>70.415625000000006</v>
      </c>
      <c r="J866">
        <v>12135</v>
      </c>
      <c r="N866" t="s">
        <v>183</v>
      </c>
      <c r="O866">
        <f t="shared" si="39"/>
        <v>69.991959999999992</v>
      </c>
      <c r="P866">
        <f t="shared" si="40"/>
        <v>0.52958125000001743</v>
      </c>
      <c r="Q866">
        <f t="shared" si="41"/>
        <v>0.52958125000001743</v>
      </c>
      <c r="Y866">
        <f>TREND(H863:H867,G863:G867,G866)</f>
        <v>70.376891653031493</v>
      </c>
      <c r="Z866">
        <f>ABS((Y866-H866)/80*100)</f>
        <v>4.841668371064145E-2</v>
      </c>
      <c r="AH866">
        <f>H866-AG821</f>
        <v>70.296144999999996</v>
      </c>
      <c r="AI866">
        <f>100*(AH866-O866)/80</f>
        <v>0.38023125000000491</v>
      </c>
    </row>
    <row r="867" spans="1:41" x14ac:dyDescent="0.35">
      <c r="A867" t="s">
        <v>256</v>
      </c>
      <c r="B867" t="s">
        <v>1111</v>
      </c>
      <c r="C867" t="s">
        <v>1967</v>
      </c>
      <c r="D867">
        <v>70</v>
      </c>
      <c r="E867">
        <v>70</v>
      </c>
      <c r="F867">
        <v>1</v>
      </c>
      <c r="G867">
        <v>0.99973299999999998</v>
      </c>
      <c r="H867">
        <v>90.498437499999994</v>
      </c>
      <c r="J867">
        <v>12148</v>
      </c>
      <c r="N867" t="s">
        <v>183</v>
      </c>
      <c r="O867">
        <f t="shared" si="39"/>
        <v>89.989319999999992</v>
      </c>
      <c r="P867">
        <f t="shared" si="40"/>
        <v>0.63639687500000264</v>
      </c>
      <c r="Q867">
        <f t="shared" si="41"/>
        <v>0.63639687500000264</v>
      </c>
      <c r="Y867">
        <f>TREND(H863:H867,G863:G867,G867)</f>
        <v>90.456604439666791</v>
      </c>
      <c r="Z867">
        <f>ABS((Y867-H867)/80*100)</f>
        <v>5.2291325416504712E-2</v>
      </c>
      <c r="AH867">
        <f>H867-AG821</f>
        <v>90.378957499999984</v>
      </c>
      <c r="AI867">
        <f>100*(AH867-O867)/80</f>
        <v>0.48704687499999011</v>
      </c>
    </row>
    <row r="868" spans="1:41" x14ac:dyDescent="0.35">
      <c r="A868" t="s">
        <v>256</v>
      </c>
      <c r="B868" t="s">
        <v>1111</v>
      </c>
      <c r="C868" t="s">
        <v>2004</v>
      </c>
      <c r="D868">
        <v>70</v>
      </c>
      <c r="E868">
        <v>70</v>
      </c>
      <c r="F868">
        <v>0</v>
      </c>
      <c r="G868">
        <v>-2.2100000000000001E-4</v>
      </c>
      <c r="H868">
        <v>50.235937499999999</v>
      </c>
      <c r="J868">
        <v>12165</v>
      </c>
      <c r="N868" t="s">
        <v>183</v>
      </c>
      <c r="O868">
        <f t="shared" si="39"/>
        <v>49.991160000000001</v>
      </c>
      <c r="P868">
        <f t="shared" si="40"/>
        <v>0.30597187499999734</v>
      </c>
      <c r="Q868">
        <f t="shared" si="41"/>
        <v>0.30597187499999734</v>
      </c>
      <c r="Y868">
        <f>TREND(H863:H867,G863:G867,G868)</f>
        <v>50.293724699846891</v>
      </c>
      <c r="Z868">
        <f>ABS((Y868-H868)/80*100)</f>
        <v>7.2233999808615224E-2</v>
      </c>
      <c r="AH868">
        <f>H868-AG821</f>
        <v>50.116457499999996</v>
      </c>
      <c r="AI868">
        <f>100*(AH868-O868)/80</f>
        <v>0.15662187499999369</v>
      </c>
    </row>
    <row r="869" spans="1:41" x14ac:dyDescent="0.35">
      <c r="A869" t="s">
        <v>256</v>
      </c>
      <c r="B869" t="s">
        <v>1111</v>
      </c>
      <c r="C869" t="s">
        <v>2041</v>
      </c>
      <c r="D869">
        <v>70</v>
      </c>
      <c r="E869">
        <v>70</v>
      </c>
      <c r="F869">
        <v>-1</v>
      </c>
      <c r="G869">
        <v>-0.99981799999999998</v>
      </c>
      <c r="H869">
        <v>10.19375</v>
      </c>
      <c r="J869">
        <v>12181</v>
      </c>
      <c r="N869" t="s">
        <v>183</v>
      </c>
      <c r="O869">
        <f t="shared" si="39"/>
        <v>10.007280000000002</v>
      </c>
      <c r="P869">
        <f t="shared" si="40"/>
        <v>0.23308749999999767</v>
      </c>
      <c r="Q869">
        <f t="shared" si="41"/>
        <v>0.23308749999999767</v>
      </c>
      <c r="Y869">
        <f>TREND(H863:H867,G863:G867,G869)</f>
        <v>10.145183767679249</v>
      </c>
      <c r="Z869">
        <f>ABS((Y869-H869)/80*100)</f>
        <v>6.0707790400937878E-2</v>
      </c>
      <c r="AH869">
        <f>H869-AG821</f>
        <v>10.074269999999997</v>
      </c>
      <c r="AI869">
        <f>100*(AH869-O869)/80</f>
        <v>8.3737499999994025E-2</v>
      </c>
    </row>
    <row r="870" spans="1:41" x14ac:dyDescent="0.35">
      <c r="A870" t="s">
        <v>256</v>
      </c>
      <c r="B870" t="s">
        <v>1111</v>
      </c>
      <c r="C870" t="s">
        <v>2077</v>
      </c>
      <c r="D870">
        <v>85</v>
      </c>
      <c r="E870">
        <v>85</v>
      </c>
      <c r="F870">
        <v>-1</v>
      </c>
      <c r="G870">
        <v>-1.0000039999999999</v>
      </c>
      <c r="H870">
        <v>10.284375000000001</v>
      </c>
      <c r="J870">
        <v>18295</v>
      </c>
      <c r="N870" t="s">
        <v>183</v>
      </c>
      <c r="O870">
        <f t="shared" si="39"/>
        <v>9.9998400000000043</v>
      </c>
      <c r="P870">
        <f t="shared" si="40"/>
        <v>0.35566874999999554</v>
      </c>
      <c r="Q870">
        <f t="shared" si="41"/>
        <v>0.35566874999999554</v>
      </c>
      <c r="S870">
        <v>50.223437500000003</v>
      </c>
      <c r="T870">
        <v>0.27734687500000632</v>
      </c>
      <c r="U870">
        <v>90.495312499999997</v>
      </c>
      <c r="V870">
        <v>0.61354062500001305</v>
      </c>
      <c r="W870">
        <v>80.210940551757815</v>
      </c>
      <c r="X870">
        <f>(W870-80)/80*100</f>
        <v>0.26367568969726918</v>
      </c>
      <c r="Y870">
        <f>TREND(H870:H874,G870:G874,G870)</f>
        <v>10.194983686637663</v>
      </c>
      <c r="Z870">
        <f>ABS((Y870-H870)/80*100)</f>
        <v>0.11173914170292232</v>
      </c>
      <c r="AA870">
        <f>MAX(Z870:Z874)</f>
        <v>0.15083549479356861</v>
      </c>
      <c r="AB870">
        <f>IF(ABS(MAX(P870:P876)) &gt; ABS(MIN(P870:P876)),MAX(P870:P876), MIN(P870:P876))</f>
        <v>0.64993125000000873</v>
      </c>
      <c r="AC870">
        <f>IF(ABS(AB871)&gt;ABS(AB870),AB871,AB870)</f>
        <v>0.64993125000000873</v>
      </c>
      <c r="AH870">
        <f>H870-AG821</f>
        <v>10.164894999999998</v>
      </c>
      <c r="AI870">
        <f>100*(AH870-O870)/80</f>
        <v>0.20631874999999189</v>
      </c>
      <c r="AJ870">
        <v>50.1039575</v>
      </c>
      <c r="AK870">
        <v>0.12799687500000267</v>
      </c>
      <c r="AL870">
        <v>90.375832500000001</v>
      </c>
      <c r="AM870">
        <v>0.46419062500001829</v>
      </c>
      <c r="AN870">
        <f>IF(ABS(MAX(AI870:AI876)) &gt; ABS(MIN(AI870:AI876)),MAX(AI870:AI876), MIN(AI870:AI876))</f>
        <v>0.5005812499999962</v>
      </c>
      <c r="AO870">
        <f>IF(ABS(AN871)&gt;ABS(AN870),AN871,AN870)</f>
        <v>0.5005812499999962</v>
      </c>
    </row>
    <row r="871" spans="1:41" x14ac:dyDescent="0.35">
      <c r="A871" t="s">
        <v>256</v>
      </c>
      <c r="B871" t="s">
        <v>1111</v>
      </c>
      <c r="C871" t="s">
        <v>2113</v>
      </c>
      <c r="D871">
        <v>85</v>
      </c>
      <c r="E871">
        <v>85</v>
      </c>
      <c r="F871">
        <v>-0.5</v>
      </c>
      <c r="G871">
        <v>-0.50004400000000004</v>
      </c>
      <c r="H871">
        <v>30.193750000000001</v>
      </c>
      <c r="J871">
        <v>18316</v>
      </c>
      <c r="N871" t="s">
        <v>183</v>
      </c>
      <c r="O871">
        <f t="shared" si="39"/>
        <v>29.998239999999999</v>
      </c>
      <c r="P871">
        <f t="shared" si="40"/>
        <v>0.24438750000000287</v>
      </c>
      <c r="Q871">
        <f t="shared" si="41"/>
        <v>0.24438750000000287</v>
      </c>
      <c r="Y871">
        <f>TREND(H870:H874,G870:G874,G871)</f>
        <v>30.267075726390178</v>
      </c>
      <c r="Z871">
        <f>ABS((Y871-H871)/80*100)</f>
        <v>9.1657157987721227E-2</v>
      </c>
      <c r="AB871">
        <f>IF(ABS(T870) &gt; ABS(V870),T870,V870)</f>
        <v>0.61354062500001305</v>
      </c>
      <c r="AH871">
        <f>H871-AG821</f>
        <v>30.074269999999999</v>
      </c>
      <c r="AI871">
        <f>100*(AH871-O871)/80</f>
        <v>9.503749999999922E-2</v>
      </c>
      <c r="AN871">
        <f>IF(ABS(AK870) &gt; ABS(AM870),AK870,AM870)</f>
        <v>0.46419062500001829</v>
      </c>
    </row>
    <row r="872" spans="1:41" x14ac:dyDescent="0.35">
      <c r="A872" t="s">
        <v>256</v>
      </c>
      <c r="B872" t="s">
        <v>1111</v>
      </c>
      <c r="C872" t="s">
        <v>2149</v>
      </c>
      <c r="D872">
        <v>85</v>
      </c>
      <c r="E872">
        <v>85</v>
      </c>
      <c r="F872">
        <v>0</v>
      </c>
      <c r="G872">
        <v>3.8999999999999999E-5</v>
      </c>
      <c r="H872">
        <v>50.223437500000003</v>
      </c>
      <c r="J872">
        <v>18343</v>
      </c>
      <c r="N872" t="s">
        <v>183</v>
      </c>
      <c r="O872">
        <f t="shared" si="39"/>
        <v>50.001559999999998</v>
      </c>
      <c r="P872">
        <f t="shared" si="40"/>
        <v>0.27734687500000632</v>
      </c>
      <c r="Q872">
        <f t="shared" si="41"/>
        <v>0.27734687500000632</v>
      </c>
      <c r="Y872">
        <f>TREND(H870:H874,G870:G874,G872)</f>
        <v>50.344105895834858</v>
      </c>
      <c r="Z872">
        <f>ABS((Y872-H872)/80*100)</f>
        <v>0.15083549479356861</v>
      </c>
      <c r="AH872">
        <f>H872-AG821</f>
        <v>50.1039575</v>
      </c>
      <c r="AI872">
        <f>100*(AH872-O872)/80</f>
        <v>0.12799687500000267</v>
      </c>
    </row>
    <row r="873" spans="1:41" x14ac:dyDescent="0.35">
      <c r="A873" t="s">
        <v>256</v>
      </c>
      <c r="B873" t="s">
        <v>1111</v>
      </c>
      <c r="C873" t="s">
        <v>2186</v>
      </c>
      <c r="D873">
        <v>85</v>
      </c>
      <c r="E873">
        <v>85</v>
      </c>
      <c r="F873">
        <v>0.5</v>
      </c>
      <c r="G873">
        <v>0.499892</v>
      </c>
      <c r="H873">
        <v>70.515625</v>
      </c>
      <c r="J873">
        <v>18358</v>
      </c>
      <c r="N873" t="s">
        <v>183</v>
      </c>
      <c r="O873">
        <f t="shared" si="39"/>
        <v>69.995679999999993</v>
      </c>
      <c r="P873">
        <f t="shared" si="40"/>
        <v>0.64993125000000873</v>
      </c>
      <c r="Q873">
        <f t="shared" si="41"/>
        <v>0.64993125000000873</v>
      </c>
      <c r="Y873">
        <f>TREND(H870:H874,G870:G874,G873)</f>
        <v>70.411902164229161</v>
      </c>
      <c r="Z873">
        <f>ABS((Y873-H873)/80*100)</f>
        <v>0.12965354471354829</v>
      </c>
      <c r="AH873">
        <f>H873-AG821</f>
        <v>70.39614499999999</v>
      </c>
      <c r="AI873">
        <f>100*(AH873-O873)/80</f>
        <v>0.5005812499999962</v>
      </c>
    </row>
    <row r="874" spans="1:41" x14ac:dyDescent="0.35">
      <c r="A874" t="s">
        <v>256</v>
      </c>
      <c r="B874" t="s">
        <v>1111</v>
      </c>
      <c r="C874" t="s">
        <v>2223</v>
      </c>
      <c r="D874">
        <v>85</v>
      </c>
      <c r="E874">
        <v>85</v>
      </c>
      <c r="F874">
        <v>1</v>
      </c>
      <c r="G874">
        <v>1.0001119999999999</v>
      </c>
      <c r="H874">
        <v>90.495312499999997</v>
      </c>
      <c r="J874">
        <v>18367</v>
      </c>
      <c r="N874" t="s">
        <v>183</v>
      </c>
      <c r="O874">
        <f t="shared" si="39"/>
        <v>90.004479999999987</v>
      </c>
      <c r="P874">
        <f t="shared" si="40"/>
        <v>0.61354062500001305</v>
      </c>
      <c r="Q874">
        <f t="shared" si="41"/>
        <v>0.61354062500001305</v>
      </c>
      <c r="Y874">
        <f>TREND(H870:H874,G870:G874,G874)</f>
        <v>90.494432526908184</v>
      </c>
      <c r="Z874">
        <f>ABS((Y874-H874)/80*100)</f>
        <v>1.0999663647659474E-3</v>
      </c>
      <c r="AH874">
        <f>H874-AG821</f>
        <v>90.375832500000001</v>
      </c>
      <c r="AI874">
        <f>100*(AH874-O874)/80</f>
        <v>0.46419062500001829</v>
      </c>
    </row>
    <row r="875" spans="1:41" x14ac:dyDescent="0.35">
      <c r="A875" t="s">
        <v>256</v>
      </c>
      <c r="B875" t="s">
        <v>1111</v>
      </c>
      <c r="C875" t="s">
        <v>2259</v>
      </c>
      <c r="D875">
        <v>85</v>
      </c>
      <c r="E875">
        <v>85</v>
      </c>
      <c r="F875">
        <v>0</v>
      </c>
      <c r="G875">
        <v>-9.6000000000000002E-5</v>
      </c>
      <c r="H875">
        <v>50.253124999999997</v>
      </c>
      <c r="J875">
        <v>18391</v>
      </c>
      <c r="N875" t="s">
        <v>183</v>
      </c>
      <c r="O875">
        <f t="shared" si="39"/>
        <v>49.996160000000003</v>
      </c>
      <c r="P875">
        <f t="shared" si="40"/>
        <v>0.32120624999999237</v>
      </c>
      <c r="Q875">
        <f t="shared" si="41"/>
        <v>0.32120624999999237</v>
      </c>
      <c r="Y875">
        <f>TREND(H870:H874,G870:G874,G875)</f>
        <v>50.338685997392247</v>
      </c>
      <c r="Z875">
        <f>ABS((Y875-H875)/80*100)</f>
        <v>0.1069512467403122</v>
      </c>
      <c r="AH875">
        <f>H875-AG821</f>
        <v>50.133644999999994</v>
      </c>
      <c r="AI875">
        <f>100*(AH875-O875)/80</f>
        <v>0.17185624999998872</v>
      </c>
    </row>
    <row r="876" spans="1:41" x14ac:dyDescent="0.35">
      <c r="A876" t="s">
        <v>256</v>
      </c>
      <c r="B876" t="s">
        <v>1111</v>
      </c>
      <c r="C876" t="s">
        <v>2296</v>
      </c>
      <c r="D876">
        <v>85</v>
      </c>
      <c r="E876">
        <v>85</v>
      </c>
      <c r="F876">
        <v>-1</v>
      </c>
      <c r="G876">
        <v>-0.999641</v>
      </c>
      <c r="H876">
        <v>10.240625</v>
      </c>
      <c r="J876">
        <v>18400</v>
      </c>
      <c r="N876" t="s">
        <v>183</v>
      </c>
      <c r="O876">
        <f t="shared" si="39"/>
        <v>10.01436</v>
      </c>
      <c r="P876">
        <f t="shared" si="40"/>
        <v>0.28283124999999965</v>
      </c>
      <c r="Q876">
        <f t="shared" si="41"/>
        <v>0.28283124999999965</v>
      </c>
      <c r="Y876">
        <f>TREND(H870:H874,G870:G874,G876)</f>
        <v>10.209557191338895</v>
      </c>
      <c r="Z876">
        <f>ABS((Y876-H876)/80*100)</f>
        <v>3.8834760826380599E-2</v>
      </c>
      <c r="AH876">
        <f>H876-AG821</f>
        <v>10.121144999999997</v>
      </c>
      <c r="AI876">
        <f>100*(AH876-O876)/80</f>
        <v>0.133481249999996</v>
      </c>
    </row>
    <row r="877" spans="1:41" x14ac:dyDescent="0.35">
      <c r="A877" t="s">
        <v>256</v>
      </c>
      <c r="B877" t="s">
        <v>1111</v>
      </c>
      <c r="C877" t="s">
        <v>2333</v>
      </c>
      <c r="D877">
        <v>25</v>
      </c>
      <c r="E877">
        <v>25</v>
      </c>
      <c r="F877">
        <v>-1</v>
      </c>
      <c r="G877">
        <v>-1.000596</v>
      </c>
      <c r="H877">
        <v>10.053125</v>
      </c>
      <c r="J877">
        <v>-5588</v>
      </c>
      <c r="N877" t="s">
        <v>183</v>
      </c>
      <c r="O877">
        <f t="shared" si="39"/>
        <v>9.9761599999999984</v>
      </c>
      <c r="P877">
        <f t="shared" si="40"/>
        <v>9.6206250000001603E-2</v>
      </c>
      <c r="Q877">
        <f t="shared" si="41"/>
        <v>9.6206250000001603E-2</v>
      </c>
      <c r="S877">
        <v>50.0625</v>
      </c>
      <c r="T877">
        <v>8.6475000000003632E-2</v>
      </c>
      <c r="U877">
        <v>90.285937500000003</v>
      </c>
      <c r="V877">
        <v>0.35527187500001389</v>
      </c>
      <c r="W877">
        <v>80.232809448242193</v>
      </c>
      <c r="X877">
        <f>(W877-80)/80*100</f>
        <v>0.29101181030274148</v>
      </c>
      <c r="Y877">
        <f>TREND(H877:H881,G877:G881,G877)</f>
        <v>9.9857468028450285</v>
      </c>
      <c r="Z877">
        <f>ABS((Y877-H877)/80*100)</f>
        <v>8.4222746443713969E-2</v>
      </c>
      <c r="AA877">
        <f>MAX(Z877:Z881)</f>
        <v>8.4222746443713969E-2</v>
      </c>
      <c r="AB877">
        <f>IF(ABS(MAX(P877:P883)) &gt; ABS(MIN(P877:P883)),MAX(P877:P883), MIN(P877:P883))</f>
        <v>0.35527187500001389</v>
      </c>
      <c r="AC877">
        <f>IF(ABS(AB878)&gt;ABS(AB877),AB878,AB877)</f>
        <v>0.35527187500001389</v>
      </c>
      <c r="AH877">
        <f>H877-AG821</f>
        <v>9.9336449999999967</v>
      </c>
      <c r="AI877">
        <f>100*(AH877-O877)/80</f>
        <v>-5.3143750000002044E-2</v>
      </c>
      <c r="AJ877">
        <v>49.943019999999997</v>
      </c>
      <c r="AK877">
        <v>-6.2875000000000014E-2</v>
      </c>
      <c r="AL877">
        <v>90.166457500000007</v>
      </c>
      <c r="AM877">
        <v>0.20592187500001913</v>
      </c>
      <c r="AN877">
        <f>IF(ABS(MAX(AI877:AI883)) &gt; ABS(MIN(AI877:AI883)),MAX(AI877:AI883), MIN(AI877:AI883))</f>
        <v>0.20592187500001913</v>
      </c>
      <c r="AO877">
        <f>IF(ABS(AN878)&gt;ABS(AN877),AN878,AN877)</f>
        <v>0.20592187500001913</v>
      </c>
    </row>
    <row r="878" spans="1:41" x14ac:dyDescent="0.35">
      <c r="A878" t="s">
        <v>256</v>
      </c>
      <c r="B878" t="s">
        <v>1111</v>
      </c>
      <c r="C878" t="s">
        <v>2370</v>
      </c>
      <c r="D878">
        <v>25</v>
      </c>
      <c r="E878">
        <v>25</v>
      </c>
      <c r="F878">
        <v>-0.5</v>
      </c>
      <c r="G878">
        <v>-0.50028399999999995</v>
      </c>
      <c r="H878">
        <v>30.004687499999999</v>
      </c>
      <c r="J878">
        <v>-5625</v>
      </c>
      <c r="N878" t="s">
        <v>183</v>
      </c>
      <c r="O878">
        <f t="shared" si="39"/>
        <v>29.988640000000004</v>
      </c>
      <c r="P878">
        <f t="shared" si="40"/>
        <v>2.0059374999994439E-2</v>
      </c>
      <c r="Q878">
        <f t="shared" si="41"/>
        <v>2.0059374999994439E-2</v>
      </c>
      <c r="Y878">
        <f>TREND(H877:H881,G877:G881,G878)</f>
        <v>30.055391303851341</v>
      </c>
      <c r="Z878">
        <f>ABS((Y878-H878)/80*100)</f>
        <v>6.3379754814176792E-2</v>
      </c>
      <c r="AB878">
        <f>IF(ABS(T877) &gt; ABS(V877),T877,V877)</f>
        <v>0.35527187500001389</v>
      </c>
      <c r="AH878">
        <f>H878-AG821</f>
        <v>29.885207499999996</v>
      </c>
      <c r="AI878">
        <f>100*(AH878-O878)/80</f>
        <v>-0.12929062500000921</v>
      </c>
      <c r="AN878">
        <f>IF(ABS(AK877) &gt; ABS(AM877),AK877,AM877)</f>
        <v>0.20592187500001913</v>
      </c>
    </row>
    <row r="879" spans="1:41" x14ac:dyDescent="0.35">
      <c r="A879" t="s">
        <v>256</v>
      </c>
      <c r="B879" t="s">
        <v>1111</v>
      </c>
      <c r="C879" t="s">
        <v>2406</v>
      </c>
      <c r="D879">
        <v>25</v>
      </c>
      <c r="E879">
        <v>25</v>
      </c>
      <c r="F879">
        <v>0</v>
      </c>
      <c r="G879">
        <v>-1.6699999999999999E-4</v>
      </c>
      <c r="H879">
        <v>50.0625</v>
      </c>
      <c r="J879">
        <v>-5664</v>
      </c>
      <c r="N879" t="s">
        <v>183</v>
      </c>
      <c r="O879">
        <f t="shared" si="39"/>
        <v>49.993319999999997</v>
      </c>
      <c r="P879">
        <f t="shared" si="40"/>
        <v>8.6475000000003632E-2</v>
      </c>
      <c r="Q879">
        <f t="shared" si="41"/>
        <v>8.6475000000003632E-2</v>
      </c>
      <c r="Y879">
        <f>TREND(H877:H881,G877:G881,G879)</f>
        <v>50.117213524605127</v>
      </c>
      <c r="Z879">
        <f>ABS((Y879-H879)/80*100)</f>
        <v>6.8391905756408633E-2</v>
      </c>
      <c r="AH879">
        <f>H879-AG821</f>
        <v>49.943019999999997</v>
      </c>
      <c r="AI879">
        <f>100*(AH879-O879)/80</f>
        <v>-6.2875000000000014E-2</v>
      </c>
    </row>
    <row r="880" spans="1:41" x14ac:dyDescent="0.35">
      <c r="A880" t="s">
        <v>256</v>
      </c>
      <c r="B880" t="s">
        <v>1111</v>
      </c>
      <c r="C880" t="s">
        <v>2443</v>
      </c>
      <c r="D880">
        <v>25</v>
      </c>
      <c r="E880">
        <v>25</v>
      </c>
      <c r="F880">
        <v>0.5</v>
      </c>
      <c r="G880">
        <v>0.499971</v>
      </c>
      <c r="H880">
        <v>70.171875</v>
      </c>
      <c r="J880">
        <v>-5702</v>
      </c>
      <c r="N880" t="s">
        <v>183</v>
      </c>
      <c r="O880">
        <f t="shared" si="39"/>
        <v>69.998840000000001</v>
      </c>
      <c r="P880">
        <f t="shared" si="40"/>
        <v>0.2162937499999984</v>
      </c>
      <c r="Q880">
        <f t="shared" si="41"/>
        <v>0.2162937499999984</v>
      </c>
      <c r="Y880">
        <f>TREND(H877:H881,G877:G881,G880)</f>
        <v>70.179878144770726</v>
      </c>
      <c r="Z880">
        <f>ABS((Y880-H880)/80*100)</f>
        <v>1.0003930963407015E-2</v>
      </c>
      <c r="AH880">
        <f>H880-AG821</f>
        <v>70.05239499999999</v>
      </c>
      <c r="AI880">
        <f>100*(AH880-O880)/80</f>
        <v>6.6943749999985869E-2</v>
      </c>
    </row>
    <row r="881" spans="1:41" x14ac:dyDescent="0.35">
      <c r="A881" t="s">
        <v>256</v>
      </c>
      <c r="B881" t="s">
        <v>1111</v>
      </c>
      <c r="C881" t="s">
        <v>2480</v>
      </c>
      <c r="D881">
        <v>25</v>
      </c>
      <c r="E881">
        <v>25</v>
      </c>
      <c r="F881">
        <v>1</v>
      </c>
      <c r="G881">
        <v>1.000043</v>
      </c>
      <c r="H881">
        <v>90.285937500000003</v>
      </c>
      <c r="J881">
        <v>-5723</v>
      </c>
      <c r="N881" t="s">
        <v>183</v>
      </c>
      <c r="O881">
        <f t="shared" si="39"/>
        <v>90.001719999999992</v>
      </c>
      <c r="P881">
        <f t="shared" si="40"/>
        <v>0.35527187500001389</v>
      </c>
      <c r="Q881">
        <f t="shared" si="41"/>
        <v>0.35527187500001389</v>
      </c>
      <c r="Y881">
        <f>TREND(H877:H881,G877:G881,G881)</f>
        <v>90.239895223927789</v>
      </c>
      <c r="Z881">
        <f>ABS((Y881-H881)/80*100)</f>
        <v>5.7552845090267368E-2</v>
      </c>
      <c r="AH881">
        <f>H881-AG821</f>
        <v>90.166457500000007</v>
      </c>
      <c r="AI881">
        <f>100*(AH881-O881)/80</f>
        <v>0.20592187500001913</v>
      </c>
    </row>
    <row r="882" spans="1:41" x14ac:dyDescent="0.35">
      <c r="A882" t="s">
        <v>256</v>
      </c>
      <c r="B882" t="s">
        <v>1111</v>
      </c>
      <c r="C882" t="s">
        <v>2517</v>
      </c>
      <c r="D882">
        <v>25</v>
      </c>
      <c r="E882">
        <v>25</v>
      </c>
      <c r="F882">
        <v>0</v>
      </c>
      <c r="G882">
        <v>-1.75E-4</v>
      </c>
      <c r="H882">
        <v>50.043750000000003</v>
      </c>
      <c r="J882">
        <v>-5769</v>
      </c>
      <c r="N882" t="s">
        <v>183</v>
      </c>
      <c r="O882">
        <f t="shared" si="39"/>
        <v>49.992999999999995</v>
      </c>
      <c r="P882">
        <f t="shared" si="40"/>
        <v>6.3437500000009805E-2</v>
      </c>
      <c r="Q882">
        <f t="shared" si="41"/>
        <v>6.3437500000009805E-2</v>
      </c>
      <c r="Y882">
        <f>TREND(H877:H881,G877:G881,G882)</f>
        <v>50.116892610543488</v>
      </c>
      <c r="Z882">
        <f>ABS((Y882-H882)/80*100)</f>
        <v>9.1428263179356151E-2</v>
      </c>
      <c r="AH882">
        <f>H882-AG821</f>
        <v>49.92427</v>
      </c>
      <c r="AI882">
        <f>100*(AH882-O882)/80</f>
        <v>-8.5912499999993841E-2</v>
      </c>
    </row>
    <row r="883" spans="1:41" x14ac:dyDescent="0.35">
      <c r="A883" t="s">
        <v>256</v>
      </c>
      <c r="B883" t="s">
        <v>1111</v>
      </c>
      <c r="C883" t="s">
        <v>2552</v>
      </c>
      <c r="D883">
        <v>25</v>
      </c>
      <c r="E883">
        <v>25</v>
      </c>
      <c r="F883">
        <v>-1</v>
      </c>
      <c r="G883">
        <v>-1.000005</v>
      </c>
      <c r="H883">
        <v>10.035937499999999</v>
      </c>
      <c r="J883">
        <v>-5791</v>
      </c>
      <c r="N883" t="s">
        <v>183</v>
      </c>
      <c r="O883">
        <f t="shared" si="39"/>
        <v>9.9997999999999987</v>
      </c>
      <c r="P883">
        <f t="shared" si="40"/>
        <v>4.517187500000075E-2</v>
      </c>
      <c r="Q883">
        <f t="shared" si="41"/>
        <v>4.517187500000075E-2</v>
      </c>
      <c r="Y883">
        <f>TREND(H877:H881,G877:G881,G883)</f>
        <v>10.009454329148802</v>
      </c>
      <c r="Z883">
        <f>ABS((Y883-H883)/80*100)</f>
        <v>3.3103963563996253E-2</v>
      </c>
      <c r="AH883">
        <f>H883-AG821</f>
        <v>9.9164574999999964</v>
      </c>
      <c r="AI883">
        <f>100*(AH883-O883)/80</f>
        <v>-0.1041781250000029</v>
      </c>
    </row>
    <row r="884" spans="1:41" x14ac:dyDescent="0.35">
      <c r="A884" t="s">
        <v>258</v>
      </c>
      <c r="B884" t="s">
        <v>231</v>
      </c>
      <c r="C884" t="s">
        <v>259</v>
      </c>
      <c r="D884">
        <v>25</v>
      </c>
      <c r="E884">
        <v>25</v>
      </c>
      <c r="F884">
        <v>-1</v>
      </c>
      <c r="G884">
        <v>-1.000062</v>
      </c>
      <c r="H884">
        <v>10.2265625</v>
      </c>
      <c r="J884">
        <v>-6257</v>
      </c>
      <c r="N884" t="s">
        <v>184</v>
      </c>
      <c r="O884">
        <f t="shared" si="39"/>
        <v>9.9975199999999997</v>
      </c>
      <c r="P884">
        <f t="shared" si="40"/>
        <v>0.28630312500000032</v>
      </c>
      <c r="Q884">
        <f t="shared" si="41"/>
        <v>0.28630312500000032</v>
      </c>
      <c r="S884">
        <v>50.103124999999999</v>
      </c>
      <c r="T884">
        <v>0.11995624999999954</v>
      </c>
      <c r="U884">
        <v>90.368750000000006</v>
      </c>
      <c r="V884">
        <v>0.48153750000000883</v>
      </c>
      <c r="W884">
        <v>80.142189025878906</v>
      </c>
      <c r="X884">
        <f>(W884-80)/80*100</f>
        <v>0.17773628234863281</v>
      </c>
      <c r="Y884">
        <f>TREND(H884:H888,G884:G888,G884)</f>
        <v>10.124326708023631</v>
      </c>
      <c r="Z884">
        <f>ABS((Y884-H884)/80*100)</f>
        <v>0.12779473997046153</v>
      </c>
      <c r="AA884">
        <f>MAX(Z884:Z888)</f>
        <v>0.17654268764817793</v>
      </c>
      <c r="AB884">
        <f>IF(ABS(MAX(P884:P890)) &gt; ABS(MIN(P884:P890)),MAX(P884:P890), MIN(P884:P890))</f>
        <v>0.48153750000000883</v>
      </c>
      <c r="AC884">
        <f>IF(ABS(AB885)&gt;ABS(AB884),AB885,AB884)</f>
        <v>0.48153750000000883</v>
      </c>
      <c r="AD884">
        <f>MAX(AD885:AD886)</f>
        <v>0.14872812500000165</v>
      </c>
      <c r="AE884">
        <f>MAX(AE885:AE905)</f>
        <v>0.23693125000001203</v>
      </c>
      <c r="AF884">
        <f>MAX(AD884,AA884)</f>
        <v>0.17654268764817793</v>
      </c>
      <c r="AG884">
        <f>H886-O886</f>
        <v>9.5964999999999634E-2</v>
      </c>
      <c r="AH884">
        <f>H884-AG884</f>
        <v>10.1305975</v>
      </c>
      <c r="AI884">
        <f>100*(AH884-O884)/80</f>
        <v>0.16634687500000078</v>
      </c>
      <c r="AJ884">
        <v>50.007159999999999</v>
      </c>
      <c r="AK884">
        <v>0</v>
      </c>
      <c r="AL884">
        <v>90.272784999999999</v>
      </c>
      <c r="AM884">
        <v>0.36158125000000041</v>
      </c>
      <c r="AN884">
        <f>IF(ABS(MAX(AI884:AI890)) &gt; ABS(MIN(AI884:AI890)),MAX(AI884:AI890), MIN(AI884:AI890))</f>
        <v>0.36158125000000041</v>
      </c>
      <c r="AO884">
        <f>IF(ABS(AN885)&gt;ABS(AN884),AN885,AN884)</f>
        <v>0.36158125000000041</v>
      </c>
    </row>
    <row r="885" spans="1:41" x14ac:dyDescent="0.35">
      <c r="A885" t="s">
        <v>258</v>
      </c>
      <c r="B885" t="s">
        <v>231</v>
      </c>
      <c r="C885" t="s">
        <v>321</v>
      </c>
      <c r="D885">
        <v>25</v>
      </c>
      <c r="E885">
        <v>25</v>
      </c>
      <c r="F885">
        <v>-0.5</v>
      </c>
      <c r="G885">
        <v>-0.50033399999999995</v>
      </c>
      <c r="H885">
        <v>30.104687500000001</v>
      </c>
      <c r="J885">
        <v>-6260</v>
      </c>
      <c r="N885" t="s">
        <v>184</v>
      </c>
      <c r="O885">
        <f t="shared" si="39"/>
        <v>29.986640000000001</v>
      </c>
      <c r="P885">
        <f t="shared" si="40"/>
        <v>0.14755937499999927</v>
      </c>
      <c r="Q885">
        <f t="shared" si="41"/>
        <v>0.14755937499999927</v>
      </c>
      <c r="Y885">
        <f>TREND(H884:H888,G884:G888,G885)</f>
        <v>30.168599610477347</v>
      </c>
      <c r="Z885">
        <f>ABS((Y885-H885)/80*100)</f>
        <v>7.9890138096683216E-2</v>
      </c>
      <c r="AB885">
        <f>IF(ABS(T884) &gt; ABS(V884),T884,V884)</f>
        <v>0.48153750000000883</v>
      </c>
      <c r="AD885">
        <f>ABS(P886-P889)</f>
        <v>0.14872812500000165</v>
      </c>
      <c r="AE885">
        <f>ABS(P912-P884)</f>
        <v>3.313437500000127E-2</v>
      </c>
      <c r="AH885">
        <f>H885-AG884</f>
        <v>30.008722500000001</v>
      </c>
      <c r="AI885">
        <f>100*(AH885-O885)/80</f>
        <v>2.7603124999999729E-2</v>
      </c>
      <c r="AN885">
        <f>IF(ABS(AK884) &gt; ABS(AM884),AK884,AM884)</f>
        <v>0.36158125000000041</v>
      </c>
    </row>
    <row r="886" spans="1:41" x14ac:dyDescent="0.35">
      <c r="A886" t="s">
        <v>258</v>
      </c>
      <c r="B886" t="s">
        <v>231</v>
      </c>
      <c r="C886" t="s">
        <v>357</v>
      </c>
      <c r="D886">
        <v>25</v>
      </c>
      <c r="E886">
        <v>25</v>
      </c>
      <c r="F886">
        <v>0</v>
      </c>
      <c r="G886">
        <v>1.7899999999999999E-4</v>
      </c>
      <c r="H886">
        <v>50.103124999999999</v>
      </c>
      <c r="J886">
        <v>-6255</v>
      </c>
      <c r="N886" t="s">
        <v>184</v>
      </c>
      <c r="O886">
        <f t="shared" si="39"/>
        <v>50.007159999999999</v>
      </c>
      <c r="P886">
        <f t="shared" si="40"/>
        <v>0.11995624999999954</v>
      </c>
      <c r="Q886">
        <f t="shared" si="41"/>
        <v>0.11995624999999954</v>
      </c>
      <c r="Y886">
        <f>TREND(H884:H888,G884:G888,G886)</f>
        <v>50.244359150118541</v>
      </c>
      <c r="Z886">
        <f>ABS((Y886-H886)/80*100)</f>
        <v>0.17654268764817793</v>
      </c>
      <c r="AD886">
        <f>ABS(P884-P890)</f>
        <v>4.1756250000000161E-2</v>
      </c>
      <c r="AE886">
        <f>ABS(P913-P885)</f>
        <v>6.9384375000001164E-2</v>
      </c>
      <c r="AH886">
        <f>H886-AG884</f>
        <v>50.007159999999999</v>
      </c>
      <c r="AI886">
        <f>100*(AH886-O886)/80</f>
        <v>0</v>
      </c>
    </row>
    <row r="887" spans="1:41" x14ac:dyDescent="0.35">
      <c r="A887" t="s">
        <v>258</v>
      </c>
      <c r="B887" t="s">
        <v>231</v>
      </c>
      <c r="C887" t="s">
        <v>394</v>
      </c>
      <c r="D887">
        <v>25</v>
      </c>
      <c r="E887">
        <v>25</v>
      </c>
      <c r="F887">
        <v>0.5</v>
      </c>
      <c r="G887">
        <v>0.49977300000000002</v>
      </c>
      <c r="H887">
        <v>70.348437500000003</v>
      </c>
      <c r="J887">
        <v>-6253</v>
      </c>
      <c r="N887" t="s">
        <v>184</v>
      </c>
      <c r="O887">
        <f t="shared" si="39"/>
        <v>69.990920000000003</v>
      </c>
      <c r="P887">
        <f t="shared" si="40"/>
        <v>0.44689687500000019</v>
      </c>
      <c r="Q887">
        <f t="shared" si="41"/>
        <v>0.44689687500000019</v>
      </c>
      <c r="Y887">
        <f>TREND(H884:H888,G884:G888,G887)</f>
        <v>70.28325726354916</v>
      </c>
      <c r="Z887">
        <f>ABS((Y887-H887)/80*100)</f>
        <v>8.1475295563553374E-2</v>
      </c>
      <c r="AE887">
        <f>ABS(P914-P886)</f>
        <v>0.21326875000000634</v>
      </c>
      <c r="AH887">
        <f>H887-AG884</f>
        <v>70.25247250000001</v>
      </c>
      <c r="AI887">
        <f>100*(AH887-O887)/80</f>
        <v>0.32694062500000953</v>
      </c>
    </row>
    <row r="888" spans="1:41" x14ac:dyDescent="0.35">
      <c r="A888" t="s">
        <v>258</v>
      </c>
      <c r="B888" t="s">
        <v>231</v>
      </c>
      <c r="C888" t="s">
        <v>431</v>
      </c>
      <c r="D888">
        <v>25</v>
      </c>
      <c r="E888">
        <v>25</v>
      </c>
      <c r="F888">
        <v>1</v>
      </c>
      <c r="G888">
        <v>0.99958800000000003</v>
      </c>
      <c r="H888">
        <v>90.368750000000006</v>
      </c>
      <c r="J888">
        <v>-6251</v>
      </c>
      <c r="N888" t="s">
        <v>184</v>
      </c>
      <c r="O888">
        <f t="shared" si="39"/>
        <v>89.983519999999999</v>
      </c>
      <c r="P888">
        <f t="shared" si="40"/>
        <v>0.48153750000000883</v>
      </c>
      <c r="Q888">
        <f t="shared" si="41"/>
        <v>0.48153750000000883</v>
      </c>
      <c r="Y888">
        <f>TREND(H884:H888,G884:G888,G888)</f>
        <v>90.331019767831307</v>
      </c>
      <c r="Z888">
        <f>ABS((Y888-H888)/80*100)</f>
        <v>4.7162790210872885E-2</v>
      </c>
      <c r="AE888">
        <f>ABS(P915-P887)</f>
        <v>6.3768750000008367E-2</v>
      </c>
      <c r="AH888">
        <f>H888-AG884</f>
        <v>90.272784999999999</v>
      </c>
      <c r="AI888">
        <f>100*(AH888-O888)/80</f>
        <v>0.36158125000000041</v>
      </c>
    </row>
    <row r="889" spans="1:41" x14ac:dyDescent="0.35">
      <c r="A889" t="s">
        <v>258</v>
      </c>
      <c r="B889" t="s">
        <v>231</v>
      </c>
      <c r="C889" t="s">
        <v>468</v>
      </c>
      <c r="D889">
        <v>25</v>
      </c>
      <c r="E889">
        <v>25</v>
      </c>
      <c r="F889">
        <v>0</v>
      </c>
      <c r="G889">
        <v>5.5999999999999999E-5</v>
      </c>
      <c r="H889">
        <v>50.217187500000001</v>
      </c>
      <c r="J889">
        <v>-6255</v>
      </c>
      <c r="N889" t="s">
        <v>184</v>
      </c>
      <c r="O889">
        <f t="shared" si="39"/>
        <v>50.00224</v>
      </c>
      <c r="P889">
        <f t="shared" si="40"/>
        <v>0.2686843750000012</v>
      </c>
      <c r="Q889">
        <f t="shared" si="41"/>
        <v>0.2686843750000012</v>
      </c>
      <c r="Y889">
        <f>TREND(H884:H888,G884:G888,G889)</f>
        <v>50.239425575119739</v>
      </c>
      <c r="Z889">
        <f>ABS((Y889-H889)/80*100)</f>
        <v>2.7797593899672183E-2</v>
      </c>
      <c r="AE889">
        <f>ABS(P916-P888)</f>
        <v>3.8900000000001711E-2</v>
      </c>
      <c r="AH889">
        <f>H889-AG884</f>
        <v>50.121222500000002</v>
      </c>
      <c r="AI889">
        <f>100*(AH889-O889)/80</f>
        <v>0.14872812500000165</v>
      </c>
    </row>
    <row r="890" spans="1:41" x14ac:dyDescent="0.35">
      <c r="A890" t="s">
        <v>258</v>
      </c>
      <c r="B890" t="s">
        <v>231</v>
      </c>
      <c r="C890" t="s">
        <v>505</v>
      </c>
      <c r="D890">
        <v>25</v>
      </c>
      <c r="E890">
        <v>25</v>
      </c>
      <c r="F890">
        <v>-1</v>
      </c>
      <c r="G890">
        <v>-0.99992999999999999</v>
      </c>
      <c r="H890">
        <v>10.198437500000001</v>
      </c>
      <c r="J890">
        <v>-6251</v>
      </c>
      <c r="N890" t="s">
        <v>184</v>
      </c>
      <c r="O890">
        <f t="shared" si="39"/>
        <v>10.002800000000001</v>
      </c>
      <c r="P890">
        <f t="shared" si="40"/>
        <v>0.24454687500000016</v>
      </c>
      <c r="Q890">
        <f t="shared" si="41"/>
        <v>0.24454687500000016</v>
      </c>
      <c r="Y890">
        <f>TREND(H884:H888,G884:G888,G890)</f>
        <v>10.129621276315028</v>
      </c>
      <c r="Z890">
        <f>ABS((Y890-H890)/80*100)</f>
        <v>8.6020279606215944E-2</v>
      </c>
      <c r="AE890">
        <f>ABS(P917-P889)</f>
        <v>9.4299999999991613E-2</v>
      </c>
      <c r="AH890">
        <f>H890-AG884</f>
        <v>10.102472500000001</v>
      </c>
      <c r="AI890">
        <f>100*(AH890-O890)/80</f>
        <v>0.12459062500000062</v>
      </c>
    </row>
    <row r="891" spans="1:41" x14ac:dyDescent="0.35">
      <c r="A891" t="s">
        <v>258</v>
      </c>
      <c r="B891" t="s">
        <v>231</v>
      </c>
      <c r="C891" t="s">
        <v>542</v>
      </c>
      <c r="D891">
        <v>-20</v>
      </c>
      <c r="E891">
        <v>-20.2</v>
      </c>
      <c r="F891">
        <v>-1</v>
      </c>
      <c r="G891">
        <v>-1.0001580000000001</v>
      </c>
      <c r="H891">
        <v>10.456250000000001</v>
      </c>
      <c r="J891">
        <v>-24661</v>
      </c>
      <c r="N891" t="s">
        <v>184</v>
      </c>
      <c r="O891">
        <f t="shared" si="39"/>
        <v>9.9936799999999959</v>
      </c>
      <c r="P891">
        <f t="shared" si="40"/>
        <v>0.57821250000000601</v>
      </c>
      <c r="Q891">
        <f t="shared" si="41"/>
        <v>0.57821250000000601</v>
      </c>
      <c r="S891">
        <v>50.3515625</v>
      </c>
      <c r="T891">
        <v>0.46545312500000158</v>
      </c>
      <c r="U891">
        <v>90.5390625</v>
      </c>
      <c r="V891">
        <v>0.66692812500001253</v>
      </c>
      <c r="W891">
        <v>80.082812500000003</v>
      </c>
      <c r="X891">
        <f>(W891-80)/80*100</f>
        <v>0.10351562500000357</v>
      </c>
      <c r="Y891">
        <f>TREND(H891:H895,G891:G895,G891)</f>
        <v>10.360622305889954</v>
      </c>
      <c r="Z891">
        <f>ABS((Y891-H891)/80*100)</f>
        <v>0.11953461763755779</v>
      </c>
      <c r="AA891">
        <f>MAX(Z891:Z895)</f>
        <v>0.19563174807245787</v>
      </c>
      <c r="AB891">
        <f>IF(ABS(MAX(P891:P897)) &gt; ABS(MIN(P891:P897)),MAX(P891:P897), MIN(P891:P897))</f>
        <v>0.84792812499999926</v>
      </c>
      <c r="AC891">
        <f>IF(ABS(AB892)&gt;ABS(AB891),AB892,AB891)</f>
        <v>0.84792812499999926</v>
      </c>
      <c r="AE891">
        <f>ABS(P918-P890)</f>
        <v>8.4687500000002469E-2</v>
      </c>
      <c r="AH891">
        <f>H891-AG884</f>
        <v>10.360285000000001</v>
      </c>
      <c r="AI891">
        <f>100*(AH891-O891)/80</f>
        <v>0.45825625000000647</v>
      </c>
      <c r="AJ891">
        <v>50.2555975</v>
      </c>
      <c r="AK891">
        <v>0.34549687500000203</v>
      </c>
      <c r="AL891">
        <v>90.443097499999993</v>
      </c>
      <c r="AM891">
        <v>0.5469718750000041</v>
      </c>
      <c r="AN891">
        <f>IF(ABS(MAX(AI891:AI897)) &gt; ABS(MIN(AI891:AI897)),MAX(AI891:AI897), MIN(AI891:AI897))</f>
        <v>0.72797187499999083</v>
      </c>
      <c r="AO891">
        <f>IF(ABS(AN892)&gt;ABS(AN891),AN892,AN891)</f>
        <v>0.72797187499999083</v>
      </c>
    </row>
    <row r="892" spans="1:41" x14ac:dyDescent="0.35">
      <c r="A892" t="s">
        <v>258</v>
      </c>
      <c r="B892" t="s">
        <v>231</v>
      </c>
      <c r="C892" t="s">
        <v>579</v>
      </c>
      <c r="D892">
        <v>-20</v>
      </c>
      <c r="E892">
        <v>-19.899999999999999</v>
      </c>
      <c r="F892">
        <v>-0.5</v>
      </c>
      <c r="G892">
        <v>-0.49975199999999997</v>
      </c>
      <c r="H892">
        <v>30.314062499999999</v>
      </c>
      <c r="J892">
        <v>-24663</v>
      </c>
      <c r="N892" t="s">
        <v>184</v>
      </c>
      <c r="O892">
        <f t="shared" si="39"/>
        <v>30.009920000000001</v>
      </c>
      <c r="P892">
        <f t="shared" si="40"/>
        <v>0.38017812499999692</v>
      </c>
      <c r="Q892">
        <f t="shared" si="41"/>
        <v>0.38017812499999692</v>
      </c>
      <c r="Y892">
        <f>TREND(H891:H895,G891:G895,G892)</f>
        <v>30.428521158184619</v>
      </c>
      <c r="Z892">
        <f>ABS((Y892-H892)/80*100)</f>
        <v>0.14307332273077566</v>
      </c>
      <c r="AB892">
        <f>IF(ABS(T891) &gt; ABS(V891),T891,V891)</f>
        <v>0.66692812500001253</v>
      </c>
      <c r="AE892">
        <f>ABS(P940-P884)</f>
        <v>0.12649062500000197</v>
      </c>
      <c r="AH892">
        <f>H892-AG884</f>
        <v>30.218097499999999</v>
      </c>
      <c r="AI892">
        <f>100*(AH892-O892)/80</f>
        <v>0.26022187499999738</v>
      </c>
      <c r="AN892">
        <f>IF(ABS(AK891) &gt; ABS(AM891),AK891,AM891)</f>
        <v>0.5469718750000041</v>
      </c>
    </row>
    <row r="893" spans="1:41" x14ac:dyDescent="0.35">
      <c r="A893" t="s">
        <v>258</v>
      </c>
      <c r="B893" t="s">
        <v>231</v>
      </c>
      <c r="C893" t="s">
        <v>616</v>
      </c>
      <c r="D893">
        <v>-20</v>
      </c>
      <c r="E893">
        <v>-20.100000000000001</v>
      </c>
      <c r="F893">
        <v>0</v>
      </c>
      <c r="G893">
        <v>-5.1999999999999995E-4</v>
      </c>
      <c r="H893">
        <v>50.3515625</v>
      </c>
      <c r="J893">
        <v>-24696</v>
      </c>
      <c r="N893" t="s">
        <v>184</v>
      </c>
      <c r="O893">
        <f t="shared" si="39"/>
        <v>49.979199999999999</v>
      </c>
      <c r="P893">
        <f t="shared" si="40"/>
        <v>0.46545312500000158</v>
      </c>
      <c r="Q893">
        <f t="shared" si="41"/>
        <v>0.46545312500000158</v>
      </c>
      <c r="Y893">
        <f>TREND(H891:H895,G891:G895,G893)</f>
        <v>50.449338813905712</v>
      </c>
      <c r="Z893">
        <f>ABS((Y893-H893)/80*100)</f>
        <v>0.12222039238213966</v>
      </c>
      <c r="AE893">
        <f>ABS(P941-P885)</f>
        <v>4.6218750000002196E-2</v>
      </c>
      <c r="AH893">
        <f>H893-AG884</f>
        <v>50.2555975</v>
      </c>
      <c r="AI893">
        <f>100*(AH893-O893)/80</f>
        <v>0.34549687500000203</v>
      </c>
    </row>
    <row r="894" spans="1:41" x14ac:dyDescent="0.35">
      <c r="A894" t="s">
        <v>258</v>
      </c>
      <c r="B894" t="s">
        <v>231</v>
      </c>
      <c r="C894" t="s">
        <v>651</v>
      </c>
      <c r="D894">
        <v>-20</v>
      </c>
      <c r="E894">
        <v>-19.899999999999999</v>
      </c>
      <c r="F894">
        <v>0.5</v>
      </c>
      <c r="G894">
        <v>0.50026800000000005</v>
      </c>
      <c r="H894">
        <v>70.689062500000006</v>
      </c>
      <c r="J894">
        <v>-24711</v>
      </c>
      <c r="N894" t="s">
        <v>184</v>
      </c>
      <c r="O894">
        <f t="shared" si="39"/>
        <v>70.010720000000006</v>
      </c>
      <c r="P894">
        <f t="shared" si="40"/>
        <v>0.84792812499999926</v>
      </c>
      <c r="Q894">
        <f t="shared" si="41"/>
        <v>0.84792812499999926</v>
      </c>
      <c r="Y894">
        <f>TREND(H891:H895,G891:G895,G894)</f>
        <v>70.532557101542039</v>
      </c>
      <c r="Z894">
        <f>ABS((Y894-H894)/80*100)</f>
        <v>0.19563174807245787</v>
      </c>
      <c r="AE894">
        <f>ABS(P942-P886)</f>
        <v>1.0643750000003394E-2</v>
      </c>
      <c r="AH894">
        <f>H894-AG884</f>
        <v>70.593097499999999</v>
      </c>
      <c r="AI894">
        <f>100*(AH894-O894)/80</f>
        <v>0.72797187499999083</v>
      </c>
    </row>
    <row r="895" spans="1:41" x14ac:dyDescent="0.35">
      <c r="A895" t="s">
        <v>258</v>
      </c>
      <c r="B895" t="s">
        <v>231</v>
      </c>
      <c r="C895" t="s">
        <v>688</v>
      </c>
      <c r="D895">
        <v>-20</v>
      </c>
      <c r="E895">
        <v>-19.8</v>
      </c>
      <c r="F895">
        <v>1</v>
      </c>
      <c r="G895">
        <v>1.000138</v>
      </c>
      <c r="H895">
        <v>90.5390625</v>
      </c>
      <c r="J895">
        <v>-24722</v>
      </c>
      <c r="N895" t="s">
        <v>184</v>
      </c>
      <c r="O895">
        <f t="shared" si="39"/>
        <v>90.00551999999999</v>
      </c>
      <c r="P895">
        <f t="shared" si="40"/>
        <v>0.66692812500001253</v>
      </c>
      <c r="Q895">
        <f t="shared" si="41"/>
        <v>0.66692812500001253</v>
      </c>
      <c r="Y895">
        <f>TREND(H891:H895,G891:G895,G895)</f>
        <v>90.578960620477716</v>
      </c>
      <c r="Z895">
        <f>ABS((Y895-H895)/80*100)</f>
        <v>4.9872650597144734E-2</v>
      </c>
      <c r="AE895">
        <f>ABS(P943-P887)</f>
        <v>0.17316250000000366</v>
      </c>
      <c r="AH895">
        <f>H895-AG884</f>
        <v>90.443097499999993</v>
      </c>
      <c r="AI895">
        <f>100*(AH895-O895)/80</f>
        <v>0.5469718750000041</v>
      </c>
    </row>
    <row r="896" spans="1:41" x14ac:dyDescent="0.35">
      <c r="A896" t="s">
        <v>258</v>
      </c>
      <c r="B896" t="s">
        <v>231</v>
      </c>
      <c r="C896" t="s">
        <v>725</v>
      </c>
      <c r="D896">
        <v>-20</v>
      </c>
      <c r="E896">
        <v>-20.100000000000001</v>
      </c>
      <c r="F896">
        <v>0</v>
      </c>
      <c r="G896">
        <v>6.3999999999999997E-5</v>
      </c>
      <c r="H896">
        <v>50.362499999999997</v>
      </c>
      <c r="J896">
        <v>-24752</v>
      </c>
      <c r="N896" t="s">
        <v>184</v>
      </c>
      <c r="O896">
        <f t="shared" si="39"/>
        <v>50.002560000000003</v>
      </c>
      <c r="P896">
        <f t="shared" si="40"/>
        <v>0.44992499999999325</v>
      </c>
      <c r="Q896">
        <f t="shared" si="41"/>
        <v>0.44992499999999325</v>
      </c>
      <c r="Y896">
        <f>TREND(H891:H895,G891:G895,G896)</f>
        <v>50.472759102490862</v>
      </c>
      <c r="Z896">
        <f>ABS((Y896-H896)/80*100)</f>
        <v>0.13782387811358099</v>
      </c>
      <c r="AE896">
        <f>ABS(P944-P888)</f>
        <v>5.2099999999999369E-2</v>
      </c>
      <c r="AH896">
        <f>H896-AG884</f>
        <v>50.266534999999998</v>
      </c>
      <c r="AI896">
        <f>100*(AH896-O896)/80</f>
        <v>0.3299687499999937</v>
      </c>
    </row>
    <row r="897" spans="1:41" x14ac:dyDescent="0.35">
      <c r="A897" t="s">
        <v>258</v>
      </c>
      <c r="B897" t="s">
        <v>231</v>
      </c>
      <c r="C897" t="s">
        <v>760</v>
      </c>
      <c r="D897">
        <v>-20</v>
      </c>
      <c r="E897">
        <v>-20</v>
      </c>
      <c r="F897">
        <v>-1</v>
      </c>
      <c r="G897">
        <v>-1.000211</v>
      </c>
      <c r="H897">
        <v>10.3984375</v>
      </c>
      <c r="J897">
        <v>-24756</v>
      </c>
      <c r="N897" t="s">
        <v>184</v>
      </c>
      <c r="O897">
        <f t="shared" si="39"/>
        <v>9.9915600000000016</v>
      </c>
      <c r="P897">
        <f t="shared" si="40"/>
        <v>0.50859687499999806</v>
      </c>
      <c r="Q897">
        <f t="shared" si="41"/>
        <v>0.50859687499999806</v>
      </c>
      <c r="Y897">
        <f>TREND(H891:H895,G891:G895,G897)</f>
        <v>10.358496834494389</v>
      </c>
      <c r="Z897">
        <f>ABS((Y897-H897)/80*100)</f>
        <v>4.9925831882013938E-2</v>
      </c>
      <c r="AE897">
        <f>ABS(P945-P889)</f>
        <v>0.11004999999999932</v>
      </c>
      <c r="AH897">
        <f>H897-AG884</f>
        <v>10.3024725</v>
      </c>
      <c r="AI897">
        <f>100*(AH897-O897)/80</f>
        <v>0.38864062499999852</v>
      </c>
    </row>
    <row r="898" spans="1:41" x14ac:dyDescent="0.35">
      <c r="A898" t="s">
        <v>258</v>
      </c>
      <c r="B898" t="s">
        <v>231</v>
      </c>
      <c r="C898" t="s">
        <v>797</v>
      </c>
      <c r="D898">
        <v>0</v>
      </c>
      <c r="E898">
        <v>0</v>
      </c>
      <c r="F898">
        <v>-1</v>
      </c>
      <c r="G898">
        <v>-0.99992800000000004</v>
      </c>
      <c r="H898">
        <v>10.4234375</v>
      </c>
      <c r="J898">
        <v>-16989</v>
      </c>
      <c r="N898" t="s">
        <v>184</v>
      </c>
      <c r="O898">
        <f t="shared" si="39"/>
        <v>10.002879999999998</v>
      </c>
      <c r="P898">
        <f t="shared" si="40"/>
        <v>0.52569687500000351</v>
      </c>
      <c r="Q898">
        <f t="shared" si="41"/>
        <v>0.52569687500000351</v>
      </c>
      <c r="S898">
        <v>50.34375</v>
      </c>
      <c r="T898">
        <v>0.44143749999999926</v>
      </c>
      <c r="U898">
        <v>90.490624999999994</v>
      </c>
      <c r="V898">
        <v>0.63013124999999448</v>
      </c>
      <c r="W898">
        <v>80.067185974121088</v>
      </c>
      <c r="X898">
        <f>(W898-80)/80*100</f>
        <v>8.3982467651360082E-2</v>
      </c>
      <c r="Y898">
        <f>TREND(H898:H902,G898:G902,G898)</f>
        <v>10.350459740415353</v>
      </c>
      <c r="Z898">
        <f>ABS((Y898-H898)/80*100)</f>
        <v>9.1222199480809341E-2</v>
      </c>
      <c r="AA898">
        <f>MAX(Z898:Z902)</f>
        <v>9.1222199480809341E-2</v>
      </c>
      <c r="AB898">
        <f>IF(ABS(MAX(P898:P904)) &gt; ABS(MIN(P898:P904)),MAX(P898:P904), MIN(P898:P904))</f>
        <v>0.6614812499999978</v>
      </c>
      <c r="AC898">
        <f>IF(ABS(AB899)&gt;ABS(AB898),AB899,AB898)</f>
        <v>0.6614812499999978</v>
      </c>
      <c r="AE898">
        <f>ABS(P946-P890)</f>
        <v>6.0696874999999206E-2</v>
      </c>
      <c r="AH898">
        <f>H898-AG884</f>
        <v>10.327472500000001</v>
      </c>
      <c r="AI898">
        <f>100*(AH898-O898)/80</f>
        <v>0.40574062500000396</v>
      </c>
      <c r="AJ898">
        <v>50.247785</v>
      </c>
      <c r="AK898">
        <v>0.32148124999999972</v>
      </c>
      <c r="AL898">
        <v>90.394659999999988</v>
      </c>
      <c r="AM898">
        <v>0.51017499999998606</v>
      </c>
      <c r="AN898">
        <f>IF(ABS(MAX(AI898:AI904)) &gt; ABS(MIN(AI898:AI904)),MAX(AI898:AI904), MIN(AI898:AI904))</f>
        <v>0.54152499999998938</v>
      </c>
      <c r="AO898">
        <f>IF(ABS(AN899)&gt;ABS(AN898),AN899,AN898)</f>
        <v>0.54152499999998938</v>
      </c>
    </row>
    <row r="899" spans="1:41" x14ac:dyDescent="0.35">
      <c r="A899" t="s">
        <v>258</v>
      </c>
      <c r="B899" t="s">
        <v>231</v>
      </c>
      <c r="C899" t="s">
        <v>834</v>
      </c>
      <c r="D899">
        <v>0</v>
      </c>
      <c r="E899">
        <v>0.1</v>
      </c>
      <c r="F899">
        <v>-0.5</v>
      </c>
      <c r="G899">
        <v>-0.49991000000000002</v>
      </c>
      <c r="H899">
        <v>30.317187499999999</v>
      </c>
      <c r="J899">
        <v>-16976</v>
      </c>
      <c r="N899" t="s">
        <v>184</v>
      </c>
      <c r="O899">
        <f t="shared" si="39"/>
        <v>30.003599999999999</v>
      </c>
      <c r="P899">
        <f t="shared" si="40"/>
        <v>0.39198437500000072</v>
      </c>
      <c r="Q899">
        <f t="shared" si="41"/>
        <v>0.39198437500000072</v>
      </c>
      <c r="Y899">
        <f>TREND(H898:H902,G898:G902,G899)</f>
        <v>30.389458238049123</v>
      </c>
      <c r="Z899">
        <f>ABS((Y899-H899)/80*100)</f>
        <v>9.0338422561404563E-2</v>
      </c>
      <c r="AB899">
        <f>IF(ABS(T898) &gt; ABS(V898),T898,V898)</f>
        <v>0.63013124999999448</v>
      </c>
      <c r="AE899">
        <f>ABS(P940-P912)</f>
        <v>9.3356250000000696E-2</v>
      </c>
      <c r="AH899">
        <f>H899-AG884</f>
        <v>30.2212225</v>
      </c>
      <c r="AI899">
        <f>100*(AH899-O899)/80</f>
        <v>0.27202812500000118</v>
      </c>
      <c r="AN899">
        <f>IF(ABS(AK898) &gt; ABS(AM898),AK898,AM898)</f>
        <v>0.51017499999998606</v>
      </c>
    </row>
    <row r="900" spans="1:41" x14ac:dyDescent="0.35">
      <c r="A900" t="s">
        <v>258</v>
      </c>
      <c r="B900" t="s">
        <v>231</v>
      </c>
      <c r="C900" t="s">
        <v>869</v>
      </c>
      <c r="D900">
        <v>0</v>
      </c>
      <c r="E900">
        <v>0</v>
      </c>
      <c r="F900">
        <v>0</v>
      </c>
      <c r="G900">
        <v>-2.3499999999999999E-4</v>
      </c>
      <c r="H900">
        <v>50.34375</v>
      </c>
      <c r="J900">
        <v>-16963</v>
      </c>
      <c r="N900" t="s">
        <v>184</v>
      </c>
      <c r="O900">
        <f t="shared" si="39"/>
        <v>49.990600000000001</v>
      </c>
      <c r="P900">
        <f t="shared" si="40"/>
        <v>0.44143749999999926</v>
      </c>
      <c r="Q900">
        <f t="shared" si="41"/>
        <v>0.44143749999999926</v>
      </c>
      <c r="Y900">
        <f>TREND(H898:H902,G898:G902,G900)</f>
        <v>50.414710477578801</v>
      </c>
      <c r="Z900">
        <f>ABS((Y900-H900)/80*100)</f>
        <v>8.8700596973501078E-2</v>
      </c>
      <c r="AE900">
        <f>ABS(P941-P913)</f>
        <v>0.11560312500000336</v>
      </c>
      <c r="AH900">
        <f>H900-AG884</f>
        <v>50.247785</v>
      </c>
      <c r="AI900">
        <f>100*(AH900-O900)/80</f>
        <v>0.32148124999999972</v>
      </c>
    </row>
    <row r="901" spans="1:41" x14ac:dyDescent="0.35">
      <c r="A901" t="s">
        <v>258</v>
      </c>
      <c r="B901" t="s">
        <v>231</v>
      </c>
      <c r="C901" t="s">
        <v>906</v>
      </c>
      <c r="D901">
        <v>0</v>
      </c>
      <c r="E901">
        <v>0</v>
      </c>
      <c r="F901">
        <v>0.5</v>
      </c>
      <c r="G901">
        <v>0.49966100000000002</v>
      </c>
      <c r="H901">
        <v>70.515625</v>
      </c>
      <c r="J901">
        <v>-16957</v>
      </c>
      <c r="N901" t="s">
        <v>184</v>
      </c>
      <c r="O901">
        <f t="shared" si="39"/>
        <v>69.986440000000002</v>
      </c>
      <c r="P901">
        <f t="shared" si="40"/>
        <v>0.6614812499999978</v>
      </c>
      <c r="Q901">
        <f t="shared" si="41"/>
        <v>0.6614812499999978</v>
      </c>
      <c r="Y901">
        <f>TREND(H898:H902,G898:G902,G901)</f>
        <v>70.44881963559537</v>
      </c>
      <c r="Z901">
        <f>ABS((Y901-H901)/80*100)</f>
        <v>8.3506705505786982E-2</v>
      </c>
      <c r="AE901">
        <f>ABS(P942-P914)</f>
        <v>0.22391250000000973</v>
      </c>
      <c r="AH901">
        <f>H901-AG884</f>
        <v>70.419659999999993</v>
      </c>
      <c r="AI901">
        <f>100*(AH901-O901)/80</f>
        <v>0.54152499999998938</v>
      </c>
    </row>
    <row r="902" spans="1:41" x14ac:dyDescent="0.35">
      <c r="A902" t="s">
        <v>258</v>
      </c>
      <c r="B902" t="s">
        <v>231</v>
      </c>
      <c r="C902" t="s">
        <v>943</v>
      </c>
      <c r="D902">
        <v>0</v>
      </c>
      <c r="E902">
        <v>0.1</v>
      </c>
      <c r="F902">
        <v>1</v>
      </c>
      <c r="G902">
        <v>0.99966299999999997</v>
      </c>
      <c r="H902">
        <v>90.490624999999994</v>
      </c>
      <c r="J902">
        <v>-16946</v>
      </c>
      <c r="N902" t="s">
        <v>184</v>
      </c>
      <c r="O902">
        <f t="shared" si="39"/>
        <v>89.986519999999999</v>
      </c>
      <c r="P902">
        <f t="shared" si="40"/>
        <v>0.63013124999999448</v>
      </c>
      <c r="Q902">
        <f t="shared" si="41"/>
        <v>0.63013124999999448</v>
      </c>
      <c r="Y902">
        <f>TREND(H898:H902,G898:G902,G902)</f>
        <v>90.487176908361306</v>
      </c>
      <c r="Z902">
        <f>ABS((Y902-H902)/80*100)</f>
        <v>4.3101145483603887E-3</v>
      </c>
      <c r="AE902">
        <f>ABS(P943-P915)</f>
        <v>0.23693125000001203</v>
      </c>
      <c r="AH902">
        <f>H902-AG884</f>
        <v>90.394659999999988</v>
      </c>
      <c r="AI902">
        <f>100*(AH902-O902)/80</f>
        <v>0.51017499999998606</v>
      </c>
    </row>
    <row r="903" spans="1:41" x14ac:dyDescent="0.35">
      <c r="A903" t="s">
        <v>258</v>
      </c>
      <c r="B903" t="s">
        <v>231</v>
      </c>
      <c r="C903" t="s">
        <v>980</v>
      </c>
      <c r="D903">
        <v>0</v>
      </c>
      <c r="E903">
        <v>-0.1</v>
      </c>
      <c r="F903">
        <v>0</v>
      </c>
      <c r="G903">
        <v>-1.7E-5</v>
      </c>
      <c r="H903">
        <v>50.314062499999999</v>
      </c>
      <c r="J903">
        <v>-16948</v>
      </c>
      <c r="N903" t="s">
        <v>184</v>
      </c>
      <c r="O903">
        <f t="shared" si="39"/>
        <v>49.999319999999997</v>
      </c>
      <c r="P903">
        <f t="shared" si="40"/>
        <v>0.39342812500000157</v>
      </c>
      <c r="Q903">
        <f t="shared" si="41"/>
        <v>0.39342812500000157</v>
      </c>
      <c r="Y903">
        <f>TREND(H898:H902,G898:G902,G903)</f>
        <v>50.423447166402973</v>
      </c>
      <c r="Z903">
        <f>ABS((Y903-H903)/80*100)</f>
        <v>0.13673083300371758</v>
      </c>
      <c r="AE903">
        <f>ABS(P944-P916)</f>
        <v>1.3199999999997658E-2</v>
      </c>
      <c r="AH903">
        <f>H903-AG884</f>
        <v>50.218097499999999</v>
      </c>
      <c r="AI903">
        <f>100*(AH903-O903)/80</f>
        <v>0.27347187500000203</v>
      </c>
    </row>
    <row r="904" spans="1:41" x14ac:dyDescent="0.35">
      <c r="A904" t="s">
        <v>258</v>
      </c>
      <c r="B904" t="s">
        <v>231</v>
      </c>
      <c r="C904" t="s">
        <v>1015</v>
      </c>
      <c r="D904">
        <v>0</v>
      </c>
      <c r="E904">
        <v>0</v>
      </c>
      <c r="F904">
        <v>-1</v>
      </c>
      <c r="G904">
        <v>-1.0002340000000001</v>
      </c>
      <c r="H904">
        <v>10.396875</v>
      </c>
      <c r="J904">
        <v>-16937</v>
      </c>
      <c r="N904" t="s">
        <v>184</v>
      </c>
      <c r="O904">
        <f t="shared" si="39"/>
        <v>9.9906399999999973</v>
      </c>
      <c r="P904">
        <f t="shared" si="40"/>
        <v>0.50779375000000293</v>
      </c>
      <c r="Q904">
        <f t="shared" si="41"/>
        <v>0.50779375000000293</v>
      </c>
      <c r="Y904">
        <f>TREND(H898:H902,G898:G902,G904)</f>
        <v>10.338196314818127</v>
      </c>
      <c r="Z904">
        <f>ABS((Y904-H904)/80*100)</f>
        <v>7.3348356477340726E-2</v>
      </c>
      <c r="AE904">
        <f>ABS(P945-P917)</f>
        <v>0.20434999999999093</v>
      </c>
      <c r="AH904">
        <f>H904-AG884</f>
        <v>10.30091</v>
      </c>
      <c r="AI904">
        <f>100*(AH904-O904)/80</f>
        <v>0.38783750000000339</v>
      </c>
    </row>
    <row r="905" spans="1:41" x14ac:dyDescent="0.35">
      <c r="A905" t="s">
        <v>258</v>
      </c>
      <c r="B905" t="s">
        <v>231</v>
      </c>
      <c r="C905" t="s">
        <v>1052</v>
      </c>
      <c r="D905">
        <v>10</v>
      </c>
      <c r="E905">
        <v>10</v>
      </c>
      <c r="F905">
        <v>-1</v>
      </c>
      <c r="G905">
        <v>-0.99996600000000002</v>
      </c>
      <c r="H905">
        <v>10.3265625</v>
      </c>
      <c r="J905">
        <v>-12632</v>
      </c>
      <c r="N905" t="s">
        <v>184</v>
      </c>
      <c r="O905">
        <f t="shared" ref="O905:O968" si="42">(((G905--1)*(40))+10)</f>
        <v>10.001359999999998</v>
      </c>
      <c r="P905">
        <f t="shared" ref="P905:P968" si="43">100*(H905-O905)/80</f>
        <v>0.40650312500000174</v>
      </c>
      <c r="Q905">
        <f t="shared" ref="Q905:Q968" si="44">ABS(P905)</f>
        <v>0.40650312500000174</v>
      </c>
      <c r="S905">
        <v>50.326562500000001</v>
      </c>
      <c r="T905">
        <v>0.41400312500000425</v>
      </c>
      <c r="U905">
        <v>90.510937499999997</v>
      </c>
      <c r="V905">
        <v>0.65267187499999935</v>
      </c>
      <c r="W905">
        <v>80.184378051757818</v>
      </c>
      <c r="X905">
        <f>(W905-80)/80*100</f>
        <v>0.23047256469727273</v>
      </c>
      <c r="Y905">
        <f>TREND(H905:H909,G905:G909,G905)</f>
        <v>10.245745155536255</v>
      </c>
      <c r="Z905">
        <f>ABS((Y905-H905)/80*100)</f>
        <v>0.10102168057968043</v>
      </c>
      <c r="AA905">
        <f>MAX(Z905:Z909)</f>
        <v>0.10281258587856001</v>
      </c>
      <c r="AB905">
        <f>IF(ABS(MAX(P905:P911)) &gt; ABS(MIN(P905:P911)),MAX(P905:P911), MIN(P905:P911))</f>
        <v>0.65267187499999935</v>
      </c>
      <c r="AC905">
        <f>IF(ABS(AB906)&gt;ABS(AB905),AB906,AB905)</f>
        <v>0.65267187499999935</v>
      </c>
      <c r="AE905">
        <f>ABS(P946-P918)</f>
        <v>0.14538437500000168</v>
      </c>
      <c r="AH905">
        <f>H905-AG884</f>
        <v>10.2305975</v>
      </c>
      <c r="AI905">
        <f>100*(AH905-O905)/80</f>
        <v>0.2865468750000022</v>
      </c>
      <c r="AJ905">
        <v>50.230597500000002</v>
      </c>
      <c r="AK905">
        <v>0.2940468750000047</v>
      </c>
      <c r="AL905">
        <v>90.414972500000005</v>
      </c>
      <c r="AM905">
        <v>0.53271562500000869</v>
      </c>
      <c r="AN905">
        <f>IF(ABS(MAX(AI905:AI911)) &gt; ABS(MIN(AI905:AI911)),MAX(AI905:AI911), MIN(AI905:AI911))</f>
        <v>0.53271562500000869</v>
      </c>
      <c r="AO905">
        <f>IF(ABS(AN906)&gt;ABS(AN905),AN906,AN905)</f>
        <v>0.53271562500000869</v>
      </c>
    </row>
    <row r="906" spans="1:41" x14ac:dyDescent="0.35">
      <c r="A906" t="s">
        <v>258</v>
      </c>
      <c r="B906" t="s">
        <v>231</v>
      </c>
      <c r="C906" t="s">
        <v>1087</v>
      </c>
      <c r="D906">
        <v>10</v>
      </c>
      <c r="E906">
        <v>10</v>
      </c>
      <c r="F906">
        <v>-0.5</v>
      </c>
      <c r="G906">
        <v>-0.50015299999999996</v>
      </c>
      <c r="H906">
        <v>30.212499999999999</v>
      </c>
      <c r="J906">
        <v>-12614</v>
      </c>
      <c r="N906" t="s">
        <v>184</v>
      </c>
      <c r="O906">
        <f t="shared" si="42"/>
        <v>29.993880000000001</v>
      </c>
      <c r="P906">
        <f t="shared" si="43"/>
        <v>0.27327499999999727</v>
      </c>
      <c r="Q906">
        <f t="shared" si="44"/>
        <v>0.27327499999999727</v>
      </c>
      <c r="Y906">
        <f>TREND(H905:H909,G905:G909,G906)</f>
        <v>30.294750068702847</v>
      </c>
      <c r="Z906">
        <f>ABS((Y906-H906)/80*100)</f>
        <v>0.10281258587856001</v>
      </c>
      <c r="AB906">
        <f>IF(ABS(T905) &gt; ABS(V905),T905,V905)</f>
        <v>0.65267187499999935</v>
      </c>
      <c r="AH906">
        <f>H906-AG884</f>
        <v>30.116534999999999</v>
      </c>
      <c r="AI906">
        <f>100*(AH906-O906)/80</f>
        <v>0.15331874999999773</v>
      </c>
      <c r="AN906">
        <f>IF(ABS(AK905) &gt; ABS(AM905),AK905,AM905)</f>
        <v>0.53271562500000869</v>
      </c>
    </row>
    <row r="907" spans="1:41" x14ac:dyDescent="0.35">
      <c r="A907" t="s">
        <v>258</v>
      </c>
      <c r="B907" t="s">
        <v>1111</v>
      </c>
      <c r="C907" t="s">
        <v>1125</v>
      </c>
      <c r="D907">
        <v>10</v>
      </c>
      <c r="E907">
        <v>10</v>
      </c>
      <c r="F907">
        <v>0</v>
      </c>
      <c r="G907">
        <v>-1.16E-4</v>
      </c>
      <c r="H907">
        <v>50.326562500000001</v>
      </c>
      <c r="J907">
        <v>-12606</v>
      </c>
      <c r="N907" t="s">
        <v>184</v>
      </c>
      <c r="O907">
        <f t="shared" si="42"/>
        <v>49.995359999999998</v>
      </c>
      <c r="P907">
        <f t="shared" si="43"/>
        <v>0.41400312500000425</v>
      </c>
      <c r="Q907">
        <f t="shared" si="44"/>
        <v>0.41400312500000425</v>
      </c>
      <c r="Y907">
        <f>TREND(H905:H909,G905:G909,G907)</f>
        <v>50.352740296578233</v>
      </c>
      <c r="Z907">
        <f>ABS((Y907-H907)/80*100)</f>
        <v>3.2722245722789367E-2</v>
      </c>
      <c r="AH907">
        <f>H907-AG884</f>
        <v>50.230597500000002</v>
      </c>
      <c r="AI907">
        <f>100*(AH907-O907)/80</f>
        <v>0.2940468750000047</v>
      </c>
    </row>
    <row r="908" spans="1:41" x14ac:dyDescent="0.35">
      <c r="A908" t="s">
        <v>258</v>
      </c>
      <c r="B908" t="s">
        <v>1111</v>
      </c>
      <c r="C908" t="s">
        <v>1162</v>
      </c>
      <c r="D908">
        <v>10</v>
      </c>
      <c r="E908">
        <v>10</v>
      </c>
      <c r="F908">
        <v>0.5</v>
      </c>
      <c r="G908">
        <v>0.499944</v>
      </c>
      <c r="H908">
        <v>70.387500000000003</v>
      </c>
      <c r="J908">
        <v>-12586</v>
      </c>
      <c r="N908" t="s">
        <v>184</v>
      </c>
      <c r="O908">
        <f t="shared" si="42"/>
        <v>69.99776</v>
      </c>
      <c r="P908">
        <f t="shared" si="43"/>
        <v>0.48717500000000413</v>
      </c>
      <c r="Q908">
        <f t="shared" si="44"/>
        <v>0.48717500000000413</v>
      </c>
      <c r="Y908">
        <f>TREND(H905:H909,G905:G909,G908)</f>
        <v>70.411653123731767</v>
      </c>
      <c r="Z908">
        <f>ABS((Y908-H908)/80*100)</f>
        <v>3.0191404664705605E-2</v>
      </c>
      <c r="AH908">
        <f>H908-AG884</f>
        <v>70.29153500000001</v>
      </c>
      <c r="AI908">
        <f>100*(AH908-O908)/80</f>
        <v>0.36721875000001347</v>
      </c>
    </row>
    <row r="909" spans="1:41" x14ac:dyDescent="0.35">
      <c r="A909" t="s">
        <v>258</v>
      </c>
      <c r="B909" t="s">
        <v>1111</v>
      </c>
      <c r="C909" t="s">
        <v>1199</v>
      </c>
      <c r="D909">
        <v>10</v>
      </c>
      <c r="E909">
        <v>10</v>
      </c>
      <c r="F909">
        <v>1</v>
      </c>
      <c r="G909">
        <v>0.99972000000000005</v>
      </c>
      <c r="H909">
        <v>90.510937499999997</v>
      </c>
      <c r="J909">
        <v>-12575</v>
      </c>
      <c r="N909" t="s">
        <v>184</v>
      </c>
      <c r="O909">
        <f t="shared" si="42"/>
        <v>89.988799999999998</v>
      </c>
      <c r="P909">
        <f t="shared" si="43"/>
        <v>0.65267187499999935</v>
      </c>
      <c r="Q909">
        <f t="shared" si="44"/>
        <v>0.65267187499999935</v>
      </c>
      <c r="Y909">
        <f>TREND(H905:H909,G905:G909,G909)</f>
        <v>90.459173855450928</v>
      </c>
      <c r="Z909">
        <f>ABS((Y909-H909)/80*100)</f>
        <v>6.4704555686336818E-2</v>
      </c>
      <c r="AH909">
        <f>H909-AG884</f>
        <v>90.414972500000005</v>
      </c>
      <c r="AI909">
        <f>100*(AH909-O909)/80</f>
        <v>0.53271562500000869</v>
      </c>
    </row>
    <row r="910" spans="1:41" x14ac:dyDescent="0.35">
      <c r="A910" t="s">
        <v>258</v>
      </c>
      <c r="B910" t="s">
        <v>1111</v>
      </c>
      <c r="C910" t="s">
        <v>1235</v>
      </c>
      <c r="D910">
        <v>10</v>
      </c>
      <c r="E910">
        <v>10</v>
      </c>
      <c r="F910">
        <v>0</v>
      </c>
      <c r="G910">
        <v>1.37E-4</v>
      </c>
      <c r="H910">
        <v>50.274999999999999</v>
      </c>
      <c r="J910">
        <v>-12560</v>
      </c>
      <c r="N910" t="s">
        <v>184</v>
      </c>
      <c r="O910">
        <f t="shared" si="42"/>
        <v>50.005480000000006</v>
      </c>
      <c r="P910">
        <f t="shared" si="43"/>
        <v>0.3368999999999911</v>
      </c>
      <c r="Q910">
        <f t="shared" si="44"/>
        <v>0.3368999999999911</v>
      </c>
      <c r="Y910">
        <f>TREND(H905:H909,G905:G909,G910)</f>
        <v>50.362888888637727</v>
      </c>
      <c r="Z910">
        <f>ABS((Y910-H910)/80*100)</f>
        <v>0.10986111079716032</v>
      </c>
      <c r="AH910">
        <f>H910-AG884</f>
        <v>50.179034999999999</v>
      </c>
      <c r="AI910">
        <f>100*(AH910-O910)/80</f>
        <v>0.21694374999999155</v>
      </c>
    </row>
    <row r="911" spans="1:41" x14ac:dyDescent="0.35">
      <c r="A911" t="s">
        <v>258</v>
      </c>
      <c r="B911" t="s">
        <v>1111</v>
      </c>
      <c r="C911" t="s">
        <v>1272</v>
      </c>
      <c r="D911">
        <v>10</v>
      </c>
      <c r="E911">
        <v>10</v>
      </c>
      <c r="F911">
        <v>-1</v>
      </c>
      <c r="G911">
        <v>-1.000024</v>
      </c>
      <c r="H911">
        <v>10.340624999999999</v>
      </c>
      <c r="J911">
        <v>-12558</v>
      </c>
      <c r="N911" t="s">
        <v>184</v>
      </c>
      <c r="O911">
        <f t="shared" si="42"/>
        <v>9.999039999999999</v>
      </c>
      <c r="P911">
        <f t="shared" si="43"/>
        <v>0.42698125000000031</v>
      </c>
      <c r="Q911">
        <f t="shared" si="44"/>
        <v>0.42698125000000031</v>
      </c>
      <c r="Y911">
        <f>TREND(H905:H909,G905:G909,G911)</f>
        <v>10.243418600834865</v>
      </c>
      <c r="Z911">
        <f>ABS((Y911-H911)/80*100)</f>
        <v>0.12150799895641827</v>
      </c>
      <c r="AH911">
        <f>H911-AG884</f>
        <v>10.24466</v>
      </c>
      <c r="AI911">
        <f>100*(AH911-O911)/80</f>
        <v>0.30702500000000077</v>
      </c>
    </row>
    <row r="912" spans="1:41" x14ac:dyDescent="0.35">
      <c r="A912" t="s">
        <v>258</v>
      </c>
      <c r="B912" t="s">
        <v>1111</v>
      </c>
      <c r="C912" t="s">
        <v>1308</v>
      </c>
      <c r="D912">
        <v>25</v>
      </c>
      <c r="E912">
        <v>25</v>
      </c>
      <c r="F912">
        <v>-1</v>
      </c>
      <c r="G912">
        <v>-0.99982899999999997</v>
      </c>
      <c r="H912">
        <v>10.209375</v>
      </c>
      <c r="J912">
        <v>-6451</v>
      </c>
      <c r="N912" t="s">
        <v>184</v>
      </c>
      <c r="O912">
        <f t="shared" si="42"/>
        <v>10.00684</v>
      </c>
      <c r="P912">
        <f t="shared" si="43"/>
        <v>0.25316874999999905</v>
      </c>
      <c r="Q912">
        <f t="shared" si="44"/>
        <v>0.25316874999999905</v>
      </c>
      <c r="S912">
        <v>50.262500000000003</v>
      </c>
      <c r="T912">
        <v>0.33322500000000588</v>
      </c>
      <c r="U912">
        <v>90.368750000000006</v>
      </c>
      <c r="V912">
        <v>0.44263750000000712</v>
      </c>
      <c r="W912">
        <v>80.159376525878912</v>
      </c>
      <c r="X912">
        <f>(W912-80)/80*100</f>
        <v>0.19922065734863992</v>
      </c>
      <c r="Y912">
        <f>TREND(H912:H916,G912:G916,G912)</f>
        <v>10.180298356197618</v>
      </c>
      <c r="Z912">
        <f>ABS((Y912-H912)/80*100)</f>
        <v>3.634580475297744E-2</v>
      </c>
      <c r="AA912">
        <f>MAX(Z912:Z916)</f>
        <v>9.2090963437723161E-2</v>
      </c>
      <c r="AB912">
        <f>IF(ABS(MAX(P912:P918)) &gt; ABS(MIN(P912:P918)),MAX(P912:P918), MIN(P912:P918))</f>
        <v>0.51066562500000856</v>
      </c>
      <c r="AC912">
        <f>IF(ABS(AB913)&gt;ABS(AB912),AB913,AB912)</f>
        <v>0.51066562500000856</v>
      </c>
      <c r="AH912">
        <f>H912-AG884</f>
        <v>10.11341</v>
      </c>
      <c r="AI912">
        <f>100*(AH912-O912)/80</f>
        <v>0.13321249999999951</v>
      </c>
      <c r="AJ912">
        <v>50.166535000000003</v>
      </c>
      <c r="AK912">
        <v>0.21326875000000634</v>
      </c>
      <c r="AL912">
        <v>90.272784999999999</v>
      </c>
      <c r="AM912">
        <v>0.3226812499999987</v>
      </c>
      <c r="AN912">
        <f>IF(ABS(MAX(AI912:AI918)) &gt; ABS(MIN(AI912:AI918)),MAX(AI912:AI918), MIN(AI912:AI918))</f>
        <v>0.39070937500000014</v>
      </c>
      <c r="AO912">
        <f>IF(ABS(AN913)&gt;ABS(AN912),AN913,AN912)</f>
        <v>0.39070937500000014</v>
      </c>
    </row>
    <row r="913" spans="1:41" x14ac:dyDescent="0.35">
      <c r="A913" t="s">
        <v>258</v>
      </c>
      <c r="B913" t="s">
        <v>1111</v>
      </c>
      <c r="C913" t="s">
        <v>1345</v>
      </c>
      <c r="D913">
        <v>25</v>
      </c>
      <c r="E913">
        <v>25</v>
      </c>
      <c r="F913">
        <v>-0.5</v>
      </c>
      <c r="G913">
        <v>-0.50004199999999999</v>
      </c>
      <c r="H913">
        <v>30.171875</v>
      </c>
      <c r="J913">
        <v>-6427</v>
      </c>
      <c r="N913" t="s">
        <v>184</v>
      </c>
      <c r="O913">
        <f t="shared" si="42"/>
        <v>29.99832</v>
      </c>
      <c r="P913">
        <f t="shared" si="43"/>
        <v>0.21694375000000043</v>
      </c>
      <c r="Q913">
        <f t="shared" si="44"/>
        <v>0.21694375000000043</v>
      </c>
      <c r="Y913">
        <f>TREND(H912:H916,G912:G916,G913)</f>
        <v>30.22556267171047</v>
      </c>
      <c r="Z913">
        <f>ABS((Y913-H913)/80*100)</f>
        <v>6.7109589638087996E-2</v>
      </c>
      <c r="AB913">
        <f>IF(ABS(T912) &gt; ABS(V912),T912,V912)</f>
        <v>0.44263750000000712</v>
      </c>
      <c r="AH913">
        <f>H913-AG884</f>
        <v>30.07591</v>
      </c>
      <c r="AI913">
        <f>100*(AH913-O913)/80</f>
        <v>9.6987500000000892E-2</v>
      </c>
      <c r="AN913">
        <f>IF(ABS(AK912) &gt; ABS(AM912),AK912,AM912)</f>
        <v>0.3226812499999987</v>
      </c>
    </row>
    <row r="914" spans="1:41" x14ac:dyDescent="0.35">
      <c r="A914" t="s">
        <v>258</v>
      </c>
      <c r="B914" t="s">
        <v>1111</v>
      </c>
      <c r="C914" t="s">
        <v>1381</v>
      </c>
      <c r="D914">
        <v>25</v>
      </c>
      <c r="E914">
        <v>25</v>
      </c>
      <c r="F914">
        <v>0</v>
      </c>
      <c r="G914">
        <v>-1.02E-4</v>
      </c>
      <c r="H914">
        <v>50.262500000000003</v>
      </c>
      <c r="J914">
        <v>-6412</v>
      </c>
      <c r="N914" t="s">
        <v>184</v>
      </c>
      <c r="O914">
        <f t="shared" si="42"/>
        <v>49.995919999999998</v>
      </c>
      <c r="P914">
        <f t="shared" si="43"/>
        <v>0.33322500000000588</v>
      </c>
      <c r="Q914">
        <f t="shared" si="44"/>
        <v>0.33322500000000588</v>
      </c>
      <c r="Y914">
        <f>TREND(H912:H916,G912:G916,G914)</f>
        <v>50.276963452237965</v>
      </c>
      <c r="Z914">
        <f>ABS((Y914-H914)/80*100)</f>
        <v>1.8079315297452325E-2</v>
      </c>
      <c r="AH914">
        <f>H914-AG884</f>
        <v>50.166535000000003</v>
      </c>
      <c r="AI914">
        <f>100*(AH914-O914)/80</f>
        <v>0.21326875000000634</v>
      </c>
    </row>
    <row r="915" spans="1:41" x14ac:dyDescent="0.35">
      <c r="A915" t="s">
        <v>258</v>
      </c>
      <c r="B915" t="s">
        <v>1111</v>
      </c>
      <c r="C915" t="s">
        <v>1418</v>
      </c>
      <c r="D915">
        <v>25</v>
      </c>
      <c r="E915">
        <v>25</v>
      </c>
      <c r="F915">
        <v>0.5</v>
      </c>
      <c r="G915">
        <v>0.49998199999999998</v>
      </c>
      <c r="H915">
        <v>70.407812500000006</v>
      </c>
      <c r="J915">
        <v>-6405</v>
      </c>
      <c r="N915" t="s">
        <v>184</v>
      </c>
      <c r="O915">
        <f t="shared" si="42"/>
        <v>69.999279999999999</v>
      </c>
      <c r="P915">
        <f t="shared" si="43"/>
        <v>0.51066562500000856</v>
      </c>
      <c r="Q915">
        <f t="shared" si="44"/>
        <v>0.51066562500000856</v>
      </c>
      <c r="Y915">
        <f>TREND(H912:H916,G912:G916,G915)</f>
        <v>70.334139729249827</v>
      </c>
      <c r="Z915">
        <f>ABS((Y915-H915)/80*100)</f>
        <v>9.2090963437723161E-2</v>
      </c>
      <c r="AH915">
        <f>H915-AG884</f>
        <v>70.311847499999999</v>
      </c>
      <c r="AI915">
        <f>100*(AH915-O915)/80</f>
        <v>0.39070937500000014</v>
      </c>
    </row>
    <row r="916" spans="1:41" x14ac:dyDescent="0.35">
      <c r="A916" t="s">
        <v>258</v>
      </c>
      <c r="B916" t="s">
        <v>1111</v>
      </c>
      <c r="C916" t="s">
        <v>1454</v>
      </c>
      <c r="D916">
        <v>25</v>
      </c>
      <c r="E916">
        <v>25</v>
      </c>
      <c r="F916">
        <v>1</v>
      </c>
      <c r="G916">
        <v>1.0003660000000001</v>
      </c>
      <c r="H916">
        <v>90.368750000000006</v>
      </c>
      <c r="J916">
        <v>-6394</v>
      </c>
      <c r="N916" t="s">
        <v>184</v>
      </c>
      <c r="O916">
        <f t="shared" si="42"/>
        <v>90.01464</v>
      </c>
      <c r="P916">
        <f t="shared" si="43"/>
        <v>0.44263750000000712</v>
      </c>
      <c r="Q916">
        <f t="shared" si="44"/>
        <v>0.44263750000000712</v>
      </c>
      <c r="Y916">
        <f>TREND(H912:H916,G912:G916,G916)</f>
        <v>90.403348290604129</v>
      </c>
      <c r="Z916">
        <f>ABS((Y916-H916)/80*100)</f>
        <v>4.3247863255153618E-2</v>
      </c>
      <c r="AH916">
        <f>H916-AG884</f>
        <v>90.272784999999999</v>
      </c>
      <c r="AI916">
        <f>100*(AH916-O916)/80</f>
        <v>0.3226812499999987</v>
      </c>
    </row>
    <row r="917" spans="1:41" x14ac:dyDescent="0.35">
      <c r="A917" t="s">
        <v>258</v>
      </c>
      <c r="B917" t="s">
        <v>1111</v>
      </c>
      <c r="C917" t="s">
        <v>1491</v>
      </c>
      <c r="D917">
        <v>25</v>
      </c>
      <c r="E917">
        <v>25</v>
      </c>
      <c r="F917">
        <v>0</v>
      </c>
      <c r="G917">
        <v>4.5000000000000003E-5</v>
      </c>
      <c r="H917">
        <v>50.292187499999997</v>
      </c>
      <c r="J917">
        <v>0</v>
      </c>
      <c r="N917" t="s">
        <v>184</v>
      </c>
      <c r="O917">
        <f t="shared" si="42"/>
        <v>50.001800000000003</v>
      </c>
      <c r="P917">
        <f t="shared" si="43"/>
        <v>0.36298437499999281</v>
      </c>
      <c r="Q917">
        <f t="shared" si="44"/>
        <v>0.36298437499999281</v>
      </c>
      <c r="Y917">
        <f>TREND(H912:H916,G912:G916,G917)</f>
        <v>50.282859271565762</v>
      </c>
      <c r="Z917">
        <f>ABS((Y917-H917)/80*100)</f>
        <v>1.1660285542793858E-2</v>
      </c>
      <c r="AH917">
        <f>H917-AG884</f>
        <v>50.196222499999998</v>
      </c>
      <c r="AI917">
        <f>100*(AH917-O917)/80</f>
        <v>0.24302812499999327</v>
      </c>
    </row>
    <row r="918" spans="1:41" x14ac:dyDescent="0.35">
      <c r="A918" t="s">
        <v>258</v>
      </c>
      <c r="B918" t="s">
        <v>1111</v>
      </c>
      <c r="C918" t="s">
        <v>1528</v>
      </c>
      <c r="D918">
        <v>25</v>
      </c>
      <c r="E918">
        <v>25</v>
      </c>
      <c r="F918">
        <v>-1</v>
      </c>
      <c r="G918">
        <v>-0.99990500000000004</v>
      </c>
      <c r="H918">
        <v>10.2671875</v>
      </c>
      <c r="J918">
        <v>-6379</v>
      </c>
      <c r="N918" t="s">
        <v>184</v>
      </c>
      <c r="O918">
        <f t="shared" si="42"/>
        <v>10.003799999999998</v>
      </c>
      <c r="P918">
        <f t="shared" si="43"/>
        <v>0.32923437500000263</v>
      </c>
      <c r="Q918">
        <f t="shared" si="44"/>
        <v>0.32923437500000263</v>
      </c>
      <c r="Y918">
        <f>TREND(H912:H916,G912:G916,G918)</f>
        <v>10.177250177497534</v>
      </c>
      <c r="Z918">
        <f>ABS((Y918-H918)/80*100)</f>
        <v>0.11242165312808304</v>
      </c>
      <c r="AH918">
        <f>H918-AG884</f>
        <v>10.171222500000001</v>
      </c>
      <c r="AI918">
        <f>100*(AH918-O918)/80</f>
        <v>0.20927812500000309</v>
      </c>
    </row>
    <row r="919" spans="1:41" x14ac:dyDescent="0.35">
      <c r="A919" t="s">
        <v>258</v>
      </c>
      <c r="B919" t="s">
        <v>1111</v>
      </c>
      <c r="C919" t="s">
        <v>1565</v>
      </c>
      <c r="D919">
        <v>50</v>
      </c>
      <c r="E919">
        <v>50</v>
      </c>
      <c r="F919">
        <v>-1</v>
      </c>
      <c r="G919">
        <v>-1.000167</v>
      </c>
      <c r="H919">
        <v>10.2125</v>
      </c>
      <c r="J919">
        <v>3660</v>
      </c>
      <c r="N919" t="s">
        <v>184</v>
      </c>
      <c r="O919">
        <f t="shared" si="42"/>
        <v>9.9933199999999989</v>
      </c>
      <c r="P919">
        <f t="shared" si="43"/>
        <v>0.27397500000000186</v>
      </c>
      <c r="Q919">
        <f t="shared" si="44"/>
        <v>0.27397500000000186</v>
      </c>
      <c r="S919">
        <v>50.278125000000003</v>
      </c>
      <c r="T919">
        <v>0.34005625000000705</v>
      </c>
      <c r="U919">
        <v>90.323437499999997</v>
      </c>
      <c r="V919">
        <v>0.3940968749999918</v>
      </c>
      <c r="W919">
        <v>80.110940551757807</v>
      </c>
      <c r="X919">
        <f>(W919-80)/80*100</f>
        <v>0.13867568969725852</v>
      </c>
      <c r="Y919">
        <f>TREND(H919:H923,G919:G923,G919)</f>
        <v>10.188551307396587</v>
      </c>
      <c r="Z919">
        <f>ABS((Y919-H919)/80*100)</f>
        <v>2.9935865754266988E-2</v>
      </c>
      <c r="AA919">
        <f>MAX(Z919:Z923)</f>
        <v>8.4638096830005338E-2</v>
      </c>
      <c r="AB919">
        <f>IF(ABS(MAX(P919:P925)) &gt; ABS(MIN(P919:P925)),MAX(P919:P925), MIN(P919:P925))</f>
        <v>0.47556249999999523</v>
      </c>
      <c r="AC919">
        <f>IF(ABS(AB920)&gt;ABS(AB919),AB920,AB919)</f>
        <v>0.47556249999999523</v>
      </c>
      <c r="AH919">
        <f>H919-AG884</f>
        <v>10.116535000000001</v>
      </c>
      <c r="AI919">
        <f>100*(AH919-O919)/80</f>
        <v>0.15401875000000231</v>
      </c>
      <c r="AJ919">
        <v>50.182160000000003</v>
      </c>
      <c r="AK919">
        <v>0.22010000000000751</v>
      </c>
      <c r="AL919">
        <v>90.227472500000005</v>
      </c>
      <c r="AM919">
        <v>0.27414062500000114</v>
      </c>
      <c r="AN919">
        <f>IF(ABS(MAX(AI919:AI925)) &gt; ABS(MIN(AI919:AI925)),MAX(AI919:AI925), MIN(AI919:AI925))</f>
        <v>0.3556062499999868</v>
      </c>
      <c r="AO919">
        <f>IF(ABS(AN920)&gt;ABS(AN919),AN920,AN919)</f>
        <v>0.3556062499999868</v>
      </c>
    </row>
    <row r="920" spans="1:41" x14ac:dyDescent="0.35">
      <c r="A920" t="s">
        <v>258</v>
      </c>
      <c r="B920" t="s">
        <v>1111</v>
      </c>
      <c r="C920" t="s">
        <v>1601</v>
      </c>
      <c r="D920">
        <v>50</v>
      </c>
      <c r="E920">
        <v>50</v>
      </c>
      <c r="F920">
        <v>-0.5</v>
      </c>
      <c r="G920">
        <v>-0.50010900000000003</v>
      </c>
      <c r="H920">
        <v>30.176562499999999</v>
      </c>
      <c r="J920">
        <v>3688</v>
      </c>
      <c r="N920" t="s">
        <v>184</v>
      </c>
      <c r="O920">
        <f t="shared" si="42"/>
        <v>29.995639999999998</v>
      </c>
      <c r="P920">
        <f t="shared" si="43"/>
        <v>0.22615312500000151</v>
      </c>
      <c r="Q920">
        <f t="shared" si="44"/>
        <v>0.22615312500000151</v>
      </c>
      <c r="Y920">
        <f>TREND(H919:H923,G919:G923,G920)</f>
        <v>30.230040373017189</v>
      </c>
      <c r="Z920">
        <f>ABS((Y920-H920)/80*100)</f>
        <v>6.6847341271487615E-2</v>
      </c>
      <c r="AB920">
        <f>IF(ABS(T919) &gt; ABS(V919),T919,V919)</f>
        <v>0.3940968749999918</v>
      </c>
      <c r="AH920">
        <f>H920-AG884</f>
        <v>30.0805975</v>
      </c>
      <c r="AI920">
        <f>100*(AH920-O920)/80</f>
        <v>0.10619687500000197</v>
      </c>
      <c r="AN920">
        <f>IF(ABS(AK919) &gt; ABS(AM919),AK919,AM919)</f>
        <v>0.27414062500000114</v>
      </c>
    </row>
    <row r="921" spans="1:41" x14ac:dyDescent="0.35">
      <c r="A921" t="s">
        <v>258</v>
      </c>
      <c r="B921" t="s">
        <v>1111</v>
      </c>
      <c r="C921" t="s">
        <v>1638</v>
      </c>
      <c r="D921">
        <v>50</v>
      </c>
      <c r="E921">
        <v>50</v>
      </c>
      <c r="F921">
        <v>0</v>
      </c>
      <c r="G921">
        <v>1.5200000000000001E-4</v>
      </c>
      <c r="H921">
        <v>50.278125000000003</v>
      </c>
      <c r="J921">
        <v>3710</v>
      </c>
      <c r="N921" t="s">
        <v>184</v>
      </c>
      <c r="O921">
        <f t="shared" si="42"/>
        <v>50.006079999999997</v>
      </c>
      <c r="P921">
        <f t="shared" si="43"/>
        <v>0.34005625000000705</v>
      </c>
      <c r="Q921">
        <f t="shared" si="44"/>
        <v>0.34005625000000705</v>
      </c>
      <c r="Y921">
        <f>TREND(H919:H923,G919:G923,G921)</f>
        <v>50.279665339433947</v>
      </c>
      <c r="Z921">
        <f>ABS((Y921-H921)/80*100)</f>
        <v>1.9254242924304776E-3</v>
      </c>
      <c r="AH921">
        <f>H921-AG884</f>
        <v>50.182160000000003</v>
      </c>
      <c r="AI921">
        <f>100*(AH921-O921)/80</f>
        <v>0.22010000000000751</v>
      </c>
    </row>
    <row r="922" spans="1:41" x14ac:dyDescent="0.35">
      <c r="A922" t="s">
        <v>258</v>
      </c>
      <c r="B922" t="s">
        <v>1111</v>
      </c>
      <c r="C922" t="s">
        <v>1675</v>
      </c>
      <c r="D922">
        <v>50</v>
      </c>
      <c r="E922">
        <v>50</v>
      </c>
      <c r="F922">
        <v>0.5</v>
      </c>
      <c r="G922">
        <v>0.50002000000000002</v>
      </c>
      <c r="H922">
        <v>70.381249999999994</v>
      </c>
      <c r="J922">
        <v>3727</v>
      </c>
      <c r="N922" t="s">
        <v>184</v>
      </c>
      <c r="O922">
        <f t="shared" si="42"/>
        <v>70.000799999999998</v>
      </c>
      <c r="P922">
        <f t="shared" si="43"/>
        <v>0.47556249999999523</v>
      </c>
      <c r="Q922">
        <f t="shared" si="44"/>
        <v>0.47556249999999523</v>
      </c>
      <c r="Y922">
        <f>TREND(H919:H923,G919:G923,G922)</f>
        <v>70.31353952253599</v>
      </c>
      <c r="Z922">
        <f>ABS((Y922-H922)/80*100)</f>
        <v>8.4638096830005338E-2</v>
      </c>
      <c r="AH922">
        <f>H922-AG884</f>
        <v>70.285284999999988</v>
      </c>
      <c r="AI922">
        <f>100*(AH922-O922)/80</f>
        <v>0.3556062499999868</v>
      </c>
    </row>
    <row r="923" spans="1:41" x14ac:dyDescent="0.35">
      <c r="A923" t="s">
        <v>258</v>
      </c>
      <c r="B923" t="s">
        <v>1111</v>
      </c>
      <c r="C923" t="s">
        <v>1712</v>
      </c>
      <c r="D923">
        <v>50</v>
      </c>
      <c r="E923">
        <v>50</v>
      </c>
      <c r="F923">
        <v>1</v>
      </c>
      <c r="G923">
        <v>1.0002040000000001</v>
      </c>
      <c r="H923">
        <v>90.323437499999997</v>
      </c>
      <c r="J923">
        <v>3754</v>
      </c>
      <c r="N923" t="s">
        <v>184</v>
      </c>
      <c r="O923">
        <f t="shared" si="42"/>
        <v>90.008160000000004</v>
      </c>
      <c r="P923">
        <f t="shared" si="43"/>
        <v>0.3940968749999918</v>
      </c>
      <c r="Q923">
        <f t="shared" si="44"/>
        <v>0.3940968749999918</v>
      </c>
      <c r="Y923">
        <f>TREND(H919:H923,G919:G923,G923)</f>
        <v>90.360078457616282</v>
      </c>
      <c r="Z923">
        <f>ABS((Y923-H923)/80*100)</f>
        <v>4.5801197020356454E-2</v>
      </c>
      <c r="AH923">
        <f>H923-AG884</f>
        <v>90.227472500000005</v>
      </c>
      <c r="AI923">
        <f>100*(AH923-O923)/80</f>
        <v>0.27414062500000114</v>
      </c>
    </row>
    <row r="924" spans="1:41" x14ac:dyDescent="0.35">
      <c r="A924" t="s">
        <v>258</v>
      </c>
      <c r="B924" t="s">
        <v>1111</v>
      </c>
      <c r="C924" t="s">
        <v>1748</v>
      </c>
      <c r="D924">
        <v>50</v>
      </c>
      <c r="E924">
        <v>50</v>
      </c>
      <c r="F924">
        <v>0</v>
      </c>
      <c r="G924">
        <v>5.0000000000000004E-6</v>
      </c>
      <c r="H924">
        <v>50.2890625</v>
      </c>
      <c r="J924">
        <v>3780</v>
      </c>
      <c r="N924" t="s">
        <v>184</v>
      </c>
      <c r="O924">
        <f t="shared" si="42"/>
        <v>50.0002</v>
      </c>
      <c r="P924">
        <f t="shared" si="43"/>
        <v>0.36107812500000058</v>
      </c>
      <c r="Q924">
        <f t="shared" si="44"/>
        <v>0.36107812500000058</v>
      </c>
      <c r="Y924">
        <f>TREND(H919:H923,G919:G923,G924)</f>
        <v>50.273773825064318</v>
      </c>
      <c r="Z924">
        <f>ABS((Y924-H924)/80*100)</f>
        <v>1.9110843669603028E-2</v>
      </c>
      <c r="AH924">
        <f>H924-AG884</f>
        <v>50.1930975</v>
      </c>
      <c r="AI924">
        <f>100*(AH924-O924)/80</f>
        <v>0.24112187500000104</v>
      </c>
    </row>
    <row r="925" spans="1:41" x14ac:dyDescent="0.35">
      <c r="A925" t="s">
        <v>258</v>
      </c>
      <c r="B925" t="s">
        <v>1111</v>
      </c>
      <c r="C925" t="s">
        <v>1785</v>
      </c>
      <c r="D925">
        <v>50</v>
      </c>
      <c r="E925">
        <v>50</v>
      </c>
      <c r="F925">
        <v>-1</v>
      </c>
      <c r="G925">
        <v>-0.99996600000000002</v>
      </c>
      <c r="H925">
        <v>10.209375</v>
      </c>
      <c r="J925">
        <v>3786</v>
      </c>
      <c r="N925" t="s">
        <v>184</v>
      </c>
      <c r="O925">
        <f t="shared" si="42"/>
        <v>10.001359999999998</v>
      </c>
      <c r="P925">
        <f t="shared" si="43"/>
        <v>0.26001875000000174</v>
      </c>
      <c r="Q925">
        <f t="shared" si="44"/>
        <v>0.26001875000000174</v>
      </c>
      <c r="Y925">
        <f>TREND(H919:H923,G919:G923,G925)</f>
        <v>10.196607051534642</v>
      </c>
      <c r="Z925">
        <f>ABS((Y925-H925)/80*100)</f>
        <v>1.5959935581697504E-2</v>
      </c>
      <c r="AH925">
        <f>H925-AG884</f>
        <v>10.11341</v>
      </c>
      <c r="AI925">
        <f>100*(AH925-O925)/80</f>
        <v>0.1400625000000022</v>
      </c>
    </row>
    <row r="926" spans="1:41" x14ac:dyDescent="0.35">
      <c r="A926" t="s">
        <v>258</v>
      </c>
      <c r="B926" t="s">
        <v>1111</v>
      </c>
      <c r="C926" t="s">
        <v>1822</v>
      </c>
      <c r="D926">
        <v>70</v>
      </c>
      <c r="E926">
        <v>70</v>
      </c>
      <c r="F926">
        <v>-1</v>
      </c>
      <c r="G926">
        <v>-0.99967700000000004</v>
      </c>
      <c r="H926">
        <v>10.3765625</v>
      </c>
      <c r="J926">
        <v>11933</v>
      </c>
      <c r="N926" t="s">
        <v>184</v>
      </c>
      <c r="O926">
        <f t="shared" si="42"/>
        <v>10.012919999999998</v>
      </c>
      <c r="P926">
        <f t="shared" si="43"/>
        <v>0.45455312500000344</v>
      </c>
      <c r="Q926">
        <f t="shared" si="44"/>
        <v>0.45455312500000344</v>
      </c>
      <c r="S926">
        <v>50.314062499999999</v>
      </c>
      <c r="T926">
        <v>0.37927812499999547</v>
      </c>
      <c r="U926">
        <v>90.432812499999997</v>
      </c>
      <c r="V926">
        <v>0.54816562499999222</v>
      </c>
      <c r="W926">
        <v>80.056253051757807</v>
      </c>
      <c r="X926">
        <f>(W926-80)/80*100</f>
        <v>7.031631469725852E-2</v>
      </c>
      <c r="Y926">
        <f>TREND(H926:H930,G926:G930,G926)</f>
        <v>10.309916214146398</v>
      </c>
      <c r="Z926">
        <f>ABS((Y926-H926)/80*100)</f>
        <v>8.3307857317003187E-2</v>
      </c>
      <c r="AA926">
        <f>MAX(Z926:Z930)</f>
        <v>8.3307857317003187E-2</v>
      </c>
      <c r="AB926">
        <f>IF(ABS(MAX(P926:P932)) &gt; ABS(MIN(P926:P932)),MAX(P926:P932), MIN(P926:P932))</f>
        <v>0.55052500000000393</v>
      </c>
      <c r="AC926">
        <f>IF(ABS(AB927)&gt;ABS(AB926),AB927,AB926)</f>
        <v>0.55052500000000393</v>
      </c>
      <c r="AH926">
        <f>H926-AG884</f>
        <v>10.280597500000001</v>
      </c>
      <c r="AI926">
        <f>100*(AH926-O926)/80</f>
        <v>0.3345968750000039</v>
      </c>
      <c r="AJ926">
        <v>50.218097499999999</v>
      </c>
      <c r="AK926">
        <v>0.25932187499999593</v>
      </c>
      <c r="AL926">
        <v>90.336847500000005</v>
      </c>
      <c r="AM926">
        <v>0.42820937500000156</v>
      </c>
      <c r="AN926">
        <f>IF(ABS(MAX(AI926:AI932)) &gt; ABS(MIN(AI926:AI932)),MAX(AI926:AI932), MIN(AI926:AI932))</f>
        <v>0.4305687499999955</v>
      </c>
      <c r="AO926">
        <f>IF(ABS(AN927)&gt;ABS(AN926),AN927,AN926)</f>
        <v>0.4305687499999955</v>
      </c>
    </row>
    <row r="927" spans="1:41" x14ac:dyDescent="0.35">
      <c r="A927" t="s">
        <v>258</v>
      </c>
      <c r="B927" t="s">
        <v>1111</v>
      </c>
      <c r="C927" t="s">
        <v>1859</v>
      </c>
      <c r="D927">
        <v>70</v>
      </c>
      <c r="E927">
        <v>70</v>
      </c>
      <c r="F927">
        <v>-0.5</v>
      </c>
      <c r="G927">
        <v>-0.50012999999999996</v>
      </c>
      <c r="H927">
        <v>30.259374999999999</v>
      </c>
      <c r="J927">
        <v>11955</v>
      </c>
      <c r="N927" t="s">
        <v>184</v>
      </c>
      <c r="O927">
        <f t="shared" si="42"/>
        <v>29.994800000000001</v>
      </c>
      <c r="P927">
        <f t="shared" si="43"/>
        <v>0.3307187499999964</v>
      </c>
      <c r="Q927">
        <f t="shared" si="44"/>
        <v>0.3307187499999964</v>
      </c>
      <c r="Y927">
        <f>TREND(H926:H930,G926:G930,G927)</f>
        <v>30.324336785810576</v>
      </c>
      <c r="Z927">
        <f>ABS((Y927-H927)/80*100)</f>
        <v>8.1202232263222207E-2</v>
      </c>
      <c r="AB927">
        <f>IF(ABS(T926) &gt; ABS(V926),T926,V926)</f>
        <v>0.54816562499999222</v>
      </c>
      <c r="AH927">
        <f>H927-AG884</f>
        <v>30.163409999999999</v>
      </c>
      <c r="AI927">
        <f>100*(AH927-O927)/80</f>
        <v>0.21076249999999686</v>
      </c>
      <c r="AN927">
        <f>IF(ABS(AK926) &gt; ABS(AM926),AK926,AM926)</f>
        <v>0.42820937500000156</v>
      </c>
    </row>
    <row r="928" spans="1:41" x14ac:dyDescent="0.35">
      <c r="A928" t="s">
        <v>258</v>
      </c>
      <c r="B928" t="s">
        <v>1111</v>
      </c>
      <c r="C928" t="s">
        <v>1895</v>
      </c>
      <c r="D928">
        <v>70</v>
      </c>
      <c r="E928">
        <v>70</v>
      </c>
      <c r="F928">
        <v>0</v>
      </c>
      <c r="G928">
        <v>2.6600000000000001E-4</v>
      </c>
      <c r="H928">
        <v>50.314062499999999</v>
      </c>
      <c r="J928">
        <v>11992</v>
      </c>
      <c r="N928" t="s">
        <v>184</v>
      </c>
      <c r="O928">
        <f t="shared" si="42"/>
        <v>50.010640000000002</v>
      </c>
      <c r="P928">
        <f t="shared" si="43"/>
        <v>0.37927812499999547</v>
      </c>
      <c r="Q928">
        <f t="shared" si="44"/>
        <v>0.37927812499999547</v>
      </c>
      <c r="Y928">
        <f>TREND(H926:H930,G926:G930,G928)</f>
        <v>50.372772661470854</v>
      </c>
      <c r="Z928">
        <f>ABS((Y928-H928)/80*100)</f>
        <v>7.3387701838569797E-2</v>
      </c>
      <c r="AH928">
        <f>H928-AG884</f>
        <v>50.218097499999999</v>
      </c>
      <c r="AI928">
        <f>100*(AH928-O928)/80</f>
        <v>0.25932187499999593</v>
      </c>
    </row>
    <row r="929" spans="1:41" x14ac:dyDescent="0.35">
      <c r="A929" t="s">
        <v>258</v>
      </c>
      <c r="B929" t="s">
        <v>1111</v>
      </c>
      <c r="C929" t="s">
        <v>1932</v>
      </c>
      <c r="D929">
        <v>70</v>
      </c>
      <c r="E929">
        <v>70</v>
      </c>
      <c r="F929">
        <v>0.5</v>
      </c>
      <c r="G929">
        <v>0.49992700000000001</v>
      </c>
      <c r="H929">
        <v>70.4375</v>
      </c>
      <c r="J929">
        <v>12007</v>
      </c>
      <c r="N929" t="s">
        <v>184</v>
      </c>
      <c r="O929">
        <f t="shared" si="42"/>
        <v>69.997079999999997</v>
      </c>
      <c r="P929">
        <f t="shared" si="43"/>
        <v>0.55052500000000393</v>
      </c>
      <c r="Q929">
        <f t="shared" si="44"/>
        <v>0.55052500000000393</v>
      </c>
      <c r="Y929">
        <f>TREND(H926:H930,G926:G930,G929)</f>
        <v>70.391760659113302</v>
      </c>
      <c r="Z929">
        <f>ABS((Y929-H929)/80*100)</f>
        <v>5.7174176108372159E-2</v>
      </c>
      <c r="AH929">
        <f>H929-AG884</f>
        <v>70.341534999999993</v>
      </c>
      <c r="AI929">
        <f>100*(AH929-O929)/80</f>
        <v>0.4305687499999955</v>
      </c>
    </row>
    <row r="930" spans="1:41" x14ac:dyDescent="0.35">
      <c r="A930" t="s">
        <v>258</v>
      </c>
      <c r="B930" t="s">
        <v>1111</v>
      </c>
      <c r="C930" t="s">
        <v>1968</v>
      </c>
      <c r="D930">
        <v>70</v>
      </c>
      <c r="E930">
        <v>70</v>
      </c>
      <c r="F930">
        <v>1</v>
      </c>
      <c r="G930">
        <v>0.999857</v>
      </c>
      <c r="H930">
        <v>90.432812499999997</v>
      </c>
      <c r="J930">
        <v>12022</v>
      </c>
      <c r="N930" t="s">
        <v>184</v>
      </c>
      <c r="O930">
        <f t="shared" si="42"/>
        <v>89.994280000000003</v>
      </c>
      <c r="P930">
        <f t="shared" si="43"/>
        <v>0.54816562499999222</v>
      </c>
      <c r="Q930">
        <f t="shared" si="44"/>
        <v>0.54816562499999222</v>
      </c>
      <c r="Y930">
        <f>TREND(H926:H930,G926:G930,G930)</f>
        <v>90.42152617945888</v>
      </c>
      <c r="Z930">
        <f>ABS((Y930-H930)/80*100)</f>
        <v>1.4107900676396667E-2</v>
      </c>
      <c r="AH930">
        <f>H930-AG884</f>
        <v>90.336847500000005</v>
      </c>
      <c r="AI930">
        <f>100*(AH930-O930)/80</f>
        <v>0.42820937500000156</v>
      </c>
    </row>
    <row r="931" spans="1:41" x14ac:dyDescent="0.35">
      <c r="A931" t="s">
        <v>258</v>
      </c>
      <c r="B931" t="s">
        <v>1111</v>
      </c>
      <c r="C931" t="s">
        <v>2005</v>
      </c>
      <c r="D931">
        <v>70</v>
      </c>
      <c r="E931">
        <v>70</v>
      </c>
      <c r="F931">
        <v>0</v>
      </c>
      <c r="G931">
        <v>-1.34E-4</v>
      </c>
      <c r="H931">
        <v>50.321874999999999</v>
      </c>
      <c r="J931">
        <v>12035</v>
      </c>
      <c r="N931" t="s">
        <v>184</v>
      </c>
      <c r="O931">
        <f t="shared" si="42"/>
        <v>49.994640000000004</v>
      </c>
      <c r="P931">
        <f t="shared" si="43"/>
        <v>0.40904374999999327</v>
      </c>
      <c r="Q931">
        <f t="shared" si="44"/>
        <v>0.40904374999999327</v>
      </c>
      <c r="Y931">
        <f>TREND(H926:H930,G926:G930,G931)</f>
        <v>50.356746605406727</v>
      </c>
      <c r="Z931">
        <f>ABS((Y931-H931)/80*100)</f>
        <v>4.3589506758410224E-2</v>
      </c>
      <c r="AH931">
        <f>H931-AG884</f>
        <v>50.225909999999999</v>
      </c>
      <c r="AI931">
        <f>100*(AH931-O931)/80</f>
        <v>0.28908749999999372</v>
      </c>
    </row>
    <row r="932" spans="1:41" x14ac:dyDescent="0.35">
      <c r="A932" t="s">
        <v>258</v>
      </c>
      <c r="B932" t="s">
        <v>1111</v>
      </c>
      <c r="C932" t="s">
        <v>2042</v>
      </c>
      <c r="D932">
        <v>70</v>
      </c>
      <c r="E932">
        <v>70</v>
      </c>
      <c r="F932">
        <v>-1</v>
      </c>
      <c r="G932">
        <v>-0.99989899999999998</v>
      </c>
      <c r="H932">
        <v>10.359375</v>
      </c>
      <c r="J932">
        <v>12048</v>
      </c>
      <c r="N932" t="s">
        <v>184</v>
      </c>
      <c r="O932">
        <f t="shared" si="42"/>
        <v>10.00404</v>
      </c>
      <c r="P932">
        <f t="shared" si="43"/>
        <v>0.44416875000000022</v>
      </c>
      <c r="Q932">
        <f t="shared" si="44"/>
        <v>0.44416875000000022</v>
      </c>
      <c r="Y932">
        <f>TREND(H926:H930,G926:G930,G932)</f>
        <v>10.301021753030817</v>
      </c>
      <c r="Z932">
        <f>ABS((Y932-H932)/80*100)</f>
        <v>7.2941558711479004E-2</v>
      </c>
      <c r="AH932">
        <f>H932-AG884</f>
        <v>10.26341</v>
      </c>
      <c r="AI932">
        <f>100*(AH932-O932)/80</f>
        <v>0.32421250000000068</v>
      </c>
    </row>
    <row r="933" spans="1:41" x14ac:dyDescent="0.35">
      <c r="A933" t="s">
        <v>258</v>
      </c>
      <c r="B933" t="s">
        <v>1111</v>
      </c>
      <c r="C933" t="s">
        <v>2078</v>
      </c>
      <c r="D933">
        <v>85</v>
      </c>
      <c r="E933">
        <v>85</v>
      </c>
      <c r="F933">
        <v>-1</v>
      </c>
      <c r="G933">
        <v>-1.000006</v>
      </c>
      <c r="H933">
        <v>10.4125</v>
      </c>
      <c r="J933">
        <v>18159</v>
      </c>
      <c r="N933" t="s">
        <v>184</v>
      </c>
      <c r="O933">
        <f t="shared" si="42"/>
        <v>9.999760000000002</v>
      </c>
      <c r="P933">
        <f t="shared" si="43"/>
        <v>0.51592499999999708</v>
      </c>
      <c r="Q933">
        <f t="shared" si="44"/>
        <v>0.51592499999999708</v>
      </c>
      <c r="S933">
        <v>50.432812499999997</v>
      </c>
      <c r="T933">
        <v>0.53901562499999223</v>
      </c>
      <c r="U933">
        <v>90.45</v>
      </c>
      <c r="V933">
        <v>0.55899999999999395</v>
      </c>
      <c r="W933">
        <v>80.037496948242193</v>
      </c>
      <c r="X933">
        <f>(W933-80)/80*100</f>
        <v>4.687118530274148E-2</v>
      </c>
      <c r="Y933">
        <f>TREND(H933:H937,G933:G937,G933)</f>
        <v>10.405247318859871</v>
      </c>
      <c r="Z933">
        <f>ABS((Y933-H933)/80*100)</f>
        <v>9.0658514251606981E-3</v>
      </c>
      <c r="AA933">
        <f>MAX(Z933:Z937)</f>
        <v>2.6150049920996565E-2</v>
      </c>
      <c r="AB933">
        <f>IF(ABS(MAX(P933:P939)) &gt; ABS(MIN(P933:P939)),MAX(P933:P939), MIN(P933:P939))</f>
        <v>0.58268124999999671</v>
      </c>
      <c r="AC933">
        <f>IF(ABS(AB934)&gt;ABS(AB933),AB934,AB933)</f>
        <v>0.58268124999999671</v>
      </c>
      <c r="AH933">
        <f>H933-AG884</f>
        <v>10.316535</v>
      </c>
      <c r="AI933">
        <f>100*(AH933-O933)/80</f>
        <v>0.39596874999999754</v>
      </c>
      <c r="AJ933">
        <v>50.336847499999998</v>
      </c>
      <c r="AK933">
        <v>0.41905937499999268</v>
      </c>
      <c r="AL933">
        <v>90.35403500000001</v>
      </c>
      <c r="AM933">
        <v>0.43904375000000329</v>
      </c>
      <c r="AN933">
        <f>IF(ABS(MAX(AI933:AI939)) &gt; ABS(MIN(AI933:AI939)),MAX(AI933:AI939), MIN(AI933:AI939))</f>
        <v>0.46272500000000605</v>
      </c>
      <c r="AO933">
        <f>IF(ABS(AN934)&gt;ABS(AN933),AN934,AN933)</f>
        <v>0.46272500000000605</v>
      </c>
    </row>
    <row r="934" spans="1:41" x14ac:dyDescent="0.35">
      <c r="A934" t="s">
        <v>258</v>
      </c>
      <c r="B934" t="s">
        <v>1111</v>
      </c>
      <c r="C934" t="s">
        <v>2113</v>
      </c>
      <c r="D934">
        <v>85</v>
      </c>
      <c r="E934">
        <v>85</v>
      </c>
      <c r="F934">
        <v>-0.5</v>
      </c>
      <c r="G934">
        <v>-0.50006499999999998</v>
      </c>
      <c r="H934">
        <v>30.4</v>
      </c>
      <c r="J934">
        <v>18188</v>
      </c>
      <c r="N934" t="s">
        <v>184</v>
      </c>
      <c r="O934">
        <f t="shared" si="42"/>
        <v>29.997399999999999</v>
      </c>
      <c r="P934">
        <f t="shared" si="43"/>
        <v>0.50324999999999953</v>
      </c>
      <c r="Q934">
        <f t="shared" si="44"/>
        <v>0.50324999999999953</v>
      </c>
      <c r="Y934">
        <f>TREND(H933:H937,G933:G937,G934)</f>
        <v>30.416131698054201</v>
      </c>
      <c r="Z934">
        <f>ABS((Y934-H934)/80*100)</f>
        <v>2.0164622567753199E-2</v>
      </c>
      <c r="AB934">
        <f>IF(ABS(T933) &gt; ABS(V933),T933,V933)</f>
        <v>0.55899999999999395</v>
      </c>
      <c r="AH934">
        <f>H934-AG884</f>
        <v>30.304034999999999</v>
      </c>
      <c r="AI934">
        <f>100*(AH934-O934)/80</f>
        <v>0.38329374999999999</v>
      </c>
      <c r="AN934">
        <f>IF(ABS(AK933) &gt; ABS(AM933),AK933,AM933)</f>
        <v>0.43904375000000329</v>
      </c>
    </row>
    <row r="935" spans="1:41" x14ac:dyDescent="0.35">
      <c r="A935" t="s">
        <v>258</v>
      </c>
      <c r="B935" t="s">
        <v>1111</v>
      </c>
      <c r="C935" t="s">
        <v>2150</v>
      </c>
      <c r="D935">
        <v>85</v>
      </c>
      <c r="E935">
        <v>85</v>
      </c>
      <c r="F935">
        <v>0</v>
      </c>
      <c r="G935">
        <v>4.0000000000000003E-5</v>
      </c>
      <c r="H935">
        <v>50.432812499999997</v>
      </c>
      <c r="J935">
        <v>18205</v>
      </c>
      <c r="N935" t="s">
        <v>184</v>
      </c>
      <c r="O935">
        <f t="shared" si="42"/>
        <v>50.001600000000003</v>
      </c>
      <c r="P935">
        <f t="shared" si="43"/>
        <v>0.53901562499999223</v>
      </c>
      <c r="Q935">
        <f t="shared" si="44"/>
        <v>0.53901562499999223</v>
      </c>
      <c r="Y935">
        <f>TREND(H933:H937,G933:G937,G935)</f>
        <v>50.433580421917576</v>
      </c>
      <c r="Z935">
        <f>ABS((Y935-H935)/80*100)</f>
        <v>9.5990239697307789E-4</v>
      </c>
      <c r="AH935">
        <f>H935-AG884</f>
        <v>50.336847499999998</v>
      </c>
      <c r="AI935">
        <f>100*(AH935-O935)/80</f>
        <v>0.41905937499999268</v>
      </c>
    </row>
    <row r="936" spans="1:41" x14ac:dyDescent="0.35">
      <c r="A936" t="s">
        <v>258</v>
      </c>
      <c r="B936" t="s">
        <v>1111</v>
      </c>
      <c r="C936" t="s">
        <v>2187</v>
      </c>
      <c r="D936">
        <v>85</v>
      </c>
      <c r="E936">
        <v>85</v>
      </c>
      <c r="F936">
        <v>0.5</v>
      </c>
      <c r="G936">
        <v>0.49998700000000001</v>
      </c>
      <c r="H936">
        <v>70.465625000000003</v>
      </c>
      <c r="J936">
        <v>18211</v>
      </c>
      <c r="N936" t="s">
        <v>184</v>
      </c>
      <c r="O936">
        <f t="shared" si="42"/>
        <v>69.999480000000005</v>
      </c>
      <c r="P936">
        <f t="shared" si="43"/>
        <v>0.58268124999999671</v>
      </c>
      <c r="Q936">
        <f t="shared" si="44"/>
        <v>0.58268124999999671</v>
      </c>
      <c r="Y936">
        <f>TREND(H933:H937,G933:G937,G936)</f>
        <v>70.444704960063206</v>
      </c>
      <c r="Z936">
        <f>ABS((Y936-H936)/80*100)</f>
        <v>2.6150049920996565E-2</v>
      </c>
      <c r="AH936">
        <f>H936-AG884</f>
        <v>70.36966000000001</v>
      </c>
      <c r="AI936">
        <f>100*(AH936-O936)/80</f>
        <v>0.46272500000000605</v>
      </c>
    </row>
    <row r="937" spans="1:41" x14ac:dyDescent="0.35">
      <c r="A937" t="s">
        <v>258</v>
      </c>
      <c r="B937" t="s">
        <v>1111</v>
      </c>
      <c r="C937" t="s">
        <v>2224</v>
      </c>
      <c r="D937">
        <v>85</v>
      </c>
      <c r="E937">
        <v>85</v>
      </c>
      <c r="F937">
        <v>1</v>
      </c>
      <c r="G937">
        <v>1.00007</v>
      </c>
      <c r="H937">
        <v>90.45</v>
      </c>
      <c r="J937">
        <v>18233</v>
      </c>
      <c r="N937" t="s">
        <v>184</v>
      </c>
      <c r="O937">
        <f t="shared" si="42"/>
        <v>90.002800000000008</v>
      </c>
      <c r="P937">
        <f t="shared" si="43"/>
        <v>0.55899999999999395</v>
      </c>
      <c r="Q937">
        <f t="shared" si="44"/>
        <v>0.55899999999999395</v>
      </c>
      <c r="Y937">
        <f>TREND(H933:H937,G933:G937,G937)</f>
        <v>90.461273101105121</v>
      </c>
      <c r="Z937">
        <f>ABS((Y937-H937)/80*100)</f>
        <v>1.409137638139768E-2</v>
      </c>
      <c r="AH937">
        <f>H937-AG884</f>
        <v>90.35403500000001</v>
      </c>
      <c r="AI937">
        <f>100*(AH937-O937)/80</f>
        <v>0.43904375000000329</v>
      </c>
    </row>
    <row r="938" spans="1:41" x14ac:dyDescent="0.35">
      <c r="A938" t="s">
        <v>258</v>
      </c>
      <c r="B938" t="s">
        <v>1111</v>
      </c>
      <c r="C938" t="s">
        <v>2260</v>
      </c>
      <c r="D938">
        <v>85</v>
      </c>
      <c r="E938">
        <v>85</v>
      </c>
      <c r="F938">
        <v>0</v>
      </c>
      <c r="G938">
        <v>-9.2999999999999997E-5</v>
      </c>
      <c r="H938">
        <v>50.40625</v>
      </c>
      <c r="J938">
        <v>18249</v>
      </c>
      <c r="N938" t="s">
        <v>184</v>
      </c>
      <c r="O938">
        <f t="shared" si="42"/>
        <v>49.996279999999999</v>
      </c>
      <c r="P938">
        <f t="shared" si="43"/>
        <v>0.5124625000000016</v>
      </c>
      <c r="Q938">
        <f t="shared" si="44"/>
        <v>0.5124625000000016</v>
      </c>
      <c r="Y938">
        <f>TREND(H933:H937,G933:G937,G938)</f>
        <v>50.42825689849694</v>
      </c>
      <c r="Z938">
        <f>ABS((Y938-H938)/80*100)</f>
        <v>2.7508623121175191E-2</v>
      </c>
      <c r="AH938">
        <f>H938-AG884</f>
        <v>50.310285</v>
      </c>
      <c r="AI938">
        <f>100*(AH938-O938)/80</f>
        <v>0.39250625000000205</v>
      </c>
    </row>
    <row r="939" spans="1:41" x14ac:dyDescent="0.35">
      <c r="A939" t="s">
        <v>258</v>
      </c>
      <c r="B939" t="s">
        <v>1111</v>
      </c>
      <c r="C939" t="s">
        <v>2297</v>
      </c>
      <c r="D939">
        <v>85</v>
      </c>
      <c r="E939">
        <v>85</v>
      </c>
      <c r="F939">
        <v>-1</v>
      </c>
      <c r="G939">
        <v>-0.99982599999999999</v>
      </c>
      <c r="H939">
        <v>10.365625</v>
      </c>
      <c r="J939">
        <v>18257</v>
      </c>
      <c r="N939" t="s">
        <v>184</v>
      </c>
      <c r="O939">
        <f t="shared" si="42"/>
        <v>10.006959999999999</v>
      </c>
      <c r="P939">
        <f t="shared" si="43"/>
        <v>0.44833125000000029</v>
      </c>
      <c r="Q939">
        <f t="shared" si="44"/>
        <v>0.44833125000000029</v>
      </c>
      <c r="Y939">
        <f>TREND(H933:H937,G933:G937,G939)</f>
        <v>10.412452087399068</v>
      </c>
      <c r="Z939">
        <f>ABS((Y939-H939)/80*100)</f>
        <v>5.8533859248834919E-2</v>
      </c>
      <c r="AH939">
        <f>H939-AG884</f>
        <v>10.26966</v>
      </c>
      <c r="AI939">
        <f>100*(AH939-O939)/80</f>
        <v>0.32837500000000075</v>
      </c>
    </row>
    <row r="940" spans="1:41" x14ac:dyDescent="0.35">
      <c r="A940" t="s">
        <v>258</v>
      </c>
      <c r="B940" t="s">
        <v>1111</v>
      </c>
      <c r="C940" t="s">
        <v>2334</v>
      </c>
      <c r="D940">
        <v>25</v>
      </c>
      <c r="E940">
        <v>25</v>
      </c>
      <c r="F940">
        <v>-1</v>
      </c>
      <c r="G940">
        <v>-1.00054</v>
      </c>
      <c r="H940">
        <v>10.106249999999999</v>
      </c>
      <c r="J940">
        <v>-5704</v>
      </c>
      <c r="N940" t="s">
        <v>184</v>
      </c>
      <c r="O940">
        <f t="shared" si="42"/>
        <v>9.9784000000000006</v>
      </c>
      <c r="P940">
        <f t="shared" si="43"/>
        <v>0.15981249999999836</v>
      </c>
      <c r="Q940">
        <f t="shared" si="44"/>
        <v>0.15981249999999836</v>
      </c>
      <c r="S940">
        <v>50.081249999999997</v>
      </c>
      <c r="T940">
        <v>0.10931249999999615</v>
      </c>
      <c r="U940">
        <v>90.34375</v>
      </c>
      <c r="V940">
        <v>0.42943750000000946</v>
      </c>
      <c r="W940">
        <v>80.237499999999997</v>
      </c>
      <c r="X940">
        <f>(W940-80)/80*100</f>
        <v>0.29687499999999645</v>
      </c>
      <c r="Y940">
        <f>TREND(H940:H944,G940:G944,G940)</f>
        <v>10.036316253882447</v>
      </c>
      <c r="Z940">
        <f>ABS((Y940-H940)/80*100)</f>
        <v>8.7417182646940539E-2</v>
      </c>
      <c r="AA940">
        <f>MAX(Z940:Z944)</f>
        <v>0.1054215166035366</v>
      </c>
      <c r="AB940">
        <f>IF(ABS(MAX(P940:P946)) &gt; ABS(MIN(P940:P946)),MAX(P940:P946), MIN(P940:P946))</f>
        <v>0.42943750000000946</v>
      </c>
      <c r="AC940">
        <f>IF(ABS(AB941)&gt;ABS(AB940),AB941,AB940)</f>
        <v>0.42943750000000946</v>
      </c>
      <c r="AH940">
        <f>H940-AG884</f>
        <v>10.010285</v>
      </c>
      <c r="AI940">
        <f>100*(AH940-O940)/80</f>
        <v>3.9856249999998816E-2</v>
      </c>
      <c r="AJ940">
        <v>49.985284999999998</v>
      </c>
      <c r="AK940">
        <v>-1.0643750000003394E-2</v>
      </c>
      <c r="AL940">
        <v>90.247784999999993</v>
      </c>
      <c r="AM940">
        <v>0.30948125000000104</v>
      </c>
      <c r="AN940">
        <f>IF(ABS(MAX(AI940:AI946)) &gt; ABS(MIN(AI940:AI946)),MAX(AI940:AI946), MIN(AI940:AI946))</f>
        <v>0.30948125000000104</v>
      </c>
      <c r="AO940">
        <f>IF(ABS(AN941)&gt;ABS(AN940),AN941,AN940)</f>
        <v>0.30948125000000104</v>
      </c>
    </row>
    <row r="941" spans="1:41" x14ac:dyDescent="0.35">
      <c r="A941" t="s">
        <v>258</v>
      </c>
      <c r="B941" t="s">
        <v>1111</v>
      </c>
      <c r="C941" t="s">
        <v>2371</v>
      </c>
      <c r="D941">
        <v>25</v>
      </c>
      <c r="E941">
        <v>25</v>
      </c>
      <c r="F941">
        <v>-0.5</v>
      </c>
      <c r="G941">
        <v>-0.50026899999999996</v>
      </c>
      <c r="H941">
        <v>30.0703125</v>
      </c>
      <c r="J941">
        <v>-5754</v>
      </c>
      <c r="N941" t="s">
        <v>184</v>
      </c>
      <c r="O941">
        <f t="shared" si="42"/>
        <v>29.989240000000002</v>
      </c>
      <c r="P941">
        <f t="shared" si="43"/>
        <v>0.10134062499999708</v>
      </c>
      <c r="Q941">
        <f t="shared" si="44"/>
        <v>0.10134062499999708</v>
      </c>
      <c r="Y941">
        <f>TREND(H940:H944,G940:G944,G941)</f>
        <v>30.104100669012809</v>
      </c>
      <c r="Z941">
        <f>ABS((Y941-H941)/80*100)</f>
        <v>4.2235211266010708E-2</v>
      </c>
      <c r="AB941">
        <f>IF(ABS(T940) &gt; ABS(V940),T940,V940)</f>
        <v>0.42943750000000946</v>
      </c>
      <c r="AH941">
        <f>H941-AG884</f>
        <v>29.9743475</v>
      </c>
      <c r="AI941">
        <f>100*(AH941-O941)/80</f>
        <v>-1.8615625000002467E-2</v>
      </c>
      <c r="AN941">
        <f>IF(ABS(AK940) &gt; ABS(AM940),AK940,AM940)</f>
        <v>0.30948125000000104</v>
      </c>
    </row>
    <row r="942" spans="1:41" x14ac:dyDescent="0.35">
      <c r="A942" t="s">
        <v>258</v>
      </c>
      <c r="B942" t="s">
        <v>1111</v>
      </c>
      <c r="C942" t="s">
        <v>2407</v>
      </c>
      <c r="D942">
        <v>25</v>
      </c>
      <c r="E942">
        <v>25</v>
      </c>
      <c r="F942">
        <v>0</v>
      </c>
      <c r="G942">
        <v>-1.55E-4</v>
      </c>
      <c r="H942">
        <v>50.081249999999997</v>
      </c>
      <c r="J942">
        <v>-5789</v>
      </c>
      <c r="N942" t="s">
        <v>184</v>
      </c>
      <c r="O942">
        <f t="shared" si="42"/>
        <v>49.9938</v>
      </c>
      <c r="P942">
        <f t="shared" si="43"/>
        <v>0.10931249999999615</v>
      </c>
      <c r="Q942">
        <f t="shared" si="44"/>
        <v>0.10931249999999615</v>
      </c>
      <c r="Y942">
        <f>TREND(H940:H944,G940:G944,G942)</f>
        <v>50.165587213282826</v>
      </c>
      <c r="Z942">
        <f>ABS((Y942-H942)/80*100)</f>
        <v>0.1054215166035366</v>
      </c>
      <c r="AH942">
        <f>H942-AG884</f>
        <v>49.985284999999998</v>
      </c>
      <c r="AI942">
        <f>100*(AH942-O942)/80</f>
        <v>-1.0643750000003394E-2</v>
      </c>
    </row>
    <row r="943" spans="1:41" x14ac:dyDescent="0.35">
      <c r="A943" t="s">
        <v>258</v>
      </c>
      <c r="B943" t="s">
        <v>1111</v>
      </c>
      <c r="C943" t="s">
        <v>2444</v>
      </c>
      <c r="D943">
        <v>25</v>
      </c>
      <c r="E943">
        <v>25</v>
      </c>
      <c r="F943">
        <v>0.5</v>
      </c>
      <c r="G943">
        <v>0.49995499999999998</v>
      </c>
      <c r="H943">
        <v>70.217187499999994</v>
      </c>
      <c r="J943">
        <v>-5826</v>
      </c>
      <c r="N943" t="s">
        <v>184</v>
      </c>
      <c r="O943">
        <f t="shared" si="42"/>
        <v>69.998199999999997</v>
      </c>
      <c r="P943">
        <f t="shared" si="43"/>
        <v>0.27373437499999653</v>
      </c>
      <c r="Q943">
        <f t="shared" si="44"/>
        <v>0.27373437499999653</v>
      </c>
      <c r="Y943">
        <f>TREND(H940:H944,G940:G944,G943)</f>
        <v>70.226913302244299</v>
      </c>
      <c r="Z943">
        <f>ABS((Y943-H943)/80*100)</f>
        <v>1.2157252805380381E-2</v>
      </c>
      <c r="AH943">
        <f>H943-AG884</f>
        <v>70.121222499999988</v>
      </c>
      <c r="AI943">
        <f>100*(AH943-O943)/80</f>
        <v>0.15377812499998811</v>
      </c>
    </row>
    <row r="944" spans="1:41" x14ac:dyDescent="0.35">
      <c r="A944" t="s">
        <v>258</v>
      </c>
      <c r="B944" t="s">
        <v>1111</v>
      </c>
      <c r="C944" t="s">
        <v>2481</v>
      </c>
      <c r="D944">
        <v>25</v>
      </c>
      <c r="E944">
        <v>25</v>
      </c>
      <c r="F944">
        <v>1</v>
      </c>
      <c r="G944">
        <v>1.000005</v>
      </c>
      <c r="H944">
        <v>90.34375</v>
      </c>
      <c r="J944">
        <v>-5861</v>
      </c>
      <c r="N944" t="s">
        <v>184</v>
      </c>
      <c r="O944">
        <f t="shared" si="42"/>
        <v>90.000199999999992</v>
      </c>
      <c r="P944">
        <f t="shared" si="43"/>
        <v>0.42943750000000946</v>
      </c>
      <c r="Q944">
        <f t="shared" si="44"/>
        <v>0.42943750000000946</v>
      </c>
      <c r="Y944">
        <f>TREND(H940:H944,G940:G944,G944)</f>
        <v>90.285832561577621</v>
      </c>
      <c r="Z944">
        <f>ABS((Y944-H944)/80*100)</f>
        <v>7.239679802797383E-2</v>
      </c>
      <c r="AH944">
        <f>H944-AG884</f>
        <v>90.247784999999993</v>
      </c>
      <c r="AI944">
        <f>100*(AH944-O944)/80</f>
        <v>0.30948125000000104</v>
      </c>
    </row>
    <row r="945" spans="1:41" x14ac:dyDescent="0.35">
      <c r="A945" t="s">
        <v>258</v>
      </c>
      <c r="B945" t="s">
        <v>1111</v>
      </c>
      <c r="C945" t="s">
        <v>2518</v>
      </c>
      <c r="D945">
        <v>25</v>
      </c>
      <c r="E945">
        <v>25</v>
      </c>
      <c r="F945">
        <v>0</v>
      </c>
      <c r="G945">
        <v>-2.43E-4</v>
      </c>
      <c r="H945">
        <v>50.1171875</v>
      </c>
      <c r="J945">
        <v>-5900</v>
      </c>
      <c r="N945" t="s">
        <v>184</v>
      </c>
      <c r="O945">
        <f t="shared" si="42"/>
        <v>49.990279999999998</v>
      </c>
      <c r="P945">
        <f t="shared" si="43"/>
        <v>0.15863437500000188</v>
      </c>
      <c r="Q945">
        <f t="shared" si="44"/>
        <v>0.15863437500000188</v>
      </c>
      <c r="Y945">
        <f>TREND(H940:H944,G940:G944,G945)</f>
        <v>50.162057196494864</v>
      </c>
      <c r="Z945">
        <f>ABS((Y945-H945)/80*100)</f>
        <v>5.6087120618579796E-2</v>
      </c>
      <c r="AH945">
        <f>H945-AG884</f>
        <v>50.0212225</v>
      </c>
      <c r="AI945">
        <f>100*(AH945-O945)/80</f>
        <v>3.8678125000002339E-2</v>
      </c>
    </row>
    <row r="946" spans="1:41" x14ac:dyDescent="0.35">
      <c r="A946" t="s">
        <v>258</v>
      </c>
      <c r="B946" t="s">
        <v>1111</v>
      </c>
      <c r="C946" t="s">
        <v>2552</v>
      </c>
      <c r="D946">
        <v>25</v>
      </c>
      <c r="E946">
        <v>25</v>
      </c>
      <c r="F946">
        <v>-1</v>
      </c>
      <c r="G946">
        <v>-0.99992700000000001</v>
      </c>
      <c r="H946">
        <v>10.15</v>
      </c>
      <c r="J946">
        <v>-5926</v>
      </c>
      <c r="N946" t="s">
        <v>184</v>
      </c>
      <c r="O946">
        <f t="shared" si="42"/>
        <v>10.00292</v>
      </c>
      <c r="P946">
        <f t="shared" si="43"/>
        <v>0.18385000000000096</v>
      </c>
      <c r="Q946">
        <f t="shared" si="44"/>
        <v>0.18385000000000096</v>
      </c>
      <c r="Y946">
        <f>TREND(H940:H944,G940:G944,G946)</f>
        <v>10.060906029916787</v>
      </c>
      <c r="Z946">
        <f>ABS((Y946-H946)/80*100)</f>
        <v>0.11136746260401731</v>
      </c>
      <c r="AH946">
        <f>H946-AG884</f>
        <v>10.054035000000001</v>
      </c>
      <c r="AI946">
        <f>100*(AH946-O946)/80</f>
        <v>6.3893750000001415E-2</v>
      </c>
    </row>
    <row r="947" spans="1:41" x14ac:dyDescent="0.35">
      <c r="A947" t="s">
        <v>260</v>
      </c>
      <c r="B947" t="s">
        <v>231</v>
      </c>
      <c r="C947" t="s">
        <v>261</v>
      </c>
      <c r="D947">
        <v>25</v>
      </c>
      <c r="E947">
        <v>25</v>
      </c>
      <c r="F947">
        <v>-1</v>
      </c>
      <c r="G947">
        <v>-1.0000610000000001</v>
      </c>
      <c r="H947">
        <v>10.082812499999999</v>
      </c>
      <c r="J947">
        <v>-6142</v>
      </c>
      <c r="N947" t="s">
        <v>185</v>
      </c>
      <c r="O947">
        <f t="shared" si="42"/>
        <v>9.9975599999999964</v>
      </c>
      <c r="P947">
        <f t="shared" si="43"/>
        <v>0.10656562500000355</v>
      </c>
      <c r="Q947">
        <f t="shared" si="44"/>
        <v>0.10656562500000355</v>
      </c>
      <c r="S947">
        <v>50.1875</v>
      </c>
      <c r="T947">
        <v>0.22992499999999971</v>
      </c>
      <c r="U947">
        <v>90.357812499999994</v>
      </c>
      <c r="V947">
        <v>0.45726562499998735</v>
      </c>
      <c r="W947">
        <v>80.274998474121091</v>
      </c>
      <c r="X947">
        <f>(W947-80)/80*100</f>
        <v>0.34374809265136363</v>
      </c>
      <c r="Y947">
        <f>TREND(H947:H951,G947:G951,G947)</f>
        <v>10.046146856774286</v>
      </c>
      <c r="Z947">
        <f>ABS((Y947-H947)/80*100)</f>
        <v>4.5832054032142189E-2</v>
      </c>
      <c r="AA947">
        <f>MAX(Z947:Z951)</f>
        <v>5.4735685725191274E-2</v>
      </c>
      <c r="AB947">
        <f>IF(ABS(MAX(P947:P953)) &gt; ABS(MIN(P947:P953)),MAX(P947:P953), MIN(P947:P953))</f>
        <v>0.45726562499998735</v>
      </c>
      <c r="AC947">
        <f>IF(ABS(AB948)&gt;ABS(AB947),AB948,AB947)</f>
        <v>0.45726562499998735</v>
      </c>
      <c r="AD947">
        <f>MAX(AD948:AD949)</f>
        <v>8.5434375000010832E-2</v>
      </c>
      <c r="AE947">
        <f>MAX(AE948:AE968)</f>
        <v>0.29348437499999935</v>
      </c>
      <c r="AF947">
        <f>MAX(AD947,AA947)</f>
        <v>8.5434375000010832E-2</v>
      </c>
      <c r="AG947">
        <f>H949-O949</f>
        <v>0.18393999999999977</v>
      </c>
      <c r="AH947">
        <f>H947-AG947</f>
        <v>9.8988724999999995</v>
      </c>
      <c r="AI947">
        <f>100*(AH947-O947)/80</f>
        <v>-0.12335937499999616</v>
      </c>
      <c r="AJ947">
        <v>50.00356</v>
      </c>
      <c r="AK947">
        <v>0</v>
      </c>
      <c r="AL947">
        <v>90.173872499999987</v>
      </c>
      <c r="AM947">
        <v>0.22734062499997876</v>
      </c>
      <c r="AN947">
        <f>IF(ABS(MAX(AI947:AI953)) &gt; ABS(MIN(AI947:AI953)),MAX(AI947:AI953), MIN(AI947:AI953))</f>
        <v>0.22734062499997876</v>
      </c>
      <c r="AO947">
        <f>IF(ABS(AN948)&gt;ABS(AN947),AN948,AN947)</f>
        <v>0.22734062499997876</v>
      </c>
    </row>
    <row r="948" spans="1:41" x14ac:dyDescent="0.35">
      <c r="A948" t="s">
        <v>260</v>
      </c>
      <c r="B948" t="s">
        <v>231</v>
      </c>
      <c r="C948" t="s">
        <v>322</v>
      </c>
      <c r="D948">
        <v>25</v>
      </c>
      <c r="E948">
        <v>25</v>
      </c>
      <c r="F948">
        <v>-0.5</v>
      </c>
      <c r="G948">
        <v>-0.50031599999999998</v>
      </c>
      <c r="H948">
        <v>30.071874999999999</v>
      </c>
      <c r="J948">
        <v>-6139</v>
      </c>
      <c r="N948" t="s">
        <v>185</v>
      </c>
      <c r="O948">
        <f t="shared" si="42"/>
        <v>29.987360000000002</v>
      </c>
      <c r="P948">
        <f t="shared" si="43"/>
        <v>0.10564374999999515</v>
      </c>
      <c r="Q948">
        <f t="shared" si="44"/>
        <v>0.10564374999999515</v>
      </c>
      <c r="Y948">
        <f>TREND(H947:H951,G947:G951,G948)</f>
        <v>30.115663548580152</v>
      </c>
      <c r="Z948">
        <f>ABS((Y948-H948)/80*100)</f>
        <v>5.4735685725191274E-2</v>
      </c>
      <c r="AB948">
        <f>IF(ABS(T947) &gt; ABS(V947),T947,V947)</f>
        <v>0.45726562499998735</v>
      </c>
      <c r="AD948">
        <f>ABS(P949-P952)</f>
        <v>8.5434375000010832E-2</v>
      </c>
      <c r="AE948">
        <f>ABS(P975-P947)</f>
        <v>0.19157499999999716</v>
      </c>
      <c r="AH948">
        <f>H948-AG947</f>
        <v>29.887934999999999</v>
      </c>
      <c r="AI948">
        <f>100*(AH948-O948)/80</f>
        <v>-0.12428125000000456</v>
      </c>
      <c r="AN948">
        <f>IF(ABS(AK947) &gt; ABS(AM947),AK947,AM947)</f>
        <v>0.22734062499997876</v>
      </c>
    </row>
    <row r="949" spans="1:41" x14ac:dyDescent="0.35">
      <c r="A949" t="s">
        <v>260</v>
      </c>
      <c r="B949" t="s">
        <v>231</v>
      </c>
      <c r="C949" t="s">
        <v>358</v>
      </c>
      <c r="D949">
        <v>25</v>
      </c>
      <c r="E949">
        <v>25</v>
      </c>
      <c r="F949">
        <v>0</v>
      </c>
      <c r="G949">
        <v>8.8999999999999995E-5</v>
      </c>
      <c r="H949">
        <v>50.1875</v>
      </c>
      <c r="J949">
        <v>-6137</v>
      </c>
      <c r="N949" t="s">
        <v>185</v>
      </c>
      <c r="O949">
        <f t="shared" si="42"/>
        <v>50.00356</v>
      </c>
      <c r="P949">
        <f t="shared" si="43"/>
        <v>0.22992499999999971</v>
      </c>
      <c r="Q949">
        <f t="shared" si="44"/>
        <v>0.22992499999999971</v>
      </c>
      <c r="Y949">
        <f>TREND(H947:H951,G947:G951,G949)</f>
        <v>50.211685520111857</v>
      </c>
      <c r="Z949">
        <f>ABS((Y949-H949)/80*100)</f>
        <v>3.0231900139821022E-2</v>
      </c>
      <c r="AD949">
        <f>ABS(P947-P953)</f>
        <v>4.6156249999951271E-3</v>
      </c>
      <c r="AE949">
        <f>ABS(P976-P948)</f>
        <v>0.16513750000000549</v>
      </c>
      <c r="AH949">
        <f>H949-AG947</f>
        <v>50.00356</v>
      </c>
      <c r="AI949">
        <f>100*(AH949-O949)/80</f>
        <v>0</v>
      </c>
    </row>
    <row r="950" spans="1:41" x14ac:dyDescent="0.35">
      <c r="A950" t="s">
        <v>260</v>
      </c>
      <c r="B950" t="s">
        <v>231</v>
      </c>
      <c r="C950" t="s">
        <v>395</v>
      </c>
      <c r="D950">
        <v>25</v>
      </c>
      <c r="E950">
        <v>25</v>
      </c>
      <c r="F950">
        <v>0.5</v>
      </c>
      <c r="G950">
        <v>0.49994499999999997</v>
      </c>
      <c r="H950">
        <v>70.318749999999994</v>
      </c>
      <c r="J950">
        <v>-6131</v>
      </c>
      <c r="N950" t="s">
        <v>185</v>
      </c>
      <c r="O950">
        <f t="shared" si="42"/>
        <v>69.997799999999998</v>
      </c>
      <c r="P950">
        <f t="shared" si="43"/>
        <v>0.40118749999999537</v>
      </c>
      <c r="Q950">
        <f t="shared" si="44"/>
        <v>0.40118749999999537</v>
      </c>
      <c r="Y950">
        <f>TREND(H947:H951,G947:G951,G950)</f>
        <v>70.285659918053426</v>
      </c>
      <c r="Z950">
        <f>ABS((Y950-H950)/80*100)</f>
        <v>4.1362602433210327E-2</v>
      </c>
      <c r="AE950">
        <f>ABS(P977-P949)</f>
        <v>8.9731249999998042E-2</v>
      </c>
      <c r="AH950">
        <f>H950-AG947</f>
        <v>70.134809999999987</v>
      </c>
      <c r="AI950">
        <f>100*(AH950-O950)/80</f>
        <v>0.17126249999998677</v>
      </c>
    </row>
    <row r="951" spans="1:41" x14ac:dyDescent="0.35">
      <c r="A951" t="s">
        <v>260</v>
      </c>
      <c r="B951" t="s">
        <v>231</v>
      </c>
      <c r="C951" t="s">
        <v>432</v>
      </c>
      <c r="D951">
        <v>25</v>
      </c>
      <c r="E951">
        <v>25</v>
      </c>
      <c r="F951">
        <v>1</v>
      </c>
      <c r="G951">
        <v>0.99980000000000002</v>
      </c>
      <c r="H951">
        <v>90.357812499999994</v>
      </c>
      <c r="J951">
        <v>-6142</v>
      </c>
      <c r="N951" t="s">
        <v>185</v>
      </c>
      <c r="O951">
        <f t="shared" si="42"/>
        <v>89.992000000000004</v>
      </c>
      <c r="P951">
        <f t="shared" si="43"/>
        <v>0.45726562499998735</v>
      </c>
      <c r="Q951">
        <f t="shared" si="44"/>
        <v>0.45726562499998735</v>
      </c>
      <c r="Y951">
        <f>TREND(H947:H951,G947:G951,G951)</f>
        <v>90.35959415648027</v>
      </c>
      <c r="Z951">
        <f>ABS((Y951-H951)/80*100)</f>
        <v>2.2270706003446605E-3</v>
      </c>
      <c r="AE951">
        <f>ABS(P978-P950)</f>
        <v>7.3825000000002916E-2</v>
      </c>
      <c r="AH951">
        <f>H951-AG947</f>
        <v>90.173872499999987</v>
      </c>
      <c r="AI951">
        <f>100*(AH951-O951)/80</f>
        <v>0.22734062499997876</v>
      </c>
    </row>
    <row r="952" spans="1:41" x14ac:dyDescent="0.35">
      <c r="A952" t="s">
        <v>260</v>
      </c>
      <c r="B952" t="s">
        <v>231</v>
      </c>
      <c r="C952" t="s">
        <v>469</v>
      </c>
      <c r="D952">
        <v>25</v>
      </c>
      <c r="E952">
        <v>25</v>
      </c>
      <c r="F952">
        <v>0</v>
      </c>
      <c r="G952">
        <v>1.18E-4</v>
      </c>
      <c r="H952">
        <v>50.120312499999997</v>
      </c>
      <c r="J952">
        <v>-6139</v>
      </c>
      <c r="N952" t="s">
        <v>185</v>
      </c>
      <c r="O952">
        <f t="shared" si="42"/>
        <v>50.004720000000006</v>
      </c>
      <c r="P952">
        <f t="shared" si="43"/>
        <v>0.14449062499998888</v>
      </c>
      <c r="Q952">
        <f t="shared" si="44"/>
        <v>0.14449062499998888</v>
      </c>
      <c r="Y952">
        <f>TREND(H947:H951,G947:G951,G952)</f>
        <v>50.212850146039209</v>
      </c>
      <c r="Z952">
        <f>ABS((Y952-H952)/80*100)</f>
        <v>0.11567205754901444</v>
      </c>
      <c r="AE952">
        <f>ABS(P979-P951)</f>
        <v>0.16017187499999253</v>
      </c>
      <c r="AH952">
        <f>H952-AG947</f>
        <v>49.936372499999997</v>
      </c>
      <c r="AI952">
        <f>100*(AH952-O952)/80</f>
        <v>-8.5434375000010832E-2</v>
      </c>
    </row>
    <row r="953" spans="1:41" x14ac:dyDescent="0.35">
      <c r="A953" t="s">
        <v>260</v>
      </c>
      <c r="B953" t="s">
        <v>231</v>
      </c>
      <c r="C953" t="s">
        <v>506</v>
      </c>
      <c r="D953">
        <v>25</v>
      </c>
      <c r="E953">
        <v>25</v>
      </c>
      <c r="F953">
        <v>-1</v>
      </c>
      <c r="G953">
        <v>-0.99995800000000001</v>
      </c>
      <c r="H953">
        <v>10.090624999999999</v>
      </c>
      <c r="J953">
        <v>-6137</v>
      </c>
      <c r="N953" t="s">
        <v>185</v>
      </c>
      <c r="O953">
        <f t="shared" si="42"/>
        <v>10.00168</v>
      </c>
      <c r="P953">
        <f t="shared" si="43"/>
        <v>0.11118124999999868</v>
      </c>
      <c r="Q953">
        <f t="shared" si="44"/>
        <v>0.11118124999999868</v>
      </c>
      <c r="Y953">
        <f>TREND(H947:H951,G947:G951,G953)</f>
        <v>10.050283286792109</v>
      </c>
      <c r="Z953">
        <f>ABS((Y953-H953)/80*100)</f>
        <v>5.0427141509863375E-2</v>
      </c>
      <c r="AE953">
        <f>ABS(P980-P952)</f>
        <v>0.21134062500000717</v>
      </c>
      <c r="AH953">
        <f>H953-AG947</f>
        <v>9.9066849999999995</v>
      </c>
      <c r="AI953">
        <f>100*(AH953-O953)/80</f>
        <v>-0.11874375000000104</v>
      </c>
    </row>
    <row r="954" spans="1:41" x14ac:dyDescent="0.35">
      <c r="A954" t="s">
        <v>260</v>
      </c>
      <c r="B954" t="s">
        <v>231</v>
      </c>
      <c r="C954" t="s">
        <v>543</v>
      </c>
      <c r="D954">
        <v>-20</v>
      </c>
      <c r="E954">
        <v>-20.2</v>
      </c>
      <c r="F954">
        <v>-1</v>
      </c>
      <c r="G954">
        <v>-1.0001340000000001</v>
      </c>
      <c r="H954">
        <v>9.4984374999999996</v>
      </c>
      <c r="J954">
        <v>-24348</v>
      </c>
      <c r="N954" t="s">
        <v>185</v>
      </c>
      <c r="O954">
        <f t="shared" si="42"/>
        <v>9.9946399999999969</v>
      </c>
      <c r="P954">
        <f t="shared" si="43"/>
        <v>-0.62025312499999652</v>
      </c>
      <c r="Q954">
        <f t="shared" si="44"/>
        <v>0.62025312499999652</v>
      </c>
      <c r="S954">
        <v>49.842187500000001</v>
      </c>
      <c r="T954">
        <v>-0.17581562499999315</v>
      </c>
      <c r="U954">
        <v>90.135937499999997</v>
      </c>
      <c r="V954">
        <v>0.16522187499999674</v>
      </c>
      <c r="W954">
        <v>80.637503051757818</v>
      </c>
      <c r="X954">
        <f>(W954-80)/80*100</f>
        <v>0.79687881469727262</v>
      </c>
      <c r="Y954">
        <f>TREND(H954:H958,G954:G958,G954)</f>
        <v>9.4765800022182063</v>
      </c>
      <c r="Z954">
        <f>ABS((Y954-H954)/80*100)</f>
        <v>2.7321872227241695E-2</v>
      </c>
      <c r="AA954">
        <f>MAX(Z954:Z958)</f>
        <v>8.8733056780609942E-2</v>
      </c>
      <c r="AB954">
        <f>IF(ABS(MAX(P954:P960)) &gt; ABS(MIN(P954:P960)),MAX(P954:P960), MIN(P954:P960))</f>
        <v>-0.66583124999999743</v>
      </c>
      <c r="AC954">
        <f>IF(ABS(AB955)&gt;ABS(AB954),AB955,AB954)</f>
        <v>-0.66583124999999743</v>
      </c>
      <c r="AE954">
        <f>ABS(P981-P953)</f>
        <v>0.2216656249999982</v>
      </c>
      <c r="AH954">
        <f>H954-AG947</f>
        <v>9.3144974999999999</v>
      </c>
      <c r="AI954">
        <f>100*(AH954-O954)/80</f>
        <v>-0.85017812499999612</v>
      </c>
      <c r="AJ954">
        <v>49.658247500000002</v>
      </c>
      <c r="AK954">
        <v>-0.40574062499999286</v>
      </c>
      <c r="AL954">
        <v>89.951997500000004</v>
      </c>
      <c r="AM954">
        <v>-6.4703124999994088E-2</v>
      </c>
      <c r="AN954">
        <f>IF(ABS(MAX(AI954:AI960)) &gt; ABS(MIN(AI954:AI960)),MAX(AI954:AI960), MIN(AI954:AI960))</f>
        <v>-0.89575624999999715</v>
      </c>
      <c r="AO954">
        <f>IF(ABS(AN955)&gt;ABS(AN954),AN955,AN954)</f>
        <v>-0.89575624999999715</v>
      </c>
    </row>
    <row r="955" spans="1:41" x14ac:dyDescent="0.35">
      <c r="A955" t="s">
        <v>260</v>
      </c>
      <c r="B955" t="s">
        <v>231</v>
      </c>
      <c r="C955" t="s">
        <v>580</v>
      </c>
      <c r="D955">
        <v>-20</v>
      </c>
      <c r="E955">
        <v>-19.899999999999999</v>
      </c>
      <c r="F955">
        <v>-0.5</v>
      </c>
      <c r="G955">
        <v>-0.49968000000000001</v>
      </c>
      <c r="H955">
        <v>29.598437499999999</v>
      </c>
      <c r="J955">
        <v>-24359</v>
      </c>
      <c r="N955" t="s">
        <v>185</v>
      </c>
      <c r="O955">
        <f t="shared" si="42"/>
        <v>30.012799999999999</v>
      </c>
      <c r="P955">
        <f t="shared" si="43"/>
        <v>-0.51795312499999913</v>
      </c>
      <c r="Q955">
        <f t="shared" si="44"/>
        <v>0.51795312499999913</v>
      </c>
      <c r="Y955">
        <f>TREND(H954:H958,G954:G958,G955)</f>
        <v>29.669423945424487</v>
      </c>
      <c r="Z955">
        <f>ABS((Y955-H955)/80*100)</f>
        <v>8.8733056780609942E-2</v>
      </c>
      <c r="AB955">
        <f>IF(ABS(T954) &gt; ABS(V954),T954,V954)</f>
        <v>-0.17581562499999315</v>
      </c>
      <c r="AE955">
        <f>ABS(P1003-P947)</f>
        <v>2.1265625000002064E-2</v>
      </c>
      <c r="AH955">
        <f>H955-AG947</f>
        <v>29.4144975</v>
      </c>
      <c r="AI955">
        <f>100*(AH955-O955)/80</f>
        <v>-0.74787812499999884</v>
      </c>
      <c r="AN955">
        <f>IF(ABS(AK954) &gt; ABS(AM954),AK954,AM954)</f>
        <v>-0.40574062499999286</v>
      </c>
    </row>
    <row r="956" spans="1:41" x14ac:dyDescent="0.35">
      <c r="A956" t="s">
        <v>260</v>
      </c>
      <c r="B956" t="s">
        <v>231</v>
      </c>
      <c r="C956" t="s">
        <v>616</v>
      </c>
      <c r="D956">
        <v>-20</v>
      </c>
      <c r="E956">
        <v>-20.100000000000001</v>
      </c>
      <c r="F956">
        <v>0</v>
      </c>
      <c r="G956">
        <v>-4.2900000000000002E-4</v>
      </c>
      <c r="H956">
        <v>49.842187500000001</v>
      </c>
      <c r="J956">
        <v>-24397</v>
      </c>
      <c r="N956" t="s">
        <v>185</v>
      </c>
      <c r="O956">
        <f t="shared" si="42"/>
        <v>49.982839999999996</v>
      </c>
      <c r="P956">
        <f t="shared" si="43"/>
        <v>-0.17581562499999315</v>
      </c>
      <c r="Q956">
        <f t="shared" si="44"/>
        <v>0.17581562499999315</v>
      </c>
      <c r="Y956">
        <f>TREND(H954:H958,G954:G958,G956)</f>
        <v>49.813727980340133</v>
      </c>
      <c r="Z956">
        <f>ABS((Y956-H956)/80*100)</f>
        <v>3.557439957483588E-2</v>
      </c>
      <c r="AE956">
        <f>ABS(P1004-P948)</f>
        <v>0.12834687499999387</v>
      </c>
      <c r="AH956">
        <f>H956-AG947</f>
        <v>49.658247500000002</v>
      </c>
      <c r="AI956">
        <f>100*(AH956-O956)/80</f>
        <v>-0.40574062499999286</v>
      </c>
    </row>
    <row r="957" spans="1:41" x14ac:dyDescent="0.35">
      <c r="A957" t="s">
        <v>260</v>
      </c>
      <c r="B957" t="s">
        <v>231</v>
      </c>
      <c r="C957" t="s">
        <v>652</v>
      </c>
      <c r="D957">
        <v>-20</v>
      </c>
      <c r="E957">
        <v>-19.899999999999999</v>
      </c>
      <c r="F957">
        <v>0.5</v>
      </c>
      <c r="G957">
        <v>0.50063999999999997</v>
      </c>
      <c r="H957">
        <v>70.099999999999994</v>
      </c>
      <c r="J957">
        <v>-24391</v>
      </c>
      <c r="N957" t="s">
        <v>185</v>
      </c>
      <c r="O957">
        <f t="shared" si="42"/>
        <v>70.025599999999997</v>
      </c>
      <c r="P957">
        <f t="shared" si="43"/>
        <v>9.2999999999996419E-2</v>
      </c>
      <c r="Q957">
        <f t="shared" si="44"/>
        <v>9.2999999999996419E-2</v>
      </c>
      <c r="Y957">
        <f>TREND(H954:H958,G954:G958,G957)</f>
        <v>70.031386589879531</v>
      </c>
      <c r="Z957">
        <f>ABS((Y957-H957)/80*100)</f>
        <v>8.5766762650578698E-2</v>
      </c>
      <c r="AE957">
        <f>ABS(P1005-P949)</f>
        <v>1.489375000000237E-2</v>
      </c>
      <c r="AH957">
        <f>H957-AG947</f>
        <v>69.916059999999987</v>
      </c>
      <c r="AI957">
        <f>100*(AH957-O957)/80</f>
        <v>-0.13692500000001218</v>
      </c>
    </row>
    <row r="958" spans="1:41" x14ac:dyDescent="0.35">
      <c r="A958" t="s">
        <v>260</v>
      </c>
      <c r="B958" t="s">
        <v>231</v>
      </c>
      <c r="C958" t="s">
        <v>689</v>
      </c>
      <c r="D958">
        <v>-20</v>
      </c>
      <c r="E958">
        <v>-19.8</v>
      </c>
      <c r="F958">
        <v>1</v>
      </c>
      <c r="G958">
        <v>1.000094</v>
      </c>
      <c r="H958">
        <v>90.135937499999997</v>
      </c>
      <c r="J958">
        <v>-24408</v>
      </c>
      <c r="N958" t="s">
        <v>185</v>
      </c>
      <c r="O958">
        <f t="shared" si="42"/>
        <v>90.00376</v>
      </c>
      <c r="P958">
        <f t="shared" si="43"/>
        <v>0.16522187499999674</v>
      </c>
      <c r="Q958">
        <f t="shared" si="44"/>
        <v>0.16522187499999674</v>
      </c>
      <c r="Y958">
        <f>TREND(H954:H958,G954:G958,G958)</f>
        <v>90.18388148213765</v>
      </c>
      <c r="Z958">
        <f>ABS((Y958-H958)/80*100)</f>
        <v>5.9929977672066315E-2</v>
      </c>
      <c r="AE958">
        <f>ABS(P1006-P950)</f>
        <v>9.6203124999991729E-2</v>
      </c>
      <c r="AH958">
        <f>H958-AG947</f>
        <v>89.951997500000004</v>
      </c>
      <c r="AI958">
        <f>100*(AH958-O958)/80</f>
        <v>-6.4703124999994088E-2</v>
      </c>
    </row>
    <row r="959" spans="1:41" x14ac:dyDescent="0.35">
      <c r="A959" t="s">
        <v>260</v>
      </c>
      <c r="B959" t="s">
        <v>231</v>
      </c>
      <c r="C959" t="s">
        <v>725</v>
      </c>
      <c r="D959">
        <v>-20</v>
      </c>
      <c r="E959">
        <v>-20.100000000000001</v>
      </c>
      <c r="F959">
        <v>0</v>
      </c>
      <c r="G959">
        <v>-3.8000000000000002E-5</v>
      </c>
      <c r="H959">
        <v>49.828125</v>
      </c>
      <c r="J959">
        <v>-24427</v>
      </c>
      <c r="N959" t="s">
        <v>185</v>
      </c>
      <c r="O959">
        <f t="shared" si="42"/>
        <v>49.998480000000001</v>
      </c>
      <c r="P959">
        <f t="shared" si="43"/>
        <v>-0.21294375000000088</v>
      </c>
      <c r="Q959">
        <f t="shared" si="44"/>
        <v>0.21294375000000088</v>
      </c>
      <c r="Y959">
        <f>TREND(H954:H958,G954:G958,G959)</f>
        <v>49.82950445926086</v>
      </c>
      <c r="Z959">
        <f>ABS((Y959-H959)/80*100)</f>
        <v>1.7243240760755896E-3</v>
      </c>
      <c r="AE959">
        <f>ABS(P1007-P951)</f>
        <v>0.14902499999998042</v>
      </c>
      <c r="AH959">
        <f>H959-AG947</f>
        <v>49.644185</v>
      </c>
      <c r="AI959">
        <f>100*(AH959-O959)/80</f>
        <v>-0.44286875000000059</v>
      </c>
    </row>
    <row r="960" spans="1:41" x14ac:dyDescent="0.35">
      <c r="A960" t="s">
        <v>260</v>
      </c>
      <c r="B960" t="s">
        <v>231</v>
      </c>
      <c r="C960" t="s">
        <v>761</v>
      </c>
      <c r="D960">
        <v>-20</v>
      </c>
      <c r="E960">
        <v>-20</v>
      </c>
      <c r="F960">
        <v>-1</v>
      </c>
      <c r="G960">
        <v>-1.0001990000000001</v>
      </c>
      <c r="H960">
        <v>9.4593749999999996</v>
      </c>
      <c r="J960">
        <v>-24440</v>
      </c>
      <c r="N960" t="s">
        <v>185</v>
      </c>
      <c r="O960">
        <f t="shared" si="42"/>
        <v>9.9920399999999976</v>
      </c>
      <c r="P960">
        <f t="shared" si="43"/>
        <v>-0.66583124999999743</v>
      </c>
      <c r="Q960">
        <f t="shared" si="44"/>
        <v>0.66583124999999743</v>
      </c>
      <c r="Y960">
        <f>TREND(H954:H958,G954:G958,G960)</f>
        <v>9.4739573139065811</v>
      </c>
      <c r="Z960">
        <f>ABS((Y960-H960)/80*100)</f>
        <v>1.8227892383226862E-2</v>
      </c>
      <c r="AE960">
        <f>ABS(P1008-P952)</f>
        <v>2.0153125000010874E-2</v>
      </c>
      <c r="AH960">
        <f>H960-AG947</f>
        <v>9.2754349999999999</v>
      </c>
      <c r="AI960">
        <f>100*(AH960-O960)/80</f>
        <v>-0.89575624999999715</v>
      </c>
    </row>
    <row r="961" spans="1:41" x14ac:dyDescent="0.35">
      <c r="A961" t="s">
        <v>260</v>
      </c>
      <c r="B961" t="s">
        <v>231</v>
      </c>
      <c r="C961" t="s">
        <v>798</v>
      </c>
      <c r="D961">
        <v>0</v>
      </c>
      <c r="E961">
        <v>0</v>
      </c>
      <c r="F961">
        <v>-1</v>
      </c>
      <c r="G961">
        <v>-0.999834</v>
      </c>
      <c r="H961">
        <v>10.2484375</v>
      </c>
      <c r="J961">
        <v>-16755</v>
      </c>
      <c r="N961" t="s">
        <v>185</v>
      </c>
      <c r="O961">
        <f t="shared" si="42"/>
        <v>10.006640000000001</v>
      </c>
      <c r="P961">
        <f t="shared" si="43"/>
        <v>0.30224687499999847</v>
      </c>
      <c r="Q961">
        <f t="shared" si="44"/>
        <v>0.30224687499999847</v>
      </c>
      <c r="S961">
        <v>50.248437500000001</v>
      </c>
      <c r="T961">
        <v>0.31639687500000235</v>
      </c>
      <c r="U961">
        <v>90.321875000000006</v>
      </c>
      <c r="V961">
        <v>0.41619375000001568</v>
      </c>
      <c r="W961">
        <v>80.073439025878912</v>
      </c>
      <c r="X961">
        <f>(W961-80)/80*100</f>
        <v>9.1798782348639918E-2</v>
      </c>
      <c r="Y961">
        <f>TREND(H961:H965,G961:G965,G961)</f>
        <v>10.226204971250283</v>
      </c>
      <c r="Z961">
        <f>ABS((Y961-H961)/80*100)</f>
        <v>2.7790660937145887E-2</v>
      </c>
      <c r="AA961">
        <f>MAX(Z961:Z965)</f>
        <v>9.263591649483871E-2</v>
      </c>
      <c r="AB961">
        <f>IF(ABS(MAX(P961:P967)) &gt; ABS(MIN(P961:P967)),MAX(P961:P967), MIN(P961:P967))</f>
        <v>0.50093125000000072</v>
      </c>
      <c r="AC961">
        <f>IF(ABS(AB962)&gt;ABS(AB961),AB962,AB961)</f>
        <v>0.50093125000000072</v>
      </c>
      <c r="AE961">
        <f>ABS(P1009-P953)</f>
        <v>3.8300000000000001E-2</v>
      </c>
      <c r="AH961">
        <f>H961-AG947</f>
        <v>10.0644975</v>
      </c>
      <c r="AI961">
        <f>100*(AH961-O961)/80</f>
        <v>7.2321874999998759E-2</v>
      </c>
      <c r="AJ961">
        <v>50.064497500000002</v>
      </c>
      <c r="AK961">
        <v>8.647187500000264E-2</v>
      </c>
      <c r="AL961">
        <v>90.137934999999999</v>
      </c>
      <c r="AM961">
        <v>0.18626875000000709</v>
      </c>
      <c r="AN961">
        <f>IF(ABS(MAX(AI961:AI967)) &gt; ABS(MIN(AI961:AI967)),MAX(AI961:AI967), MIN(AI961:AI967))</f>
        <v>0.27100624999999212</v>
      </c>
      <c r="AO961">
        <f>IF(ABS(AN962)&gt;ABS(AN961),AN962,AN961)</f>
        <v>0.27100624999999212</v>
      </c>
    </row>
    <row r="962" spans="1:41" x14ac:dyDescent="0.35">
      <c r="A962" t="s">
        <v>260</v>
      </c>
      <c r="B962" t="s">
        <v>231</v>
      </c>
      <c r="C962" t="s">
        <v>834</v>
      </c>
      <c r="D962">
        <v>0</v>
      </c>
      <c r="E962">
        <v>0.1</v>
      </c>
      <c r="F962">
        <v>-0.5</v>
      </c>
      <c r="G962">
        <v>-0.49979400000000002</v>
      </c>
      <c r="H962">
        <v>30.234375</v>
      </c>
      <c r="J962">
        <v>-16762</v>
      </c>
      <c r="N962" t="s">
        <v>185</v>
      </c>
      <c r="O962">
        <f t="shared" si="42"/>
        <v>30.008239999999997</v>
      </c>
      <c r="P962">
        <f t="shared" si="43"/>
        <v>0.28266875000000358</v>
      </c>
      <c r="Q962">
        <f t="shared" si="44"/>
        <v>0.28266875000000358</v>
      </c>
      <c r="Y962">
        <f>TREND(H961:H965,G961:G965,G962)</f>
        <v>30.263508231446792</v>
      </c>
      <c r="Z962">
        <f>ABS((Y962-H962)/80*100)</f>
        <v>3.6416539308490314E-2</v>
      </c>
      <c r="AB962">
        <f>IF(ABS(T961) &gt; ABS(V961),T961,V961)</f>
        <v>0.41619375000001568</v>
      </c>
      <c r="AE962">
        <f>ABS(P1003-P975)</f>
        <v>0.21284062499999923</v>
      </c>
      <c r="AH962">
        <f>H962-AG947</f>
        <v>30.050435</v>
      </c>
      <c r="AI962">
        <f>100*(AH962-O962)/80</f>
        <v>5.2743750000003864E-2</v>
      </c>
      <c r="AN962">
        <f>IF(ABS(AK961) &gt; ABS(AM961),AK961,AM961)</f>
        <v>0.18626875000000709</v>
      </c>
    </row>
    <row r="963" spans="1:41" x14ac:dyDescent="0.35">
      <c r="A963" t="s">
        <v>260</v>
      </c>
      <c r="B963" t="s">
        <v>231</v>
      </c>
      <c r="C963" t="s">
        <v>870</v>
      </c>
      <c r="D963">
        <v>0</v>
      </c>
      <c r="E963">
        <v>0</v>
      </c>
      <c r="F963">
        <v>0</v>
      </c>
      <c r="G963">
        <v>-1.17E-4</v>
      </c>
      <c r="H963">
        <v>50.248437500000001</v>
      </c>
      <c r="J963">
        <v>-16732</v>
      </c>
      <c r="N963" t="s">
        <v>185</v>
      </c>
      <c r="O963">
        <f t="shared" si="42"/>
        <v>49.99532</v>
      </c>
      <c r="P963">
        <f t="shared" si="43"/>
        <v>0.31639687500000235</v>
      </c>
      <c r="Q963">
        <f t="shared" si="44"/>
        <v>0.31639687500000235</v>
      </c>
      <c r="Y963">
        <f>TREND(H961:H965,G961:G965,G963)</f>
        <v>50.286265573149883</v>
      </c>
      <c r="Z963">
        <f>ABS((Y963-H963)/80*100)</f>
        <v>4.7285091437352378E-2</v>
      </c>
      <c r="AE963">
        <f>ABS(P1004-P976)</f>
        <v>0.29348437499999935</v>
      </c>
      <c r="AH963">
        <f>H963-AG947</f>
        <v>50.064497500000002</v>
      </c>
      <c r="AI963">
        <f>100*(AH963-O963)/80</f>
        <v>8.647187500000264E-2</v>
      </c>
    </row>
    <row r="964" spans="1:41" x14ac:dyDescent="0.35">
      <c r="A964" t="s">
        <v>260</v>
      </c>
      <c r="B964" t="s">
        <v>231</v>
      </c>
      <c r="C964" t="s">
        <v>907</v>
      </c>
      <c r="D964">
        <v>0</v>
      </c>
      <c r="E964">
        <v>0</v>
      </c>
      <c r="F964">
        <v>0.5</v>
      </c>
      <c r="G964">
        <v>0.499747</v>
      </c>
      <c r="H964">
        <v>70.390625</v>
      </c>
      <c r="J964">
        <v>-16717</v>
      </c>
      <c r="N964" t="s">
        <v>185</v>
      </c>
      <c r="O964">
        <f t="shared" si="42"/>
        <v>69.989879999999999</v>
      </c>
      <c r="P964">
        <f t="shared" si="43"/>
        <v>0.50093125000000072</v>
      </c>
      <c r="Q964">
        <f t="shared" si="44"/>
        <v>0.50093125000000072</v>
      </c>
      <c r="Y964">
        <f>TREND(H961:H965,G961:G965,G964)</f>
        <v>70.316516266804129</v>
      </c>
      <c r="Z964">
        <f>ABS((Y964-H964)/80*100)</f>
        <v>9.263591649483871E-2</v>
      </c>
      <c r="AE964">
        <f>ABS(P1005-P977)</f>
        <v>0.10462500000000041</v>
      </c>
      <c r="AH964">
        <f>H964-AG947</f>
        <v>70.206684999999993</v>
      </c>
      <c r="AI964">
        <f>100*(AH964-O964)/80</f>
        <v>0.27100624999999212</v>
      </c>
    </row>
    <row r="965" spans="1:41" x14ac:dyDescent="0.35">
      <c r="A965" t="s">
        <v>260</v>
      </c>
      <c r="B965" t="s">
        <v>231</v>
      </c>
      <c r="C965" t="s">
        <v>944</v>
      </c>
      <c r="D965">
        <v>0</v>
      </c>
      <c r="E965">
        <v>0.1</v>
      </c>
      <c r="F965">
        <v>1</v>
      </c>
      <c r="G965">
        <v>0.99972300000000003</v>
      </c>
      <c r="H965">
        <v>90.321875000000006</v>
      </c>
      <c r="J965">
        <v>-16717</v>
      </c>
      <c r="N965" t="s">
        <v>185</v>
      </c>
      <c r="O965">
        <f t="shared" si="42"/>
        <v>89.988919999999993</v>
      </c>
      <c r="P965">
        <f t="shared" si="43"/>
        <v>0.41619375000001568</v>
      </c>
      <c r="Q965">
        <f t="shared" si="44"/>
        <v>0.41619375000001568</v>
      </c>
      <c r="Y965">
        <f>TREND(H961:H965,G961:G965,G965)</f>
        <v>90.351254957348914</v>
      </c>
      <c r="Z965">
        <f>ABS((Y965-H965)/80*100)</f>
        <v>3.672494668613524E-2</v>
      </c>
      <c r="AE965">
        <f>ABS(P1006-P978)</f>
        <v>0.17002812499999465</v>
      </c>
      <c r="AH965">
        <f>H965-AG947</f>
        <v>90.137934999999999</v>
      </c>
      <c r="AI965">
        <f>100*(AH965-O965)/80</f>
        <v>0.18626875000000709</v>
      </c>
    </row>
    <row r="966" spans="1:41" x14ac:dyDescent="0.35">
      <c r="A966" t="s">
        <v>260</v>
      </c>
      <c r="B966" t="s">
        <v>231</v>
      </c>
      <c r="C966" t="s">
        <v>980</v>
      </c>
      <c r="D966">
        <v>0</v>
      </c>
      <c r="E966">
        <v>0</v>
      </c>
      <c r="F966">
        <v>0</v>
      </c>
      <c r="G966">
        <v>-1.9999999999999999E-6</v>
      </c>
      <c r="H966">
        <v>50.357812500000001</v>
      </c>
      <c r="J966">
        <v>-16714</v>
      </c>
      <c r="N966" t="s">
        <v>185</v>
      </c>
      <c r="O966">
        <f t="shared" si="42"/>
        <v>49.999920000000003</v>
      </c>
      <c r="P966">
        <f t="shared" si="43"/>
        <v>0.44736562499999799</v>
      </c>
      <c r="Q966">
        <f t="shared" si="44"/>
        <v>0.44736562499999799</v>
      </c>
      <c r="Y966">
        <f>TREND(H961:H965,G961:G965,G966)</f>
        <v>50.290873784242841</v>
      </c>
      <c r="Z966">
        <f>ABS((Y966-H966)/80*100)</f>
        <v>8.3673394696450742E-2</v>
      </c>
      <c r="AE966">
        <f>ABS(P1007-P979)</f>
        <v>1.1146875000012102E-2</v>
      </c>
      <c r="AH966">
        <f>H966-AG947</f>
        <v>50.173872500000002</v>
      </c>
      <c r="AI966">
        <f>100*(AH966-O966)/80</f>
        <v>0.21744062499999828</v>
      </c>
    </row>
    <row r="967" spans="1:41" x14ac:dyDescent="0.35">
      <c r="A967" t="s">
        <v>260</v>
      </c>
      <c r="B967" t="s">
        <v>231</v>
      </c>
      <c r="C967" t="s">
        <v>1016</v>
      </c>
      <c r="D967">
        <v>0</v>
      </c>
      <c r="E967">
        <v>0</v>
      </c>
      <c r="F967">
        <v>-1</v>
      </c>
      <c r="G967">
        <v>-1.000305</v>
      </c>
      <c r="H967">
        <v>10.275</v>
      </c>
      <c r="J967">
        <v>-16704</v>
      </c>
      <c r="N967" t="s">
        <v>185</v>
      </c>
      <c r="O967">
        <f t="shared" si="42"/>
        <v>9.9878</v>
      </c>
      <c r="P967">
        <f t="shared" si="43"/>
        <v>0.35900000000000043</v>
      </c>
      <c r="Q967">
        <f t="shared" si="44"/>
        <v>0.35900000000000043</v>
      </c>
      <c r="Y967">
        <f>TREND(H961:H965,G961:G965,G967)</f>
        <v>10.207331341469562</v>
      </c>
      <c r="Z967">
        <f>ABS((Y967-H967)/80*100)</f>
        <v>8.4585823163048079E-2</v>
      </c>
      <c r="AE967">
        <f>ABS(P1008-P980)</f>
        <v>0.19118749999999629</v>
      </c>
      <c r="AH967">
        <f>H967-AG947</f>
        <v>10.091060000000001</v>
      </c>
      <c r="AI967">
        <f>100*(AH967-O967)/80</f>
        <v>0.12907500000000072</v>
      </c>
    </row>
    <row r="968" spans="1:41" x14ac:dyDescent="0.35">
      <c r="A968" t="s">
        <v>260</v>
      </c>
      <c r="B968" t="s">
        <v>231</v>
      </c>
      <c r="C968" t="s">
        <v>1052</v>
      </c>
      <c r="D968">
        <v>10</v>
      </c>
      <c r="E968">
        <v>10</v>
      </c>
      <c r="F968">
        <v>-1</v>
      </c>
      <c r="G968">
        <v>-1.0000180000000001</v>
      </c>
      <c r="H968">
        <v>10.328125</v>
      </c>
      <c r="J968">
        <v>-12442</v>
      </c>
      <c r="N968" t="s">
        <v>185</v>
      </c>
      <c r="O968">
        <f t="shared" si="42"/>
        <v>9.9992799999999971</v>
      </c>
      <c r="P968">
        <f t="shared" si="43"/>
        <v>0.41105625000000368</v>
      </c>
      <c r="Q968">
        <f t="shared" si="44"/>
        <v>0.41105625000000368</v>
      </c>
      <c r="S968">
        <v>50.265625</v>
      </c>
      <c r="T968">
        <v>0.33538124999999752</v>
      </c>
      <c r="U968">
        <v>90.329687500000006</v>
      </c>
      <c r="V968">
        <v>0.42170937499999894</v>
      </c>
      <c r="W968">
        <v>80.001564025878906</v>
      </c>
      <c r="X968">
        <f>(W968-80)/80*100</f>
        <v>1.9550323486328125E-3</v>
      </c>
      <c r="Y968">
        <f>TREND(H968:H972,G968:G972,G968)</f>
        <v>10.273535111402246</v>
      </c>
      <c r="Z968">
        <f>ABS((Y968-H968)/80*100)</f>
        <v>6.8237360747192E-2</v>
      </c>
      <c r="AA968">
        <f>MAX(Z968:Z972)</f>
        <v>8.9372317220579589E-2</v>
      </c>
      <c r="AB968">
        <f>IF(ABS(MAX(P968:P974)) &gt; ABS(MIN(P968:P974)),MAX(P968:P974), MIN(P968:P974))</f>
        <v>0.50500624999999744</v>
      </c>
      <c r="AC968">
        <f>IF(ABS(AB969)&gt;ABS(AB968),AB969,AB968)</f>
        <v>0.50500624999999744</v>
      </c>
      <c r="AE968">
        <f>ABS(P1009-P981)</f>
        <v>0.2599656249999982</v>
      </c>
      <c r="AH968">
        <f>H968-AG947</f>
        <v>10.144185</v>
      </c>
      <c r="AI968">
        <f>100*(AH968-O968)/80</f>
        <v>0.18113125000000396</v>
      </c>
      <c r="AJ968">
        <v>50.081685</v>
      </c>
      <c r="AK968">
        <v>0.10545624999999781</v>
      </c>
      <c r="AL968">
        <v>90.145747499999999</v>
      </c>
      <c r="AM968">
        <v>0.19178437499999035</v>
      </c>
      <c r="AN968">
        <f>IF(ABS(MAX(AI968:AI974)) &gt; ABS(MIN(AI968:AI974)),MAX(AI968:AI974), MIN(AI968:AI974))</f>
        <v>0.27508125000000661</v>
      </c>
      <c r="AO968">
        <f>IF(ABS(AN969)&gt;ABS(AN968),AN969,AN968)</f>
        <v>0.27508125000000661</v>
      </c>
    </row>
    <row r="969" spans="1:41" x14ac:dyDescent="0.35">
      <c r="A969" t="s">
        <v>260</v>
      </c>
      <c r="B969" t="s">
        <v>231</v>
      </c>
      <c r="C969" t="s">
        <v>1088</v>
      </c>
      <c r="D969">
        <v>10</v>
      </c>
      <c r="E969">
        <v>10</v>
      </c>
      <c r="F969">
        <v>-0.5</v>
      </c>
      <c r="G969">
        <v>-0.50016499999999997</v>
      </c>
      <c r="H969">
        <v>30.220312499999999</v>
      </c>
      <c r="J969">
        <v>-12436</v>
      </c>
      <c r="N969" t="s">
        <v>185</v>
      </c>
      <c r="O969">
        <f t="shared" ref="O969:O1032" si="45">(((G969--1)*(40))+10)</f>
        <v>29.993400000000001</v>
      </c>
      <c r="P969">
        <f t="shared" ref="P969:P1032" si="46">100*(H969-O969)/80</f>
        <v>0.28364062499999676</v>
      </c>
      <c r="Q969">
        <f t="shared" ref="Q969:Q1032" si="47">ABS(P969)</f>
        <v>0.28364062499999676</v>
      </c>
      <c r="Y969">
        <f>TREND(H968:H972,G968:G972,G969)</f>
        <v>30.287066799407764</v>
      </c>
      <c r="Z969">
        <f>ABS((Y969-H969)/80*100)</f>
        <v>8.3442874259707089E-2</v>
      </c>
      <c r="AB969">
        <f>IF(ABS(T968) &gt; ABS(V968),T968,V968)</f>
        <v>0.42170937499999894</v>
      </c>
      <c r="AH969">
        <f>H969-AG947</f>
        <v>30.036372499999999</v>
      </c>
      <c r="AI969">
        <f>100*(AH969-O969)/80</f>
        <v>5.3715624999997047E-2</v>
      </c>
      <c r="AN969">
        <f>IF(ABS(AK968) &gt; ABS(AM968),AK968,AM968)</f>
        <v>0.19178437499999035</v>
      </c>
    </row>
    <row r="970" spans="1:41" x14ac:dyDescent="0.35">
      <c r="A970" t="s">
        <v>260</v>
      </c>
      <c r="B970" t="s">
        <v>1111</v>
      </c>
      <c r="C970" t="s">
        <v>1126</v>
      </c>
      <c r="D970">
        <v>10</v>
      </c>
      <c r="E970">
        <v>10</v>
      </c>
      <c r="F970">
        <v>0</v>
      </c>
      <c r="G970">
        <v>-6.7000000000000002E-5</v>
      </c>
      <c r="H970">
        <v>50.265625</v>
      </c>
      <c r="J970">
        <v>-12430</v>
      </c>
      <c r="N970" t="s">
        <v>185</v>
      </c>
      <c r="O970">
        <f t="shared" si="45"/>
        <v>49.997320000000002</v>
      </c>
      <c r="P970">
        <f t="shared" si="46"/>
        <v>0.33538124999999752</v>
      </c>
      <c r="Q970">
        <f t="shared" si="47"/>
        <v>0.33538124999999752</v>
      </c>
      <c r="Y970">
        <f>TREND(H968:H972,G968:G972,G970)</f>
        <v>50.310408001937674</v>
      </c>
      <c r="Z970">
        <f>ABS((Y970-H970)/80*100)</f>
        <v>5.5978752422092271E-2</v>
      </c>
      <c r="AH970">
        <f>H970-AG947</f>
        <v>50.081685</v>
      </c>
      <c r="AI970">
        <f>100*(AH970-O970)/80</f>
        <v>0.10545624999999781</v>
      </c>
    </row>
    <row r="971" spans="1:41" x14ac:dyDescent="0.35">
      <c r="A971" t="s">
        <v>260</v>
      </c>
      <c r="B971" t="s">
        <v>1111</v>
      </c>
      <c r="C971" t="s">
        <v>1163</v>
      </c>
      <c r="D971">
        <v>10</v>
      </c>
      <c r="E971">
        <v>10</v>
      </c>
      <c r="F971">
        <v>0.5</v>
      </c>
      <c r="G971">
        <v>0.49997799999999998</v>
      </c>
      <c r="H971">
        <v>70.403125000000003</v>
      </c>
      <c r="J971">
        <v>-12404</v>
      </c>
      <c r="N971" t="s">
        <v>185</v>
      </c>
      <c r="O971">
        <f t="shared" si="45"/>
        <v>69.999120000000005</v>
      </c>
      <c r="P971">
        <f t="shared" si="46"/>
        <v>0.50500624999999744</v>
      </c>
      <c r="Q971">
        <f t="shared" si="47"/>
        <v>0.50500624999999744</v>
      </c>
      <c r="Y971">
        <f>TREND(H968:H972,G968:G972,G971)</f>
        <v>70.331627146223539</v>
      </c>
      <c r="Z971">
        <f>ABS((Y971-H971)/80*100)</f>
        <v>8.9372317220579589E-2</v>
      </c>
      <c r="AH971">
        <f>H971-AG947</f>
        <v>70.21918500000001</v>
      </c>
      <c r="AI971">
        <f>100*(AH971-O971)/80</f>
        <v>0.27508125000000661</v>
      </c>
    </row>
    <row r="972" spans="1:41" x14ac:dyDescent="0.35">
      <c r="A972" t="s">
        <v>260</v>
      </c>
      <c r="B972" t="s">
        <v>1111</v>
      </c>
      <c r="C972" t="s">
        <v>1200</v>
      </c>
      <c r="D972">
        <v>10</v>
      </c>
      <c r="E972">
        <v>10</v>
      </c>
      <c r="F972">
        <v>1</v>
      </c>
      <c r="G972">
        <v>0.99980800000000003</v>
      </c>
      <c r="H972">
        <v>90.329687500000006</v>
      </c>
      <c r="J972">
        <v>-12393</v>
      </c>
      <c r="N972" t="s">
        <v>185</v>
      </c>
      <c r="O972">
        <f t="shared" si="45"/>
        <v>89.992320000000007</v>
      </c>
      <c r="P972">
        <f t="shared" si="46"/>
        <v>0.42170937499999894</v>
      </c>
      <c r="Q972">
        <f t="shared" si="47"/>
        <v>0.42170937499999894</v>
      </c>
      <c r="Y972">
        <f>TREND(H968:H972,G968:G972,G972)</f>
        <v>90.344237941028808</v>
      </c>
      <c r="Z972">
        <f>ABS((Y972-H972)/80*100)</f>
        <v>1.8188051286003315E-2</v>
      </c>
      <c r="AH972">
        <f>H972-AG947</f>
        <v>90.145747499999999</v>
      </c>
      <c r="AI972">
        <f>100*(AH972-O972)/80</f>
        <v>0.19178437499999035</v>
      </c>
    </row>
    <row r="973" spans="1:41" x14ac:dyDescent="0.35">
      <c r="A973" t="s">
        <v>260</v>
      </c>
      <c r="B973" t="s">
        <v>1111</v>
      </c>
      <c r="C973" t="s">
        <v>1236</v>
      </c>
      <c r="D973">
        <v>10</v>
      </c>
      <c r="E973">
        <v>10</v>
      </c>
      <c r="F973">
        <v>0</v>
      </c>
      <c r="G973">
        <v>1.36E-4</v>
      </c>
      <c r="H973">
        <v>50.256250000000001</v>
      </c>
      <c r="J973">
        <v>-12385</v>
      </c>
      <c r="N973" t="s">
        <v>185</v>
      </c>
      <c r="O973">
        <f t="shared" si="45"/>
        <v>50.005439999999993</v>
      </c>
      <c r="P973">
        <f t="shared" si="46"/>
        <v>0.31351250000001052</v>
      </c>
      <c r="Q973">
        <f t="shared" si="47"/>
        <v>0.31351250000001052</v>
      </c>
      <c r="Y973">
        <f>TREND(H968:H972,G968:G972,G973)</f>
        <v>50.318535885400742</v>
      </c>
      <c r="Z973">
        <f>ABS((Y973-H973)/80*100)</f>
        <v>7.7857356750925533E-2</v>
      </c>
      <c r="AH973">
        <f>H973-AG947</f>
        <v>50.072310000000002</v>
      </c>
      <c r="AI973">
        <f>100*(AH973-O973)/80</f>
        <v>8.3587500000010806E-2</v>
      </c>
    </row>
    <row r="974" spans="1:41" x14ac:dyDescent="0.35">
      <c r="A974" t="s">
        <v>260</v>
      </c>
      <c r="B974" t="s">
        <v>1111</v>
      </c>
      <c r="C974" t="s">
        <v>1272</v>
      </c>
      <c r="D974">
        <v>10</v>
      </c>
      <c r="E974">
        <v>10</v>
      </c>
      <c r="F974">
        <v>-1</v>
      </c>
      <c r="G974">
        <v>-1.0000770000000001</v>
      </c>
      <c r="H974">
        <v>10.229687500000001</v>
      </c>
      <c r="J974">
        <v>-12361</v>
      </c>
      <c r="N974" t="s">
        <v>185</v>
      </c>
      <c r="O974">
        <f t="shared" si="45"/>
        <v>9.9969199999999958</v>
      </c>
      <c r="P974">
        <f t="shared" si="46"/>
        <v>0.29095937500000613</v>
      </c>
      <c r="Q974">
        <f t="shared" si="47"/>
        <v>0.29095937500000613</v>
      </c>
      <c r="Y974">
        <f>TREND(H968:H972,G968:G972,G974)</f>
        <v>10.271172820149431</v>
      </c>
      <c r="Z974">
        <f>ABS((Y974-H974)/80*100)</f>
        <v>5.1856650186787867E-2</v>
      </c>
      <c r="AH974">
        <f>H974-AG947</f>
        <v>10.045747500000001</v>
      </c>
      <c r="AI974">
        <f>100*(AH974-O974)/80</f>
        <v>6.1034375000006413E-2</v>
      </c>
    </row>
    <row r="975" spans="1:41" x14ac:dyDescent="0.35">
      <c r="A975" t="s">
        <v>260</v>
      </c>
      <c r="B975" t="s">
        <v>1111</v>
      </c>
      <c r="C975" t="s">
        <v>1309</v>
      </c>
      <c r="D975">
        <v>25</v>
      </c>
      <c r="E975">
        <v>25</v>
      </c>
      <c r="F975">
        <v>-1</v>
      </c>
      <c r="G975">
        <v>-0.99983</v>
      </c>
      <c r="H975">
        <v>10.245312500000001</v>
      </c>
      <c r="J975">
        <v>-6349</v>
      </c>
      <c r="N975" t="s">
        <v>185</v>
      </c>
      <c r="O975">
        <f t="shared" si="45"/>
        <v>10.0068</v>
      </c>
      <c r="P975">
        <f t="shared" si="46"/>
        <v>0.29814062500000071</v>
      </c>
      <c r="Q975">
        <f t="shared" si="47"/>
        <v>0.29814062500000071</v>
      </c>
      <c r="S975">
        <v>50.253124999999997</v>
      </c>
      <c r="T975">
        <v>0.31965624999999775</v>
      </c>
      <c r="U975">
        <v>90.246875000000003</v>
      </c>
      <c r="V975">
        <v>0.29709374999999483</v>
      </c>
      <c r="W975">
        <v>80.00155944824219</v>
      </c>
      <c r="X975">
        <f>(W975-80)/80*100</f>
        <v>1.9493103027379275E-3</v>
      </c>
      <c r="Y975">
        <f>TREND(H975:H979,G975:G979,G975)</f>
        <v>10.240175330145156</v>
      </c>
      <c r="Z975">
        <f>ABS((Y975-H975)/80*100)</f>
        <v>6.4214623185554487E-3</v>
      </c>
      <c r="AA975">
        <f>MAX(Z975:Z979)</f>
        <v>0.12266621506169528</v>
      </c>
      <c r="AB975">
        <f>IF(ABS(MAX(P975:P981)) &gt; ABS(MIN(P975:P981)),MAX(P975:P981), MIN(P975:P981))</f>
        <v>0.47501249999999828</v>
      </c>
      <c r="AC975">
        <f>IF(ABS(AB976)&gt;ABS(AB975),AB976,AB975)</f>
        <v>0.47501249999999828</v>
      </c>
      <c r="AH975">
        <f>H975-AG947</f>
        <v>10.061372500000001</v>
      </c>
      <c r="AI975">
        <f>100*(AH975-O975)/80</f>
        <v>6.8215625000001001E-2</v>
      </c>
      <c r="AJ975">
        <v>50.069184999999997</v>
      </c>
      <c r="AK975">
        <v>8.9731249999998042E-2</v>
      </c>
      <c r="AL975">
        <v>90.06293500000001</v>
      </c>
      <c r="AM975">
        <v>6.7168750000003996E-2</v>
      </c>
      <c r="AN975">
        <f>IF(ABS(MAX(AI975:AI981)) &gt; ABS(MIN(AI975:AI981)),MAX(AI975:AI981), MIN(AI975:AI981))</f>
        <v>0.24508749999998969</v>
      </c>
      <c r="AO975">
        <f>IF(ABS(AN976)&gt;ABS(AN975),AN976,AN975)</f>
        <v>0.24508749999998969</v>
      </c>
    </row>
    <row r="976" spans="1:41" x14ac:dyDescent="0.35">
      <c r="A976" t="s">
        <v>260</v>
      </c>
      <c r="B976" t="s">
        <v>1111</v>
      </c>
      <c r="C976" t="s">
        <v>1345</v>
      </c>
      <c r="D976">
        <v>25</v>
      </c>
      <c r="E976">
        <v>25</v>
      </c>
      <c r="F976">
        <v>-0.5</v>
      </c>
      <c r="G976">
        <v>-0.50002500000000005</v>
      </c>
      <c r="H976">
        <v>30.215624999999999</v>
      </c>
      <c r="J976">
        <v>-6336</v>
      </c>
      <c r="N976" t="s">
        <v>185</v>
      </c>
      <c r="O976">
        <f t="shared" si="45"/>
        <v>29.998999999999999</v>
      </c>
      <c r="P976">
        <f t="shared" si="46"/>
        <v>0.27078125000000064</v>
      </c>
      <c r="Q976">
        <f t="shared" si="47"/>
        <v>0.27078125000000064</v>
      </c>
      <c r="Y976">
        <f>TREND(H975:H979,G975:G979,G976)</f>
        <v>30.248537755244325</v>
      </c>
      <c r="Z976">
        <f>ABS((Y976-H976)/80*100)</f>
        <v>4.1140944055406692E-2</v>
      </c>
      <c r="AB976">
        <f>IF(ABS(T975) &gt; ABS(V975),T975,V975)</f>
        <v>0.31965624999999775</v>
      </c>
      <c r="AH976">
        <f>H976-AG947</f>
        <v>30.031685</v>
      </c>
      <c r="AI976">
        <f>100*(AH976-O976)/80</f>
        <v>4.0856250000000927E-2</v>
      </c>
      <c r="AN976">
        <f>IF(ABS(AK975) &gt; ABS(AM975),AK975,AM975)</f>
        <v>8.9731249999998042E-2</v>
      </c>
    </row>
    <row r="977" spans="1:41" x14ac:dyDescent="0.35">
      <c r="A977" t="s">
        <v>260</v>
      </c>
      <c r="B977" t="s">
        <v>1111</v>
      </c>
      <c r="C977" t="s">
        <v>1382</v>
      </c>
      <c r="D977">
        <v>25</v>
      </c>
      <c r="E977">
        <v>25</v>
      </c>
      <c r="F977">
        <v>0</v>
      </c>
      <c r="G977">
        <v>-6.4999999999999994E-5</v>
      </c>
      <c r="H977">
        <v>50.253124999999997</v>
      </c>
      <c r="J977">
        <v>-6317</v>
      </c>
      <c r="N977" t="s">
        <v>185</v>
      </c>
      <c r="O977">
        <f t="shared" si="45"/>
        <v>49.997399999999999</v>
      </c>
      <c r="P977">
        <f t="shared" si="46"/>
        <v>0.31965624999999775</v>
      </c>
      <c r="Q977">
        <f t="shared" si="47"/>
        <v>0.31965624999999775</v>
      </c>
      <c r="Y977">
        <f>TREND(H975:H979,G975:G979,G977)</f>
        <v>50.26310519265008</v>
      </c>
      <c r="Z977">
        <f>ABS((Y977-H977)/80*100)</f>
        <v>1.2475240812603872E-2</v>
      </c>
      <c r="AH977">
        <f>H977-AG947</f>
        <v>50.069184999999997</v>
      </c>
      <c r="AI977">
        <f>100*(AH977-O977)/80</f>
        <v>8.9731249999998042E-2</v>
      </c>
    </row>
    <row r="978" spans="1:41" x14ac:dyDescent="0.35">
      <c r="A978" t="s">
        <v>260</v>
      </c>
      <c r="B978" t="s">
        <v>1111</v>
      </c>
      <c r="C978" t="s">
        <v>1419</v>
      </c>
      <c r="D978">
        <v>25</v>
      </c>
      <c r="E978">
        <v>25</v>
      </c>
      <c r="F978">
        <v>0.5</v>
      </c>
      <c r="G978">
        <v>0.500031</v>
      </c>
      <c r="H978">
        <v>70.381249999999994</v>
      </c>
      <c r="J978">
        <v>-6298</v>
      </c>
      <c r="N978" t="s">
        <v>185</v>
      </c>
      <c r="O978">
        <f t="shared" si="45"/>
        <v>70.001239999999996</v>
      </c>
      <c r="P978">
        <f t="shared" si="46"/>
        <v>0.47501249999999828</v>
      </c>
      <c r="Q978">
        <f t="shared" si="47"/>
        <v>0.47501249999999828</v>
      </c>
      <c r="Y978">
        <f>TREND(H975:H979,G975:G979,G978)</f>
        <v>70.283117027950638</v>
      </c>
      <c r="Z978">
        <f>ABS((Y978-H978)/80*100)</f>
        <v>0.12266621506169528</v>
      </c>
      <c r="AH978">
        <f>H978-AG947</f>
        <v>70.197309999999987</v>
      </c>
      <c r="AI978">
        <f>100*(AH978-O978)/80</f>
        <v>0.24508749999998969</v>
      </c>
    </row>
    <row r="979" spans="1:41" x14ac:dyDescent="0.35">
      <c r="A979" t="s">
        <v>260</v>
      </c>
      <c r="B979" t="s">
        <v>1111</v>
      </c>
      <c r="C979" t="s">
        <v>1455</v>
      </c>
      <c r="D979">
        <v>25</v>
      </c>
      <c r="E979">
        <v>25</v>
      </c>
      <c r="F979">
        <v>1</v>
      </c>
      <c r="G979">
        <v>1.00023</v>
      </c>
      <c r="H979">
        <v>90.246875000000003</v>
      </c>
      <c r="J979">
        <v>-6296</v>
      </c>
      <c r="N979" t="s">
        <v>185</v>
      </c>
      <c r="O979">
        <f t="shared" si="45"/>
        <v>90.009200000000007</v>
      </c>
      <c r="P979">
        <f t="shared" si="46"/>
        <v>0.29709374999999483</v>
      </c>
      <c r="Q979">
        <f t="shared" si="47"/>
        <v>0.29709374999999483</v>
      </c>
      <c r="Y979">
        <f>TREND(H975:H979,G975:G979,G979)</f>
        <v>90.307252194009763</v>
      </c>
      <c r="Z979">
        <f>ABS((Y979-H979)/80*100)</f>
        <v>7.54714925122002E-2</v>
      </c>
      <c r="AH979">
        <f>H979-AG947</f>
        <v>90.06293500000001</v>
      </c>
      <c r="AI979">
        <f>100*(AH979-O979)/80</f>
        <v>6.7168750000003996E-2</v>
      </c>
    </row>
    <row r="980" spans="1:41" x14ac:dyDescent="0.35">
      <c r="A980" t="s">
        <v>260</v>
      </c>
      <c r="B980" t="s">
        <v>1111</v>
      </c>
      <c r="C980" t="s">
        <v>1492</v>
      </c>
      <c r="D980">
        <v>25</v>
      </c>
      <c r="E980">
        <v>25</v>
      </c>
      <c r="F980">
        <v>0</v>
      </c>
      <c r="G980">
        <v>1.4899999999999999E-4</v>
      </c>
      <c r="H980">
        <v>50.290624999999999</v>
      </c>
      <c r="J980">
        <v>-6276</v>
      </c>
      <c r="N980" t="s">
        <v>185</v>
      </c>
      <c r="O980">
        <f t="shared" si="45"/>
        <v>50.005960000000002</v>
      </c>
      <c r="P980">
        <f t="shared" si="46"/>
        <v>0.35583124999999605</v>
      </c>
      <c r="Q980">
        <f t="shared" si="47"/>
        <v>0.35583124999999605</v>
      </c>
      <c r="Y980">
        <f>TREND(H975:H979,G975:G979,G980)</f>
        <v>50.271672112866909</v>
      </c>
      <c r="Z980">
        <f>ABS((Y980-H980)/80*100)</f>
        <v>2.3691108916361614E-2</v>
      </c>
      <c r="AH980">
        <f>H980-AG947</f>
        <v>50.106684999999999</v>
      </c>
      <c r="AI980">
        <f>100*(AH980-O980)/80</f>
        <v>0.12590624999999633</v>
      </c>
    </row>
    <row r="981" spans="1:41" x14ac:dyDescent="0.35">
      <c r="A981" t="s">
        <v>260</v>
      </c>
      <c r="B981" t="s">
        <v>1111</v>
      </c>
      <c r="C981" t="s">
        <v>1529</v>
      </c>
      <c r="D981">
        <v>25</v>
      </c>
      <c r="E981">
        <v>25</v>
      </c>
      <c r="F981">
        <v>-1</v>
      </c>
      <c r="G981">
        <v>-0.99982099999999996</v>
      </c>
      <c r="H981">
        <v>10.2734375</v>
      </c>
      <c r="J981">
        <v>-6274</v>
      </c>
      <c r="N981" t="s">
        <v>185</v>
      </c>
      <c r="O981">
        <f t="shared" si="45"/>
        <v>10.007160000000002</v>
      </c>
      <c r="P981">
        <f t="shared" si="46"/>
        <v>0.33284687499999688</v>
      </c>
      <c r="Q981">
        <f t="shared" si="47"/>
        <v>0.33284687499999688</v>
      </c>
      <c r="Y981">
        <f>TREND(H975:H979,G975:G979,G981)</f>
        <v>10.24053562118231</v>
      </c>
      <c r="Z981">
        <f>ABS((Y981-H981)/80*100)</f>
        <v>4.1127348522111973E-2</v>
      </c>
      <c r="AH981">
        <f>H981-AG947</f>
        <v>10.0894975</v>
      </c>
      <c r="AI981">
        <f>100*(AH981-O981)/80</f>
        <v>0.10292187499999716</v>
      </c>
    </row>
    <row r="982" spans="1:41" x14ac:dyDescent="0.35">
      <c r="A982" t="s">
        <v>260</v>
      </c>
      <c r="B982" t="s">
        <v>1111</v>
      </c>
      <c r="C982" t="s">
        <v>1566</v>
      </c>
      <c r="D982">
        <v>50</v>
      </c>
      <c r="E982">
        <v>50</v>
      </c>
      <c r="F982">
        <v>-1</v>
      </c>
      <c r="G982">
        <v>-1.000356</v>
      </c>
      <c r="H982">
        <v>10.153124999999999</v>
      </c>
      <c r="J982">
        <v>3654</v>
      </c>
      <c r="N982" t="s">
        <v>185</v>
      </c>
      <c r="O982">
        <f t="shared" si="45"/>
        <v>9.9857599999999991</v>
      </c>
      <c r="P982">
        <f t="shared" si="46"/>
        <v>0.20920625000000026</v>
      </c>
      <c r="Q982">
        <f t="shared" si="47"/>
        <v>0.20920625000000026</v>
      </c>
      <c r="S982">
        <v>50.151562499999997</v>
      </c>
      <c r="T982">
        <v>0.18080312499999529</v>
      </c>
      <c r="U982">
        <v>90.3203125</v>
      </c>
      <c r="V982">
        <v>0.39494062499999316</v>
      </c>
      <c r="W982">
        <v>80.167187499999997</v>
      </c>
      <c r="X982">
        <f>(W982-80)/80*100</f>
        <v>0.20898437499999645</v>
      </c>
      <c r="Y982">
        <f>TREND(H982:H986,G982:G986,G982)</f>
        <v>10.084877621552003</v>
      </c>
      <c r="Z982">
        <f>ABS((Y982-H982)/80*100)</f>
        <v>8.5309223059994999E-2</v>
      </c>
      <c r="AA982">
        <f>MAX(Z982:Z986)</f>
        <v>8.5309223059994999E-2</v>
      </c>
      <c r="AB982">
        <f>IF(ABS(MAX(P982:P988)) &gt; ABS(MIN(P982:P988)),MAX(P982:P988), MIN(P982:P988))</f>
        <v>0.39494062499999316</v>
      </c>
      <c r="AC982">
        <f>IF(ABS(AB983)&gt;ABS(AB982),AB983,AB982)</f>
        <v>0.39494062499999316</v>
      </c>
      <c r="AH982">
        <f>H982-AG947</f>
        <v>9.9691849999999995</v>
      </c>
      <c r="AI982">
        <f>100*(AH982-O982)/80</f>
        <v>-2.0718749999999453E-2</v>
      </c>
      <c r="AJ982">
        <v>49.967622499999997</v>
      </c>
      <c r="AK982">
        <v>-4.9121875000004422E-2</v>
      </c>
      <c r="AL982">
        <v>90.136372499999993</v>
      </c>
      <c r="AM982">
        <v>0.16501562499998457</v>
      </c>
      <c r="AN982">
        <f>IF(ABS(MAX(AI982:AI988)) &gt; ABS(MIN(AI982:AI988)),MAX(AI982:AI988), MIN(AI982:AI988))</f>
        <v>0.16501562499998457</v>
      </c>
      <c r="AO982">
        <f>IF(ABS(AN983)&gt;ABS(AN982),AN983,AN982)</f>
        <v>0.16501562499998457</v>
      </c>
    </row>
    <row r="983" spans="1:41" x14ac:dyDescent="0.35">
      <c r="A983" t="s">
        <v>260</v>
      </c>
      <c r="B983" t="s">
        <v>1111</v>
      </c>
      <c r="C983" t="s">
        <v>1602</v>
      </c>
      <c r="D983">
        <v>50</v>
      </c>
      <c r="E983">
        <v>50</v>
      </c>
      <c r="F983">
        <v>-0.5</v>
      </c>
      <c r="G983">
        <v>-0.50010699999999997</v>
      </c>
      <c r="H983">
        <v>30.078125</v>
      </c>
      <c r="J983">
        <v>3679</v>
      </c>
      <c r="N983" t="s">
        <v>185</v>
      </c>
      <c r="O983">
        <f t="shared" si="45"/>
        <v>29.995720000000002</v>
      </c>
      <c r="P983">
        <f t="shared" si="46"/>
        <v>0.1030062499999973</v>
      </c>
      <c r="Q983">
        <f t="shared" si="47"/>
        <v>0.1030062499999973</v>
      </c>
      <c r="Y983">
        <f>TREND(H982:H986,G982:G986,G983)</f>
        <v>30.144905948484787</v>
      </c>
      <c r="Z983">
        <f>ABS((Y983-H983)/80*100)</f>
        <v>8.3476185605984021E-2</v>
      </c>
      <c r="AB983">
        <f>IF(ABS(T982) &gt; ABS(V982),T982,V982)</f>
        <v>0.39494062499999316</v>
      </c>
      <c r="AH983">
        <f>H983-AG947</f>
        <v>29.894185</v>
      </c>
      <c r="AI983">
        <f>100*(AH983-O983)/80</f>
        <v>-0.12691875000000241</v>
      </c>
      <c r="AN983">
        <f>IF(ABS(AK982) &gt; ABS(AM982),AK982,AM982)</f>
        <v>0.16501562499998457</v>
      </c>
    </row>
    <row r="984" spans="1:41" x14ac:dyDescent="0.35">
      <c r="A984" t="s">
        <v>260</v>
      </c>
      <c r="B984" t="s">
        <v>1111</v>
      </c>
      <c r="C984" t="s">
        <v>1639</v>
      </c>
      <c r="D984">
        <v>50</v>
      </c>
      <c r="E984">
        <v>50</v>
      </c>
      <c r="F984">
        <v>0</v>
      </c>
      <c r="G984">
        <v>1.73E-4</v>
      </c>
      <c r="H984">
        <v>50.151562499999997</v>
      </c>
      <c r="J984">
        <v>3705</v>
      </c>
      <c r="N984" t="s">
        <v>185</v>
      </c>
      <c r="O984">
        <f t="shared" si="45"/>
        <v>50.006920000000001</v>
      </c>
      <c r="P984">
        <f t="shared" si="46"/>
        <v>0.18080312499999529</v>
      </c>
      <c r="Q984">
        <f t="shared" si="47"/>
        <v>0.18080312499999529</v>
      </c>
      <c r="Y984">
        <f>TREND(H982:H986,G982:G986,G984)</f>
        <v>50.206177378108698</v>
      </c>
      <c r="Z984">
        <f>ABS((Y984-H984)/80*100)</f>
        <v>6.826859763587656E-2</v>
      </c>
      <c r="AH984">
        <f>H984-AG947</f>
        <v>49.967622499999997</v>
      </c>
      <c r="AI984">
        <f>100*(AH984-O984)/80</f>
        <v>-4.9121875000004422E-2</v>
      </c>
    </row>
    <row r="985" spans="1:41" x14ac:dyDescent="0.35">
      <c r="A985" t="s">
        <v>260</v>
      </c>
      <c r="B985" t="s">
        <v>1111</v>
      </c>
      <c r="C985" t="s">
        <v>1676</v>
      </c>
      <c r="D985">
        <v>50</v>
      </c>
      <c r="E985">
        <v>50</v>
      </c>
      <c r="F985">
        <v>0.5</v>
      </c>
      <c r="G985">
        <v>0.50000299999999998</v>
      </c>
      <c r="H985">
        <v>70.285937500000003</v>
      </c>
      <c r="J985">
        <v>3731</v>
      </c>
      <c r="N985" t="s">
        <v>185</v>
      </c>
      <c r="O985">
        <f t="shared" si="45"/>
        <v>70.000119999999995</v>
      </c>
      <c r="P985">
        <f t="shared" si="46"/>
        <v>0.35727187500000923</v>
      </c>
      <c r="Q985">
        <f t="shared" si="47"/>
        <v>0.35727187500000923</v>
      </c>
      <c r="Y985">
        <f>TREND(H982:H986,G982:G986,G985)</f>
        <v>70.249403768667818</v>
      </c>
      <c r="Z985">
        <f>ABS((Y985-H985)/80*100)</f>
        <v>4.5667164165230645E-2</v>
      </c>
      <c r="AH985">
        <f>H985-AG947</f>
        <v>70.10199750000001</v>
      </c>
      <c r="AI985">
        <f>100*(AH985-O985)/80</f>
        <v>0.1273468750000184</v>
      </c>
    </row>
    <row r="986" spans="1:41" x14ac:dyDescent="0.35">
      <c r="A986" t="s">
        <v>260</v>
      </c>
      <c r="B986" t="s">
        <v>1111</v>
      </c>
      <c r="C986" t="s">
        <v>1712</v>
      </c>
      <c r="D986">
        <v>50</v>
      </c>
      <c r="E986">
        <v>50</v>
      </c>
      <c r="F986">
        <v>1</v>
      </c>
      <c r="G986">
        <v>1.0001089999999999</v>
      </c>
      <c r="H986">
        <v>90.3203125</v>
      </c>
      <c r="J986">
        <v>3759</v>
      </c>
      <c r="N986" t="s">
        <v>185</v>
      </c>
      <c r="O986">
        <f t="shared" si="45"/>
        <v>90.004360000000005</v>
      </c>
      <c r="P986">
        <f t="shared" si="46"/>
        <v>0.39494062499999316</v>
      </c>
      <c r="Q986">
        <f t="shared" si="47"/>
        <v>0.39494062499999316</v>
      </c>
      <c r="Y986">
        <f>TREND(H982:H986,G982:G986,G986)</f>
        <v>90.303697783186678</v>
      </c>
      <c r="Z986">
        <f>ABS((Y986-H986)/80*100)</f>
        <v>2.0768396016652702E-2</v>
      </c>
      <c r="AH986">
        <f>H986-AG947</f>
        <v>90.136372499999993</v>
      </c>
      <c r="AI986">
        <f>100*(AH986-O986)/80</f>
        <v>0.16501562499998457</v>
      </c>
    </row>
    <row r="987" spans="1:41" x14ac:dyDescent="0.35">
      <c r="A987" t="s">
        <v>260</v>
      </c>
      <c r="B987" t="s">
        <v>1111</v>
      </c>
      <c r="C987" t="s">
        <v>1749</v>
      </c>
      <c r="D987">
        <v>50</v>
      </c>
      <c r="E987">
        <v>50</v>
      </c>
      <c r="F987">
        <v>0</v>
      </c>
      <c r="G987">
        <v>1.18E-4</v>
      </c>
      <c r="H987">
        <v>50.1484375</v>
      </c>
      <c r="J987">
        <v>3778</v>
      </c>
      <c r="N987" t="s">
        <v>185</v>
      </c>
      <c r="O987">
        <f t="shared" si="45"/>
        <v>50.004720000000006</v>
      </c>
      <c r="P987">
        <f t="shared" si="46"/>
        <v>0.17964687499999243</v>
      </c>
      <c r="Q987">
        <f t="shared" si="47"/>
        <v>0.17964687499999243</v>
      </c>
      <c r="Y987">
        <f>TREND(H982:H986,G982:G986,G987)</f>
        <v>50.203971873334112</v>
      </c>
      <c r="Z987">
        <f>ABS((Y987-H987)/80*100)</f>
        <v>6.9417966667639774E-2</v>
      </c>
      <c r="AH987">
        <f>H987-AG947</f>
        <v>49.9644975</v>
      </c>
      <c r="AI987">
        <f>100*(AH987-O987)/80</f>
        <v>-5.0278125000007279E-2</v>
      </c>
    </row>
    <row r="988" spans="1:41" x14ac:dyDescent="0.35">
      <c r="A988" t="s">
        <v>260</v>
      </c>
      <c r="B988" t="s">
        <v>1111</v>
      </c>
      <c r="C988" t="s">
        <v>1785</v>
      </c>
      <c r="D988">
        <v>50</v>
      </c>
      <c r="E988">
        <v>50</v>
      </c>
      <c r="F988">
        <v>-1</v>
      </c>
      <c r="G988">
        <v>-1.000054</v>
      </c>
      <c r="H988">
        <v>10.1859375</v>
      </c>
      <c r="J988">
        <v>3789</v>
      </c>
      <c r="N988" t="s">
        <v>185</v>
      </c>
      <c r="O988">
        <f t="shared" si="45"/>
        <v>9.9978400000000001</v>
      </c>
      <c r="P988">
        <f t="shared" si="46"/>
        <v>0.23512187499999948</v>
      </c>
      <c r="Q988">
        <f t="shared" si="47"/>
        <v>0.23512187499999948</v>
      </c>
      <c r="Y988">
        <f>TREND(H982:H986,G982:G986,G988)</f>
        <v>10.096987847768816</v>
      </c>
      <c r="Z988">
        <f>ABS((Y988-H988)/80*100)</f>
        <v>0.11118706528898015</v>
      </c>
      <c r="AH988">
        <f>H988-AG947</f>
        <v>10.0019975</v>
      </c>
      <c r="AI988">
        <f>100*(AH988-O988)/80</f>
        <v>5.1968749999997677E-3</v>
      </c>
    </row>
    <row r="989" spans="1:41" x14ac:dyDescent="0.35">
      <c r="A989" t="s">
        <v>260</v>
      </c>
      <c r="B989" t="s">
        <v>1111</v>
      </c>
      <c r="C989" t="s">
        <v>1823</v>
      </c>
      <c r="D989">
        <v>70</v>
      </c>
      <c r="E989">
        <v>70</v>
      </c>
      <c r="F989">
        <v>-1</v>
      </c>
      <c r="G989">
        <v>-0.999525</v>
      </c>
      <c r="H989">
        <v>10.15</v>
      </c>
      <c r="J989">
        <v>11834</v>
      </c>
      <c r="N989" t="s">
        <v>185</v>
      </c>
      <c r="O989">
        <f t="shared" si="45"/>
        <v>10.019</v>
      </c>
      <c r="P989">
        <f t="shared" si="46"/>
        <v>0.16375000000000028</v>
      </c>
      <c r="Q989">
        <f t="shared" si="47"/>
        <v>0.16375000000000028</v>
      </c>
      <c r="S989">
        <v>50.134374999999999</v>
      </c>
      <c r="T989">
        <v>0.16106875000000187</v>
      </c>
      <c r="U989">
        <v>90.4296875</v>
      </c>
      <c r="V989">
        <v>0.53545937499999141</v>
      </c>
      <c r="W989">
        <v>80.279687499999994</v>
      </c>
      <c r="X989">
        <f>(W989-80)/80*100</f>
        <v>0.34960937499999289</v>
      </c>
      <c r="Y989">
        <f>TREND(H989:H993,G989:G993,G989)</f>
        <v>10.07444766832635</v>
      </c>
      <c r="Z989">
        <f>ABS((Y989-H989)/80*100)</f>
        <v>9.4440414592062982E-2</v>
      </c>
      <c r="AA989">
        <f>MAX(Z989:Z993)</f>
        <v>0.11102977971714444</v>
      </c>
      <c r="AB989">
        <f>IF(ABS(MAX(P989:P995)) &gt; ABS(MIN(P989:P995)),MAX(P989:P995), MIN(P989:P995))</f>
        <v>0.53545937499999141</v>
      </c>
      <c r="AC989">
        <f>IF(ABS(AB990)&gt;ABS(AB989),AB990,AB989)</f>
        <v>0.53545937499999141</v>
      </c>
      <c r="AH989">
        <f>H989-AG947</f>
        <v>9.9660600000000006</v>
      </c>
      <c r="AI989">
        <f>100*(AH989-O989)/80</f>
        <v>-6.6174999999999429E-2</v>
      </c>
      <c r="AJ989">
        <v>49.950434999999999</v>
      </c>
      <c r="AK989">
        <v>-6.8856249999997843E-2</v>
      </c>
      <c r="AL989">
        <v>90.245747499999993</v>
      </c>
      <c r="AM989">
        <v>0.30553437499998282</v>
      </c>
      <c r="AN989">
        <f>IF(ABS(MAX(AI989:AI995)) &gt; ABS(MIN(AI989:AI995)),MAX(AI989:AI995), MIN(AI989:AI995))</f>
        <v>0.30553437499998282</v>
      </c>
      <c r="AO989">
        <f>IF(ABS(AN990)&gt;ABS(AN989),AN990,AN989)</f>
        <v>0.30553437499998282</v>
      </c>
    </row>
    <row r="990" spans="1:41" x14ac:dyDescent="0.35">
      <c r="A990" t="s">
        <v>260</v>
      </c>
      <c r="B990" t="s">
        <v>1111</v>
      </c>
      <c r="C990" t="s">
        <v>1860</v>
      </c>
      <c r="D990">
        <v>70</v>
      </c>
      <c r="E990">
        <v>70</v>
      </c>
      <c r="F990">
        <v>-0.5</v>
      </c>
      <c r="G990">
        <v>-0.500108</v>
      </c>
      <c r="H990">
        <v>30.087499999999999</v>
      </c>
      <c r="J990">
        <v>11855</v>
      </c>
      <c r="N990" t="s">
        <v>185</v>
      </c>
      <c r="O990">
        <f t="shared" si="45"/>
        <v>29.99568</v>
      </c>
      <c r="P990">
        <f t="shared" si="46"/>
        <v>0.11477499999999807</v>
      </c>
      <c r="Q990">
        <f t="shared" si="47"/>
        <v>0.11477499999999807</v>
      </c>
      <c r="Y990">
        <f>TREND(H989:H993,G989:G993,G990)</f>
        <v>30.132175978566959</v>
      </c>
      <c r="Z990">
        <f>ABS((Y990-H990)/80*100)</f>
        <v>5.584497320870075E-2</v>
      </c>
      <c r="AB990">
        <f>IF(ABS(T989) &gt; ABS(V989),T989,V989)</f>
        <v>0.53545937499999141</v>
      </c>
      <c r="AH990">
        <f>H990-AG947</f>
        <v>29.903559999999999</v>
      </c>
      <c r="AI990">
        <f>100*(AH990-O990)/80</f>
        <v>-0.11515000000000164</v>
      </c>
      <c r="AN990">
        <f>IF(ABS(AK989) &gt; ABS(AM989),AK989,AM989)</f>
        <v>0.30553437499998282</v>
      </c>
    </row>
    <row r="991" spans="1:41" x14ac:dyDescent="0.35">
      <c r="A991" t="s">
        <v>260</v>
      </c>
      <c r="B991" t="s">
        <v>1111</v>
      </c>
      <c r="C991" t="s">
        <v>1896</v>
      </c>
      <c r="D991">
        <v>70</v>
      </c>
      <c r="E991">
        <v>70</v>
      </c>
      <c r="F991">
        <v>0</v>
      </c>
      <c r="G991">
        <v>1.3799999999999999E-4</v>
      </c>
      <c r="H991">
        <v>50.134374999999999</v>
      </c>
      <c r="J991">
        <v>11879</v>
      </c>
      <c r="N991" t="s">
        <v>185</v>
      </c>
      <c r="O991">
        <f t="shared" si="45"/>
        <v>50.005519999999997</v>
      </c>
      <c r="P991">
        <f t="shared" si="46"/>
        <v>0.16106875000000187</v>
      </c>
      <c r="Q991">
        <f t="shared" si="47"/>
        <v>0.16106875000000187</v>
      </c>
      <c r="Y991">
        <f>TREND(H989:H993,G989:G993,G991)</f>
        <v>50.223198823773714</v>
      </c>
      <c r="Z991">
        <f>ABS((Y991-H991)/80*100)</f>
        <v>0.11102977971714444</v>
      </c>
      <c r="AH991">
        <f>H991-AG947</f>
        <v>49.950434999999999</v>
      </c>
      <c r="AI991">
        <f>100*(AH991-O991)/80</f>
        <v>-6.8856249999997843E-2</v>
      </c>
    </row>
    <row r="992" spans="1:41" x14ac:dyDescent="0.35">
      <c r="A992" t="s">
        <v>260</v>
      </c>
      <c r="B992" t="s">
        <v>1111</v>
      </c>
      <c r="C992" t="s">
        <v>1933</v>
      </c>
      <c r="D992">
        <v>70</v>
      </c>
      <c r="E992">
        <v>70</v>
      </c>
      <c r="F992">
        <v>0.5</v>
      </c>
      <c r="G992">
        <v>0.50006499999999998</v>
      </c>
      <c r="H992">
        <v>70.310937499999994</v>
      </c>
      <c r="J992">
        <v>11900</v>
      </c>
      <c r="N992" t="s">
        <v>185</v>
      </c>
      <c r="O992">
        <f t="shared" si="45"/>
        <v>70.002600000000001</v>
      </c>
      <c r="P992">
        <f t="shared" si="46"/>
        <v>0.38542187499999159</v>
      </c>
      <c r="Q992">
        <f t="shared" si="47"/>
        <v>0.38542187499999159</v>
      </c>
      <c r="Y992">
        <f>TREND(H989:H993,G989:G993,G992)</f>
        <v>70.301409899795658</v>
      </c>
      <c r="Z992">
        <f>ABS((Y992-H992)/80*100)</f>
        <v>1.1909500255420369E-2</v>
      </c>
      <c r="AH992">
        <f>H992-AG947</f>
        <v>70.126997499999987</v>
      </c>
      <c r="AI992">
        <f>100*(AH992-O992)/80</f>
        <v>0.15549687499998299</v>
      </c>
    </row>
    <row r="993" spans="1:41" x14ac:dyDescent="0.35">
      <c r="A993" t="s">
        <v>260</v>
      </c>
      <c r="B993" t="s">
        <v>1111</v>
      </c>
      <c r="C993" t="s">
        <v>1969</v>
      </c>
      <c r="D993">
        <v>70</v>
      </c>
      <c r="E993">
        <v>70</v>
      </c>
      <c r="F993">
        <v>1</v>
      </c>
      <c r="G993">
        <v>1.0000329999999999</v>
      </c>
      <c r="H993">
        <v>90.4296875</v>
      </c>
      <c r="J993">
        <v>11924</v>
      </c>
      <c r="N993" t="s">
        <v>185</v>
      </c>
      <c r="O993">
        <f t="shared" si="45"/>
        <v>90.001320000000007</v>
      </c>
      <c r="P993">
        <f t="shared" si="46"/>
        <v>0.53545937499999141</v>
      </c>
      <c r="Q993">
        <f t="shared" si="47"/>
        <v>0.53545937499999141</v>
      </c>
      <c r="Y993">
        <f>TREND(H989:H993,G989:G993,G993)</f>
        <v>90.381267629537291</v>
      </c>
      <c r="Z993">
        <f>ABS((Y993-H993)/80*100)</f>
        <v>6.052483807838626E-2</v>
      </c>
      <c r="AH993">
        <f>H993-AG947</f>
        <v>90.245747499999993</v>
      </c>
      <c r="AI993">
        <f>100*(AH993-O993)/80</f>
        <v>0.30553437499998282</v>
      </c>
    </row>
    <row r="994" spans="1:41" x14ac:dyDescent="0.35">
      <c r="A994" t="s">
        <v>260</v>
      </c>
      <c r="B994" t="s">
        <v>1111</v>
      </c>
      <c r="C994" t="s">
        <v>2006</v>
      </c>
      <c r="D994">
        <v>70</v>
      </c>
      <c r="E994">
        <v>70</v>
      </c>
      <c r="F994">
        <v>0</v>
      </c>
      <c r="G994">
        <v>-8.0000000000000007E-5</v>
      </c>
      <c r="H994">
        <v>50.1484375</v>
      </c>
      <c r="J994">
        <v>11945</v>
      </c>
      <c r="N994" t="s">
        <v>185</v>
      </c>
      <c r="O994">
        <f t="shared" si="45"/>
        <v>49.9968</v>
      </c>
      <c r="P994">
        <f t="shared" si="46"/>
        <v>0.18954687499999956</v>
      </c>
      <c r="Q994">
        <f t="shared" si="47"/>
        <v>0.18954687499999956</v>
      </c>
      <c r="Y994">
        <f>TREND(H989:H993,G989:G993,G994)</f>
        <v>50.214443445459338</v>
      </c>
      <c r="Z994">
        <f>ABS((Y994-H994)/80*100)</f>
        <v>8.2507431824172528E-2</v>
      </c>
      <c r="AH994">
        <f>H994-AG947</f>
        <v>49.9644975</v>
      </c>
      <c r="AI994">
        <f>100*(AH994-O994)/80</f>
        <v>-4.0378125000000153E-2</v>
      </c>
    </row>
    <row r="995" spans="1:41" x14ac:dyDescent="0.35">
      <c r="A995" t="s">
        <v>260</v>
      </c>
      <c r="B995" t="s">
        <v>1111</v>
      </c>
      <c r="C995" t="s">
        <v>2042</v>
      </c>
      <c r="D995">
        <v>70</v>
      </c>
      <c r="E995">
        <v>70</v>
      </c>
      <c r="F995">
        <v>-1</v>
      </c>
      <c r="G995">
        <v>-0.99993699999999996</v>
      </c>
      <c r="H995">
        <v>10.153124999999999</v>
      </c>
      <c r="J995">
        <v>11954</v>
      </c>
      <c r="N995" t="s">
        <v>185</v>
      </c>
      <c r="O995">
        <f t="shared" si="45"/>
        <v>10.002520000000001</v>
      </c>
      <c r="P995">
        <f t="shared" si="46"/>
        <v>0.18825624999999846</v>
      </c>
      <c r="Q995">
        <f t="shared" si="47"/>
        <v>0.18825624999999846</v>
      </c>
      <c r="Y995">
        <f>TREND(H989:H993,G989:G993,G995)</f>
        <v>10.057900806557889</v>
      </c>
      <c r="Z995">
        <f>ABS((Y995-H995)/80*100)</f>
        <v>0.11903024180263788</v>
      </c>
      <c r="AH995">
        <f>H995-AG947</f>
        <v>9.9691849999999995</v>
      </c>
      <c r="AI995">
        <f>100*(AH995-O995)/80</f>
        <v>-4.1668750000001253E-2</v>
      </c>
    </row>
    <row r="996" spans="1:41" x14ac:dyDescent="0.35">
      <c r="A996" t="s">
        <v>260</v>
      </c>
      <c r="B996" t="s">
        <v>1111</v>
      </c>
      <c r="C996" t="s">
        <v>2078</v>
      </c>
      <c r="D996">
        <v>85</v>
      </c>
      <c r="E996">
        <v>85</v>
      </c>
      <c r="F996">
        <v>-1</v>
      </c>
      <c r="G996">
        <v>-1.0000640000000001</v>
      </c>
      <c r="H996">
        <v>10.192187499999999</v>
      </c>
      <c r="J996">
        <v>17989</v>
      </c>
      <c r="N996" t="s">
        <v>185</v>
      </c>
      <c r="O996">
        <f t="shared" si="45"/>
        <v>9.9974399999999974</v>
      </c>
      <c r="P996">
        <f t="shared" si="46"/>
        <v>0.24343437500000231</v>
      </c>
      <c r="Q996">
        <f t="shared" si="47"/>
        <v>0.24343437500000231</v>
      </c>
      <c r="S996">
        <v>50.157812499999999</v>
      </c>
      <c r="T996">
        <v>0.19516562499998891</v>
      </c>
      <c r="U996">
        <v>90.514062499999994</v>
      </c>
      <c r="V996">
        <v>0.63687812499999552</v>
      </c>
      <c r="W996">
        <v>80.321873474121091</v>
      </c>
      <c r="X996">
        <f>(W996-80)/80*100</f>
        <v>0.40234184265136358</v>
      </c>
      <c r="Y996">
        <f>TREND(H996:H1000,G996:G1000,G996)</f>
        <v>10.087828241554348</v>
      </c>
      <c r="Z996">
        <f>ABS((Y996-H996)/80*100)</f>
        <v>0.13044907305706399</v>
      </c>
      <c r="AA996">
        <f>MAX(Z996:Z1000)</f>
        <v>0.13425873278413825</v>
      </c>
      <c r="AB996">
        <f>IF(ABS(MAX(P996:P1002)) &gt; ABS(MIN(P996:P1002)),MAX(P996:P1002), MIN(P996:P1002))</f>
        <v>0.63687812499999552</v>
      </c>
      <c r="AC996">
        <f>IF(ABS(AB997)&gt;ABS(AB996),AB997,AB996)</f>
        <v>0.63687812499999552</v>
      </c>
      <c r="AH996">
        <f>H996-AG947</f>
        <v>10.0082475</v>
      </c>
      <c r="AI996">
        <f>100*(AH996-O996)/80</f>
        <v>1.3509375000002599E-2</v>
      </c>
      <c r="AJ996">
        <v>49.973872499999999</v>
      </c>
      <c r="AK996">
        <v>-3.4759375000010806E-2</v>
      </c>
      <c r="AL996">
        <v>90.330122499999987</v>
      </c>
      <c r="AM996">
        <v>0.40695312499998693</v>
      </c>
      <c r="AN996">
        <f>IF(ABS(MAX(AI996:AI1002)) &gt; ABS(MIN(AI996:AI1002)),MAX(AI996:AI1002), MIN(AI996:AI1002))</f>
        <v>0.40695312499998693</v>
      </c>
      <c r="AO996">
        <f>IF(ABS(AN997)&gt;ABS(AN996),AN997,AN996)</f>
        <v>0.40695312499998693</v>
      </c>
    </row>
    <row r="997" spans="1:41" x14ac:dyDescent="0.35">
      <c r="A997" t="s">
        <v>260</v>
      </c>
      <c r="B997" t="s">
        <v>1111</v>
      </c>
      <c r="C997" t="s">
        <v>2114</v>
      </c>
      <c r="D997">
        <v>85</v>
      </c>
      <c r="E997">
        <v>85</v>
      </c>
      <c r="F997">
        <v>-0.5</v>
      </c>
      <c r="G997">
        <v>-0.49998999999999999</v>
      </c>
      <c r="H997">
        <v>30.110937499999999</v>
      </c>
      <c r="J997">
        <v>18008</v>
      </c>
      <c r="N997" t="s">
        <v>185</v>
      </c>
      <c r="O997">
        <f t="shared" si="45"/>
        <v>30.000400000000003</v>
      </c>
      <c r="P997">
        <f t="shared" si="46"/>
        <v>0.13817187499999495</v>
      </c>
      <c r="Q997">
        <f t="shared" si="47"/>
        <v>0.13817187499999495</v>
      </c>
      <c r="Y997">
        <f>TREND(H996:H1000,G996:G1000,G997)</f>
        <v>30.177367499681573</v>
      </c>
      <c r="Z997">
        <f>ABS((Y997-H997)/80*100)</f>
        <v>8.3037499601967824E-2</v>
      </c>
      <c r="AB997">
        <f>IF(ABS(T996) &gt; ABS(V996),T996,V996)</f>
        <v>0.63687812499999552</v>
      </c>
      <c r="AH997">
        <f>H997-AG947</f>
        <v>29.926997499999999</v>
      </c>
      <c r="AI997">
        <f>100*(AH997-O997)/80</f>
        <v>-9.1753125000004765E-2</v>
      </c>
      <c r="AN997">
        <f>IF(ABS(AK996) &gt; ABS(AM996),AK996,AM996)</f>
        <v>0.40695312499998693</v>
      </c>
    </row>
    <row r="998" spans="1:41" x14ac:dyDescent="0.35">
      <c r="A998" t="s">
        <v>260</v>
      </c>
      <c r="B998" t="s">
        <v>1111</v>
      </c>
      <c r="C998" t="s">
        <v>2151</v>
      </c>
      <c r="D998">
        <v>85</v>
      </c>
      <c r="E998">
        <v>85</v>
      </c>
      <c r="F998">
        <v>0</v>
      </c>
      <c r="G998">
        <v>4.1999999999999998E-5</v>
      </c>
      <c r="H998">
        <v>50.157812499999999</v>
      </c>
      <c r="J998">
        <v>18030</v>
      </c>
      <c r="N998" t="s">
        <v>185</v>
      </c>
      <c r="O998">
        <f t="shared" si="45"/>
        <v>50.001680000000007</v>
      </c>
      <c r="P998">
        <f t="shared" si="46"/>
        <v>0.19516562499998891</v>
      </c>
      <c r="Q998">
        <f t="shared" si="47"/>
        <v>0.19516562499998891</v>
      </c>
      <c r="Y998">
        <f>TREND(H996:H1000,G996:G1000,G998)</f>
        <v>50.265219486227309</v>
      </c>
      <c r="Z998">
        <f>ABS((Y998-H998)/80*100)</f>
        <v>0.13425873278413825</v>
      </c>
      <c r="AH998">
        <f>H998-AG947</f>
        <v>49.973872499999999</v>
      </c>
      <c r="AI998">
        <f>100*(AH998-O998)/80</f>
        <v>-3.4759375000010806E-2</v>
      </c>
    </row>
    <row r="999" spans="1:41" x14ac:dyDescent="0.35">
      <c r="A999" t="s">
        <v>260</v>
      </c>
      <c r="B999" t="s">
        <v>1111</v>
      </c>
      <c r="C999" t="s">
        <v>2188</v>
      </c>
      <c r="D999">
        <v>85</v>
      </c>
      <c r="E999">
        <v>85</v>
      </c>
      <c r="F999">
        <v>0.5</v>
      </c>
      <c r="G999">
        <v>0.49996400000000002</v>
      </c>
      <c r="H999">
        <v>70.345312500000006</v>
      </c>
      <c r="J999">
        <v>18045</v>
      </c>
      <c r="N999" t="s">
        <v>185</v>
      </c>
      <c r="O999">
        <f t="shared" si="45"/>
        <v>69.998559999999998</v>
      </c>
      <c r="P999">
        <f t="shared" si="46"/>
        <v>0.43344062500001002</v>
      </c>
      <c r="Q999">
        <f t="shared" si="47"/>
        <v>0.43344062500001002</v>
      </c>
      <c r="Y999">
        <f>TREND(H996:H1000,G996:G1000,G999)</f>
        <v>70.348652428154864</v>
      </c>
      <c r="Z999">
        <f>ABS((Y999-H999)/80*100)</f>
        <v>4.1749101935728561E-3</v>
      </c>
      <c r="AH999">
        <f>H999-AG947</f>
        <v>70.161372499999999</v>
      </c>
      <c r="AI999">
        <f>100*(AH999-O999)/80</f>
        <v>0.20351562500000142</v>
      </c>
    </row>
    <row r="1000" spans="1:41" x14ac:dyDescent="0.35">
      <c r="A1000" t="s">
        <v>260</v>
      </c>
      <c r="B1000" t="s">
        <v>1111</v>
      </c>
      <c r="C1000" t="s">
        <v>2224</v>
      </c>
      <c r="D1000">
        <v>85</v>
      </c>
      <c r="E1000">
        <v>85</v>
      </c>
      <c r="F1000">
        <v>1</v>
      </c>
      <c r="G1000">
        <v>1.0001139999999999</v>
      </c>
      <c r="H1000">
        <v>90.514062499999994</v>
      </c>
      <c r="J1000">
        <v>18062</v>
      </c>
      <c r="N1000" t="s">
        <v>185</v>
      </c>
      <c r="O1000">
        <f t="shared" si="45"/>
        <v>90.004559999999998</v>
      </c>
      <c r="P1000">
        <f t="shared" si="46"/>
        <v>0.63687812499999552</v>
      </c>
      <c r="Q1000">
        <f t="shared" si="47"/>
        <v>0.63687812499999552</v>
      </c>
      <c r="Y1000">
        <f>TREND(H996:H1000,G996:G1000,G1000)</f>
        <v>90.441244844381913</v>
      </c>
      <c r="Z1000">
        <f>ABS((Y1000-H1000)/80*100)</f>
        <v>9.1022069522601612E-2</v>
      </c>
      <c r="AH1000">
        <f>H1000-AG947</f>
        <v>90.330122499999987</v>
      </c>
      <c r="AI1000">
        <f>100*(AH1000-O1000)/80</f>
        <v>0.40695312499998693</v>
      </c>
    </row>
    <row r="1001" spans="1:41" x14ac:dyDescent="0.35">
      <c r="A1001" t="s">
        <v>260</v>
      </c>
      <c r="B1001" t="s">
        <v>1111</v>
      </c>
      <c r="C1001" t="s">
        <v>2261</v>
      </c>
      <c r="D1001">
        <v>85</v>
      </c>
      <c r="E1001">
        <v>85</v>
      </c>
      <c r="F1001">
        <v>0</v>
      </c>
      <c r="G1001">
        <v>-8.1000000000000004E-5</v>
      </c>
      <c r="H1001">
        <v>50.1640625</v>
      </c>
      <c r="J1001">
        <v>18077</v>
      </c>
      <c r="N1001" t="s">
        <v>185</v>
      </c>
      <c r="O1001">
        <f t="shared" si="45"/>
        <v>49.996760000000002</v>
      </c>
      <c r="P1001">
        <f t="shared" si="46"/>
        <v>0.20912812499999767</v>
      </c>
      <c r="Q1001">
        <f t="shared" si="47"/>
        <v>0.20912812499999767</v>
      </c>
      <c r="Y1001">
        <f>TREND(H996:H1000,G996:G1000,G1001)</f>
        <v>50.260278190881522</v>
      </c>
      <c r="Z1001">
        <f>ABS((Y1001-H1001)/80*100)</f>
        <v>0.12026961360190214</v>
      </c>
      <c r="AH1001">
        <f>H1001-AG947</f>
        <v>49.9801225</v>
      </c>
      <c r="AI1001">
        <f>100*(AH1001-O1001)/80</f>
        <v>-2.0796875000002046E-2</v>
      </c>
    </row>
    <row r="1002" spans="1:41" x14ac:dyDescent="0.35">
      <c r="A1002" t="s">
        <v>260</v>
      </c>
      <c r="B1002" t="s">
        <v>1111</v>
      </c>
      <c r="C1002" t="s">
        <v>2298</v>
      </c>
      <c r="D1002">
        <v>85</v>
      </c>
      <c r="E1002">
        <v>85</v>
      </c>
      <c r="F1002">
        <v>-1</v>
      </c>
      <c r="G1002">
        <v>-1.000149</v>
      </c>
      <c r="H1002">
        <v>10.096875000000001</v>
      </c>
      <c r="J1002">
        <v>18096</v>
      </c>
      <c r="N1002" t="s">
        <v>185</v>
      </c>
      <c r="O1002">
        <f t="shared" si="45"/>
        <v>9.9940400000000018</v>
      </c>
      <c r="P1002">
        <f t="shared" si="46"/>
        <v>0.12854374999999862</v>
      </c>
      <c r="Q1002">
        <f t="shared" si="47"/>
        <v>0.12854374999999862</v>
      </c>
      <c r="Y1002">
        <f>TREND(H996:H1000,G996:G1000,G1002)</f>
        <v>10.084413525258483</v>
      </c>
      <c r="Z1002">
        <f>ABS((Y1002-H1002)/80*100)</f>
        <v>1.5576843426896582E-2</v>
      </c>
      <c r="AH1002">
        <f>H1002-AG947</f>
        <v>9.9129350000000009</v>
      </c>
      <c r="AI1002">
        <f>100*(AH1002-O1002)/80</f>
        <v>-0.10138125000000109</v>
      </c>
    </row>
    <row r="1003" spans="1:41" x14ac:dyDescent="0.35">
      <c r="A1003" t="s">
        <v>260</v>
      </c>
      <c r="B1003" t="s">
        <v>1111</v>
      </c>
      <c r="C1003" t="s">
        <v>2335</v>
      </c>
      <c r="D1003">
        <v>25</v>
      </c>
      <c r="E1003">
        <v>25</v>
      </c>
      <c r="F1003">
        <v>-1</v>
      </c>
      <c r="G1003">
        <v>-1.000456</v>
      </c>
      <c r="H1003">
        <v>10.050000000000001</v>
      </c>
      <c r="J1003">
        <v>-5610</v>
      </c>
      <c r="N1003" t="s">
        <v>185</v>
      </c>
      <c r="O1003">
        <f t="shared" si="45"/>
        <v>9.9817599999999995</v>
      </c>
      <c r="P1003">
        <f t="shared" si="46"/>
        <v>8.5300000000001486E-2</v>
      </c>
      <c r="Q1003">
        <f t="shared" si="47"/>
        <v>8.5300000000001486E-2</v>
      </c>
      <c r="S1003">
        <v>50.165624999999999</v>
      </c>
      <c r="T1003">
        <v>0.21503124999999734</v>
      </c>
      <c r="U1003">
        <v>90.245312499999997</v>
      </c>
      <c r="V1003">
        <v>0.30824062500000693</v>
      </c>
      <c r="W1003">
        <v>80.195315551757815</v>
      </c>
      <c r="X1003">
        <f>(W1003-80)/80*100</f>
        <v>0.24414443969726918</v>
      </c>
      <c r="Y1003">
        <f>TREND(H1003:H1007,G1003:G1007,G1003)</f>
        <v>10.000519562545271</v>
      </c>
      <c r="Z1003">
        <f>ABS((Y1003-H1003)/80*100)</f>
        <v>6.1850546818411622E-2</v>
      </c>
      <c r="AA1003">
        <f>MAX(Z1003:Z1007)</f>
        <v>0.12352991578028494</v>
      </c>
      <c r="AB1003">
        <f>IF(ABS(MAX(P1003:P1009)) &gt; ABS(MIN(P1003:P1009)),MAX(P1003:P1009), MIN(P1003:P1009))</f>
        <v>0.30824062500000693</v>
      </c>
      <c r="AC1003">
        <f>IF(ABS(AB1004)&gt;ABS(AB1003),AB1004,AB1003)</f>
        <v>0.30824062500000693</v>
      </c>
      <c r="AH1003">
        <f>H1003-AG947</f>
        <v>9.8660600000000009</v>
      </c>
      <c r="AI1003">
        <f>100*(AH1003-O1003)/80</f>
        <v>-0.14462499999999823</v>
      </c>
      <c r="AJ1003">
        <v>49.981684999999999</v>
      </c>
      <c r="AK1003">
        <v>-1.489375000000237E-2</v>
      </c>
      <c r="AL1003">
        <v>90.061372500000004</v>
      </c>
      <c r="AM1003">
        <v>7.8315625000016098E-2</v>
      </c>
      <c r="AN1003">
        <f>IF(ABS(MAX(AI1003:AI1009)) &gt; ABS(MIN(AI1003:AI1009)),MAX(AI1003:AI1009), MIN(AI1003:AI1009))</f>
        <v>-0.25262812499999843</v>
      </c>
      <c r="AO1003">
        <f>IF(ABS(AN1004)&gt;ABS(AN1003),AN1004,AN1003)</f>
        <v>-0.25262812499999843</v>
      </c>
    </row>
    <row r="1004" spans="1:41" x14ac:dyDescent="0.35">
      <c r="A1004" t="s">
        <v>260</v>
      </c>
      <c r="B1004" t="s">
        <v>1111</v>
      </c>
      <c r="C1004" t="s">
        <v>2371</v>
      </c>
      <c r="D1004">
        <v>25</v>
      </c>
      <c r="E1004">
        <v>25</v>
      </c>
      <c r="F1004">
        <v>-0.5</v>
      </c>
      <c r="G1004">
        <v>-0.50021000000000004</v>
      </c>
      <c r="H1004">
        <v>29.973437499999999</v>
      </c>
      <c r="J1004">
        <v>-5651</v>
      </c>
      <c r="N1004" t="s">
        <v>185</v>
      </c>
      <c r="O1004">
        <f t="shared" si="45"/>
        <v>29.991599999999998</v>
      </c>
      <c r="P1004">
        <f t="shared" si="46"/>
        <v>-2.2703124999998714E-2</v>
      </c>
      <c r="Q1004">
        <f t="shared" si="47"/>
        <v>2.2703124999998714E-2</v>
      </c>
      <c r="Y1004">
        <f>TREND(H1003:H1007,G1003:G1007,G1004)</f>
        <v>30.072261432624227</v>
      </c>
      <c r="Z1004">
        <f>ABS((Y1004-H1004)/80*100)</f>
        <v>0.12352991578028494</v>
      </c>
      <c r="AB1004">
        <f>IF(ABS(T1003) &gt; ABS(V1003),T1003,V1003)</f>
        <v>0.30824062500000693</v>
      </c>
      <c r="AH1004">
        <f>H1004-AG947</f>
        <v>29.7894975</v>
      </c>
      <c r="AI1004">
        <f>100*(AH1004-O1004)/80</f>
        <v>-0.25262812499999843</v>
      </c>
      <c r="AN1004">
        <f>IF(ABS(AK1003) &gt; ABS(AM1003),AK1003,AM1003)</f>
        <v>7.8315625000016098E-2</v>
      </c>
    </row>
    <row r="1005" spans="1:41" x14ac:dyDescent="0.35">
      <c r="A1005" t="s">
        <v>260</v>
      </c>
      <c r="B1005" t="s">
        <v>1111</v>
      </c>
      <c r="C1005" t="s">
        <v>2408</v>
      </c>
      <c r="D1005">
        <v>25</v>
      </c>
      <c r="E1005">
        <v>25</v>
      </c>
      <c r="F1005">
        <v>0</v>
      </c>
      <c r="G1005">
        <v>-1.6000000000000001E-4</v>
      </c>
      <c r="H1005">
        <v>50.165624999999999</v>
      </c>
      <c r="J1005">
        <v>-5683</v>
      </c>
      <c r="N1005" t="s">
        <v>185</v>
      </c>
      <c r="O1005">
        <f t="shared" si="45"/>
        <v>49.993600000000001</v>
      </c>
      <c r="P1005">
        <f t="shared" si="46"/>
        <v>0.21503124999999734</v>
      </c>
      <c r="Q1005">
        <f t="shared" si="47"/>
        <v>0.21503124999999734</v>
      </c>
      <c r="Y1005">
        <f>TREND(H1003:H1007,G1003:G1007,G1005)</f>
        <v>50.136139049102887</v>
      </c>
      <c r="Z1005">
        <f>ABS((Y1005-H1005)/80*100)</f>
        <v>3.6857438621389349E-2</v>
      </c>
      <c r="AH1005">
        <f>H1005-AG947</f>
        <v>49.981684999999999</v>
      </c>
      <c r="AI1005">
        <f>100*(AH1005-O1005)/80</f>
        <v>-1.489375000000237E-2</v>
      </c>
    </row>
    <row r="1006" spans="1:41" x14ac:dyDescent="0.35">
      <c r="A1006" t="s">
        <v>260</v>
      </c>
      <c r="B1006" t="s">
        <v>1111</v>
      </c>
      <c r="C1006" t="s">
        <v>2445</v>
      </c>
      <c r="D1006">
        <v>25</v>
      </c>
      <c r="E1006">
        <v>25</v>
      </c>
      <c r="F1006">
        <v>0.5</v>
      </c>
      <c r="G1006">
        <v>0.49995499999999998</v>
      </c>
      <c r="H1006">
        <v>70.2421875</v>
      </c>
      <c r="J1006">
        <v>-5728</v>
      </c>
      <c r="N1006" t="s">
        <v>185</v>
      </c>
      <c r="O1006">
        <f t="shared" si="45"/>
        <v>69.998199999999997</v>
      </c>
      <c r="P1006">
        <f t="shared" si="46"/>
        <v>0.30498437500000364</v>
      </c>
      <c r="Q1006">
        <f t="shared" si="47"/>
        <v>0.30498437500000364</v>
      </c>
      <c r="Y1006">
        <f>TREND(H1003:H1007,G1003:G1007,G1006)</f>
        <v>70.202624708867361</v>
      </c>
      <c r="Z1006">
        <f>ABS((Y1006-H1006)/80*100)</f>
        <v>4.945348891579826E-2</v>
      </c>
      <c r="AH1006">
        <f>H1006-AG947</f>
        <v>70.058247499999993</v>
      </c>
      <c r="AI1006">
        <f>100*(AH1006-O1006)/80</f>
        <v>7.5059374999995043E-2</v>
      </c>
    </row>
    <row r="1007" spans="1:41" x14ac:dyDescent="0.35">
      <c r="A1007" t="s">
        <v>260</v>
      </c>
      <c r="B1007" t="s">
        <v>1111</v>
      </c>
      <c r="C1007" t="s">
        <v>2482</v>
      </c>
      <c r="D1007">
        <v>25</v>
      </c>
      <c r="E1007">
        <v>25</v>
      </c>
      <c r="F1007">
        <v>1</v>
      </c>
      <c r="G1007">
        <v>0.99996799999999997</v>
      </c>
      <c r="H1007">
        <v>90.245312499999997</v>
      </c>
      <c r="J1007">
        <v>-5752</v>
      </c>
      <c r="N1007" t="s">
        <v>185</v>
      </c>
      <c r="O1007">
        <f t="shared" si="45"/>
        <v>89.998719999999992</v>
      </c>
      <c r="P1007">
        <f t="shared" si="46"/>
        <v>0.30824062500000693</v>
      </c>
      <c r="Q1007">
        <f t="shared" si="47"/>
        <v>0.30824062500000693</v>
      </c>
      <c r="Y1007">
        <f>TREND(H1003:H1007,G1003:G1007,G1007)</f>
        <v>90.265017746860252</v>
      </c>
      <c r="Z1007">
        <f>ABS((Y1007-H1007)/80*100)</f>
        <v>2.4631558575318738E-2</v>
      </c>
      <c r="AH1007">
        <f>H1007-AG947</f>
        <v>90.061372500000004</v>
      </c>
      <c r="AI1007">
        <f>100*(AH1007-O1007)/80</f>
        <v>7.8315625000016098E-2</v>
      </c>
    </row>
    <row r="1008" spans="1:41" x14ac:dyDescent="0.35">
      <c r="A1008" t="s">
        <v>260</v>
      </c>
      <c r="B1008" t="s">
        <v>1111</v>
      </c>
      <c r="C1008" t="s">
        <v>2518</v>
      </c>
      <c r="D1008">
        <v>25</v>
      </c>
      <c r="E1008">
        <v>25</v>
      </c>
      <c r="F1008">
        <v>0</v>
      </c>
      <c r="G1008">
        <v>-2.4600000000000002E-4</v>
      </c>
      <c r="H1008">
        <v>50.121875000000003</v>
      </c>
      <c r="J1008">
        <v>-5788</v>
      </c>
      <c r="N1008" t="s">
        <v>185</v>
      </c>
      <c r="O1008">
        <f t="shared" si="45"/>
        <v>49.990160000000003</v>
      </c>
      <c r="P1008">
        <f t="shared" si="46"/>
        <v>0.16464374999999976</v>
      </c>
      <c r="Q1008">
        <f t="shared" si="47"/>
        <v>0.16464374999999976</v>
      </c>
      <c r="Y1008">
        <f>TREND(H1003:H1007,G1003:G1007,G1008)</f>
        <v>50.132688407217039</v>
      </c>
      <c r="Z1008">
        <f>ABS((Y1008-H1008)/80*100)</f>
        <v>1.3516759021294789E-2</v>
      </c>
      <c r="AH1008">
        <f>H1008-AG947</f>
        <v>49.937935000000003</v>
      </c>
      <c r="AI1008">
        <f>100*(AH1008-O1008)/80</f>
        <v>-6.5281249999999957E-2</v>
      </c>
    </row>
    <row r="1009" spans="1:41" x14ac:dyDescent="0.35">
      <c r="A1009" t="s">
        <v>260</v>
      </c>
      <c r="B1009" t="s">
        <v>1111</v>
      </c>
      <c r="C1009" t="s">
        <v>2553</v>
      </c>
      <c r="D1009">
        <v>25</v>
      </c>
      <c r="E1009">
        <v>25</v>
      </c>
      <c r="F1009">
        <v>-1</v>
      </c>
      <c r="G1009">
        <v>-0.99981699999999996</v>
      </c>
      <c r="H1009">
        <v>10.065625000000001</v>
      </c>
      <c r="J1009">
        <v>-5812</v>
      </c>
      <c r="N1009" t="s">
        <v>185</v>
      </c>
      <c r="O1009">
        <f t="shared" si="45"/>
        <v>10.007320000000002</v>
      </c>
      <c r="P1009">
        <f t="shared" si="46"/>
        <v>7.2881249999998676E-2</v>
      </c>
      <c r="Q1009">
        <f t="shared" si="47"/>
        <v>7.2881249999998676E-2</v>
      </c>
      <c r="Y1009">
        <f>TREND(H1003:H1007,G1003:G1007,G1009)</f>
        <v>10.026158634231962</v>
      </c>
      <c r="Z1009">
        <f>ABS((Y1009-H1009)/80*100)</f>
        <v>4.9332957210048711E-2</v>
      </c>
      <c r="AH1009">
        <f>H1009-AG947</f>
        <v>9.8816850000000009</v>
      </c>
      <c r="AI1009">
        <f>100*(AH1009-O1009)/80</f>
        <v>-0.15704375000000104</v>
      </c>
    </row>
    <row r="1010" spans="1:41" x14ac:dyDescent="0.35">
      <c r="A1010" t="s">
        <v>262</v>
      </c>
      <c r="B1010" t="s">
        <v>231</v>
      </c>
      <c r="C1010" t="s">
        <v>263</v>
      </c>
      <c r="D1010">
        <v>25</v>
      </c>
      <c r="E1010">
        <v>25</v>
      </c>
      <c r="F1010">
        <v>-1</v>
      </c>
      <c r="G1010">
        <v>-1.0001530000000001</v>
      </c>
      <c r="H1010">
        <v>10.0859375</v>
      </c>
      <c r="J1010">
        <v>-6134</v>
      </c>
      <c r="N1010" t="s">
        <v>186</v>
      </c>
      <c r="O1010">
        <f t="shared" si="45"/>
        <v>9.9938799999999972</v>
      </c>
      <c r="P1010">
        <f t="shared" si="46"/>
        <v>0.11507187500000349</v>
      </c>
      <c r="Q1010">
        <f t="shared" si="47"/>
        <v>0.11507187500000349</v>
      </c>
      <c r="S1010">
        <v>50.1171875</v>
      </c>
      <c r="T1010">
        <v>0.14163437499999709</v>
      </c>
      <c r="U1010">
        <v>90.3359375</v>
      </c>
      <c r="V1010">
        <v>0.4201718750000083</v>
      </c>
      <c r="W1010">
        <v>80.25</v>
      </c>
      <c r="X1010">
        <f>(W1010-80)/80*100</f>
        <v>0.3125</v>
      </c>
      <c r="Y1010">
        <f>TREND(H1010:H1014,G1010:G1014,G1010)</f>
        <v>10.017990835144211</v>
      </c>
      <c r="Z1010">
        <f>ABS((Y1010-H1010)/80*100)</f>
        <v>8.493333106973644E-2</v>
      </c>
      <c r="AA1010">
        <f>MAX(Z1010:Z1014)</f>
        <v>8.493333106973644E-2</v>
      </c>
      <c r="AB1010">
        <f>IF(ABS(MAX(P1010:P1016)) &gt; ABS(MIN(P1010:P1016)),MAX(P1010:P1016), MIN(P1010:P1016))</f>
        <v>0.4201718750000083</v>
      </c>
      <c r="AC1010">
        <f>IF(ABS(AB1011)&gt;ABS(AB1010),AB1011,AB1010)</f>
        <v>0.4201718750000083</v>
      </c>
      <c r="AD1010">
        <f>MAX(AD1011:AD1012)</f>
        <v>0.12401249999999475</v>
      </c>
      <c r="AE1010">
        <f>MAX(AE1011:AE1031)</f>
        <v>49.136109374999997</v>
      </c>
      <c r="AF1010">
        <f>MAX(AD1010,AA1010)</f>
        <v>0.12401249999999475</v>
      </c>
      <c r="AG1010">
        <f>H1012-O1012</f>
        <v>0.11330749999999767</v>
      </c>
      <c r="AH1010">
        <f>H1010-AG1010</f>
        <v>9.9726300000000023</v>
      </c>
      <c r="AI1010">
        <f>100*(AH1010-O1010)/80</f>
        <v>-2.6562499999993605E-2</v>
      </c>
      <c r="AJ1010">
        <v>50.003880000000002</v>
      </c>
      <c r="AK1010">
        <v>0</v>
      </c>
      <c r="AL1010">
        <v>90.222630000000009</v>
      </c>
      <c r="AM1010">
        <v>0.27853750000002009</v>
      </c>
      <c r="AN1010">
        <f>IF(ABS(MAX(AI1010:AI1016)) &gt; ABS(MIN(AI1010:AI1016)),MAX(AI1010:AI1016), MIN(AI1010:AI1016))</f>
        <v>0.27853750000002009</v>
      </c>
      <c r="AO1010">
        <f>IF(ABS(AN1011)&gt;ABS(AN1010),AN1011,AN1010)</f>
        <v>0.27853750000002009</v>
      </c>
    </row>
    <row r="1011" spans="1:41" x14ac:dyDescent="0.35">
      <c r="A1011" t="s">
        <v>262</v>
      </c>
      <c r="B1011" t="s">
        <v>231</v>
      </c>
      <c r="C1011" t="s">
        <v>323</v>
      </c>
      <c r="D1011">
        <v>25</v>
      </c>
      <c r="E1011">
        <v>25</v>
      </c>
      <c r="F1011">
        <v>-0.5</v>
      </c>
      <c r="G1011">
        <v>-0.500332</v>
      </c>
      <c r="H1011">
        <v>30.020312499999999</v>
      </c>
      <c r="J1011">
        <v>-6138</v>
      </c>
      <c r="N1011" t="s">
        <v>186</v>
      </c>
      <c r="O1011">
        <f t="shared" si="45"/>
        <v>29.986719999999998</v>
      </c>
      <c r="P1011">
        <f t="shared" si="46"/>
        <v>4.199062500000128E-2</v>
      </c>
      <c r="Q1011">
        <f t="shared" si="47"/>
        <v>4.199062500000128E-2</v>
      </c>
      <c r="Y1011">
        <f>TREND(H1010:H1014,G1010:G1014,G1011)</f>
        <v>30.07866298502649</v>
      </c>
      <c r="Z1011">
        <f>ABS((Y1011-H1011)/80*100)</f>
        <v>7.2938106283113591E-2</v>
      </c>
      <c r="AB1011">
        <f>IF(ABS(T1010) &gt; ABS(V1010),T1010,V1010)</f>
        <v>0.4201718750000083</v>
      </c>
      <c r="AD1011">
        <f>ABS(P1012-P1015)</f>
        <v>1.7775000000002095E-2</v>
      </c>
      <c r="AE1011">
        <f>ABS(P1038-P1010)</f>
        <v>0.11330312499999717</v>
      </c>
      <c r="AH1011">
        <f>H1011-AG1010</f>
        <v>29.907005000000002</v>
      </c>
      <c r="AI1011">
        <f>100*(AH1011-O1011)/80</f>
        <v>-9.9643749999995812E-2</v>
      </c>
      <c r="AN1011">
        <f>IF(ABS(AK1010) &gt; ABS(AM1010),AK1010,AM1010)</f>
        <v>0.27853750000002009</v>
      </c>
    </row>
    <row r="1012" spans="1:41" x14ac:dyDescent="0.35">
      <c r="A1012" t="s">
        <v>262</v>
      </c>
      <c r="B1012" t="s">
        <v>231</v>
      </c>
      <c r="C1012" t="s">
        <v>359</v>
      </c>
      <c r="D1012">
        <v>25</v>
      </c>
      <c r="E1012">
        <v>25</v>
      </c>
      <c r="F1012">
        <v>0</v>
      </c>
      <c r="G1012">
        <v>9.7E-5</v>
      </c>
      <c r="H1012">
        <v>50.1171875</v>
      </c>
      <c r="J1012">
        <v>-6129</v>
      </c>
      <c r="N1012" t="s">
        <v>186</v>
      </c>
      <c r="O1012">
        <f t="shared" si="45"/>
        <v>50.003880000000002</v>
      </c>
      <c r="P1012">
        <f t="shared" si="46"/>
        <v>0.14163437499999709</v>
      </c>
      <c r="Q1012">
        <f t="shared" si="47"/>
        <v>0.14163437499999709</v>
      </c>
      <c r="Y1012">
        <f>TREND(H1010:H1014,G1010:G1014,G1012)</f>
        <v>50.163737648342831</v>
      </c>
      <c r="Z1012">
        <f>ABS((Y1012-H1012)/80*100)</f>
        <v>5.8187685428539034E-2</v>
      </c>
      <c r="AD1012">
        <f>ABS(P1010-P1016)</f>
        <v>0.12401249999999475</v>
      </c>
      <c r="AE1012">
        <f>ABS(P1039-P1011)</f>
        <v>5.0456250000001646E-2</v>
      </c>
      <c r="AH1012">
        <f>H1012-AG1010</f>
        <v>50.003880000000002</v>
      </c>
      <c r="AI1012">
        <f>100*(AH1012-O1012)/80</f>
        <v>0</v>
      </c>
    </row>
    <row r="1013" spans="1:41" x14ac:dyDescent="0.35">
      <c r="A1013" t="s">
        <v>262</v>
      </c>
      <c r="B1013" t="s">
        <v>231</v>
      </c>
      <c r="C1013" t="s">
        <v>396</v>
      </c>
      <c r="D1013">
        <v>25</v>
      </c>
      <c r="E1013">
        <v>25</v>
      </c>
      <c r="F1013">
        <v>0.5</v>
      </c>
      <c r="G1013">
        <v>0.50006200000000001</v>
      </c>
      <c r="H1013">
        <v>70.2265625</v>
      </c>
      <c r="J1013">
        <v>-6131</v>
      </c>
      <c r="N1013" t="s">
        <v>186</v>
      </c>
      <c r="O1013">
        <f t="shared" si="45"/>
        <v>70.002479999999991</v>
      </c>
      <c r="P1013">
        <f t="shared" si="46"/>
        <v>0.28010312500001078</v>
      </c>
      <c r="Q1013">
        <f t="shared" si="47"/>
        <v>0.28010312500001078</v>
      </c>
      <c r="Y1013">
        <f>TREND(H1010:H1014,G1010:G1014,G1013)</f>
        <v>70.230189340880543</v>
      </c>
      <c r="Z1013">
        <f>ABS((Y1013-H1013)/80*100)</f>
        <v>4.5335511006783236E-3</v>
      </c>
      <c r="AE1013">
        <f>ABS(P1040-P1012)</f>
        <v>1.3712500000009342E-2</v>
      </c>
      <c r="AH1013">
        <f>H1013-AG1010</f>
        <v>70.113255000000009</v>
      </c>
      <c r="AI1013">
        <f>100*(AH1013-O1013)/80</f>
        <v>0.13846875000002257</v>
      </c>
    </row>
    <row r="1014" spans="1:41" x14ac:dyDescent="0.35">
      <c r="A1014" t="s">
        <v>262</v>
      </c>
      <c r="B1014" t="s">
        <v>231</v>
      </c>
      <c r="C1014" t="s">
        <v>433</v>
      </c>
      <c r="D1014">
        <v>25</v>
      </c>
      <c r="E1014">
        <v>25</v>
      </c>
      <c r="F1014">
        <v>1</v>
      </c>
      <c r="G1014">
        <v>0.99999499999999997</v>
      </c>
      <c r="H1014">
        <v>90.3359375</v>
      </c>
      <c r="J1014">
        <v>-6125</v>
      </c>
      <c r="N1014" t="s">
        <v>186</v>
      </c>
      <c r="O1014">
        <f t="shared" si="45"/>
        <v>89.999799999999993</v>
      </c>
      <c r="P1014">
        <f t="shared" si="46"/>
        <v>0.4201718750000083</v>
      </c>
      <c r="Q1014">
        <f t="shared" si="47"/>
        <v>0.4201718750000083</v>
      </c>
      <c r="Y1014">
        <f>TREND(H1010:H1014,G1010:G1014,G1014)</f>
        <v>90.295356690605928</v>
      </c>
      <c r="Z1014">
        <f>ABS((Y1014-H1014)/80*100)</f>
        <v>5.0726011742590067E-2</v>
      </c>
      <c r="AE1014">
        <f>ABS(P1041-P1013)</f>
        <v>0.10251562500000588</v>
      </c>
      <c r="AH1014">
        <f>H1014-AG1010</f>
        <v>90.222630000000009</v>
      </c>
      <c r="AI1014">
        <f>100*(AH1014-O1014)/80</f>
        <v>0.27853750000002009</v>
      </c>
    </row>
    <row r="1015" spans="1:41" x14ac:dyDescent="0.35">
      <c r="A1015" t="s">
        <v>262</v>
      </c>
      <c r="B1015" t="s">
        <v>231</v>
      </c>
      <c r="C1015" t="s">
        <v>470</v>
      </c>
      <c r="D1015">
        <v>25</v>
      </c>
      <c r="E1015">
        <v>25</v>
      </c>
      <c r="F1015">
        <v>0</v>
      </c>
      <c r="G1015">
        <v>1.3999999999999999E-4</v>
      </c>
      <c r="H1015">
        <v>50.104687499999997</v>
      </c>
      <c r="J1015">
        <v>-6131</v>
      </c>
      <c r="N1015" t="s">
        <v>186</v>
      </c>
      <c r="O1015">
        <f t="shared" si="45"/>
        <v>50.005600000000001</v>
      </c>
      <c r="P1015">
        <f t="shared" si="46"/>
        <v>0.123859374999995</v>
      </c>
      <c r="Q1015">
        <f t="shared" si="47"/>
        <v>0.123859374999995</v>
      </c>
      <c r="Y1015">
        <f>TREND(H1010:H1014,G1010:G1014,G1015)</f>
        <v>50.165463483996888</v>
      </c>
      <c r="Z1015">
        <f>ABS((Y1015-H1015)/80*100)</f>
        <v>7.5969979996113324E-2</v>
      </c>
      <c r="AE1015">
        <f>ABS(P1042-P1014)</f>
        <v>9.1253125000001489E-2</v>
      </c>
      <c r="AH1015">
        <f>H1015-AG1010</f>
        <v>49.991379999999999</v>
      </c>
      <c r="AI1015">
        <f>100*(AH1015-O1015)/80</f>
        <v>-1.7775000000002095E-2</v>
      </c>
    </row>
    <row r="1016" spans="1:41" x14ac:dyDescent="0.35">
      <c r="A1016" t="s">
        <v>262</v>
      </c>
      <c r="B1016" t="s">
        <v>231</v>
      </c>
      <c r="C1016" t="s">
        <v>507</v>
      </c>
      <c r="D1016">
        <v>25</v>
      </c>
      <c r="E1016">
        <v>25</v>
      </c>
      <c r="F1016">
        <v>-1</v>
      </c>
      <c r="G1016">
        <v>-0.999977</v>
      </c>
      <c r="H1016">
        <v>10.192187499999999</v>
      </c>
      <c r="J1016">
        <v>-6123</v>
      </c>
      <c r="N1016" t="s">
        <v>186</v>
      </c>
      <c r="O1016">
        <f t="shared" si="45"/>
        <v>10.000920000000001</v>
      </c>
      <c r="P1016">
        <f t="shared" si="46"/>
        <v>0.23908437499999824</v>
      </c>
      <c r="Q1016">
        <f t="shared" si="47"/>
        <v>0.23908437499999824</v>
      </c>
      <c r="Y1016">
        <f>TREND(H1010:H1014,G1010:G1014,G1016)</f>
        <v>10.025054720611969</v>
      </c>
      <c r="Z1016">
        <f>ABS((Y1016-H1016)/80*100)</f>
        <v>0.20891597423503772</v>
      </c>
      <c r="AE1016">
        <f>ABS(P1043-P1015)</f>
        <v>49.136109374999997</v>
      </c>
      <c r="AH1016">
        <f>H1016-AG1010</f>
        <v>10.078880000000002</v>
      </c>
      <c r="AI1016">
        <f>100*(AH1016-O1016)/80</f>
        <v>9.7450000000001147E-2</v>
      </c>
    </row>
    <row r="1017" spans="1:41" x14ac:dyDescent="0.35">
      <c r="A1017" t="s">
        <v>262</v>
      </c>
      <c r="B1017" t="s">
        <v>231</v>
      </c>
      <c r="C1017" t="s">
        <v>544</v>
      </c>
      <c r="D1017">
        <v>-20</v>
      </c>
      <c r="E1017">
        <v>-20.2</v>
      </c>
      <c r="F1017">
        <v>-1</v>
      </c>
      <c r="G1017">
        <v>-1.0001450000000001</v>
      </c>
      <c r="H1017">
        <v>10.293749999999999</v>
      </c>
      <c r="J1017">
        <v>-24195</v>
      </c>
      <c r="N1017" t="s">
        <v>186</v>
      </c>
      <c r="O1017">
        <f t="shared" si="45"/>
        <v>9.9941999999999975</v>
      </c>
      <c r="P1017">
        <f t="shared" si="46"/>
        <v>0.3744375000000022</v>
      </c>
      <c r="Q1017">
        <f t="shared" si="47"/>
        <v>0.3744375000000022</v>
      </c>
      <c r="S1017">
        <v>50.204687499999999</v>
      </c>
      <c r="T1017">
        <v>0.27435937499999952</v>
      </c>
      <c r="U1017">
        <v>90.537499999999994</v>
      </c>
      <c r="V1017">
        <v>0.66832499999998518</v>
      </c>
      <c r="W1017">
        <v>80.243748474121091</v>
      </c>
      <c r="X1017">
        <f>(W1017-80)/80*100</f>
        <v>0.30468559265136363</v>
      </c>
      <c r="Y1017">
        <f>TREND(H1017:H1021,G1017:G1021,G1017)</f>
        <v>10.161804152650276</v>
      </c>
      <c r="Z1017">
        <f>ABS((Y1017-H1017)/80*100)</f>
        <v>0.16493230918715351</v>
      </c>
      <c r="AA1017">
        <f>MAX(Z1017:Z1021)</f>
        <v>0.16493230918715351</v>
      </c>
      <c r="AB1017">
        <f>IF(ABS(MAX(P1017:P1023)) &gt; ABS(MIN(P1017:P1023)),MAX(P1017:P1023), MIN(P1017:P1023))</f>
        <v>0.66832499999998518</v>
      </c>
      <c r="AC1017">
        <f>IF(ABS(AB1018)&gt;ABS(AB1017),AB1018,AB1017)</f>
        <v>0.66832499999998518</v>
      </c>
      <c r="AE1017">
        <f>ABS(P1044-P1016)</f>
        <v>4.926562499999676E-2</v>
      </c>
      <c r="AH1017">
        <f>H1017-AG1010</f>
        <v>10.180442500000002</v>
      </c>
      <c r="AI1017">
        <f>100*(AH1017-O1017)/80</f>
        <v>0.23280312500000511</v>
      </c>
      <c r="AJ1017">
        <v>50.091380000000001</v>
      </c>
      <c r="AK1017">
        <v>0.13272500000000242</v>
      </c>
      <c r="AL1017">
        <v>90.424192500000004</v>
      </c>
      <c r="AM1017">
        <v>0.52669062499999697</v>
      </c>
      <c r="AN1017">
        <f>IF(ABS(MAX(AI1017:AI1023)) &gt; ABS(MIN(AI1017:AI1023)),MAX(AI1017:AI1023), MIN(AI1017:AI1023))</f>
        <v>0.52669062499999697</v>
      </c>
      <c r="AO1017">
        <f>IF(ABS(AN1018)&gt;ABS(AN1017),AN1018,AN1017)</f>
        <v>0.52669062499999697</v>
      </c>
    </row>
    <row r="1018" spans="1:41" x14ac:dyDescent="0.35">
      <c r="A1018" t="s">
        <v>262</v>
      </c>
      <c r="B1018" t="s">
        <v>231</v>
      </c>
      <c r="C1018" t="s">
        <v>581</v>
      </c>
      <c r="D1018">
        <v>-20</v>
      </c>
      <c r="E1018">
        <v>-19.899999999999999</v>
      </c>
      <c r="F1018">
        <v>-0.5</v>
      </c>
      <c r="G1018">
        <v>-0.49974299999999999</v>
      </c>
      <c r="H1018">
        <v>30.137499999999999</v>
      </c>
      <c r="J1018">
        <v>-24241</v>
      </c>
      <c r="N1018" t="s">
        <v>186</v>
      </c>
      <c r="O1018">
        <f t="shared" si="45"/>
        <v>30.010279999999998</v>
      </c>
      <c r="P1018">
        <f t="shared" si="46"/>
        <v>0.15902500000000153</v>
      </c>
      <c r="Q1018">
        <f t="shared" si="47"/>
        <v>0.15902500000000153</v>
      </c>
      <c r="Y1018">
        <f>TREND(H1017:H1021,G1017:G1021,G1018)</f>
        <v>30.23887857814923</v>
      </c>
      <c r="Z1018">
        <f>ABS((Y1018-H1018)/80*100)</f>
        <v>0.1267232226865378</v>
      </c>
      <c r="AB1018">
        <f>IF(ABS(T1017) &gt; ABS(V1017),T1017,V1017)</f>
        <v>0.66832499999998518</v>
      </c>
      <c r="AE1018">
        <f>ABS(P1066-P1010)</f>
        <v>6.0028125000000099E-2</v>
      </c>
      <c r="AH1018">
        <f>H1018-AG1010</f>
        <v>30.024192500000002</v>
      </c>
      <c r="AI1018">
        <f>100*(AH1018-O1018)/80</f>
        <v>1.7390625000004434E-2</v>
      </c>
      <c r="AN1018">
        <f>IF(ABS(AK1017) &gt; ABS(AM1017),AK1017,AM1017)</f>
        <v>0.52669062499999697</v>
      </c>
    </row>
    <row r="1019" spans="1:41" x14ac:dyDescent="0.35">
      <c r="A1019" t="s">
        <v>262</v>
      </c>
      <c r="B1019" t="s">
        <v>231</v>
      </c>
      <c r="C1019" t="s">
        <v>617</v>
      </c>
      <c r="D1019">
        <v>-20</v>
      </c>
      <c r="E1019">
        <v>-20.100000000000001</v>
      </c>
      <c r="F1019">
        <v>0</v>
      </c>
      <c r="G1019">
        <v>-3.6999999999999999E-4</v>
      </c>
      <c r="H1019">
        <v>50.204687499999999</v>
      </c>
      <c r="J1019">
        <v>-24280</v>
      </c>
      <c r="N1019" t="s">
        <v>186</v>
      </c>
      <c r="O1019">
        <f t="shared" si="45"/>
        <v>49.985199999999999</v>
      </c>
      <c r="P1019">
        <f t="shared" si="46"/>
        <v>0.27435937499999952</v>
      </c>
      <c r="Q1019">
        <f t="shared" si="47"/>
        <v>0.27435937499999952</v>
      </c>
      <c r="Y1019">
        <f>TREND(H1017:H1021,G1017:G1021,G1019)</f>
        <v>50.274667577962745</v>
      </c>
      <c r="Z1019">
        <f>ABS((Y1019-H1019)/80*100)</f>
        <v>8.7475097453433293E-2</v>
      </c>
      <c r="AE1019">
        <f>ABS(P1067-P1011)</f>
        <v>3.8000000000000256E-2</v>
      </c>
      <c r="AH1019">
        <f>H1019-AG1010</f>
        <v>50.091380000000001</v>
      </c>
      <c r="AI1019">
        <f>100*(AH1019-O1019)/80</f>
        <v>0.13272500000000242</v>
      </c>
    </row>
    <row r="1020" spans="1:41" x14ac:dyDescent="0.35">
      <c r="A1020" t="s">
        <v>262</v>
      </c>
      <c r="B1020" t="s">
        <v>231</v>
      </c>
      <c r="C1020" t="s">
        <v>653</v>
      </c>
      <c r="D1020">
        <v>-20</v>
      </c>
      <c r="E1020">
        <v>-19.899999999999999</v>
      </c>
      <c r="F1020">
        <v>0.5</v>
      </c>
      <c r="G1020">
        <v>0.50075400000000003</v>
      </c>
      <c r="H1020">
        <v>70.296875</v>
      </c>
      <c r="J1020">
        <v>-24306</v>
      </c>
      <c r="N1020" t="s">
        <v>186</v>
      </c>
      <c r="O1020">
        <f t="shared" si="45"/>
        <v>70.030160000000009</v>
      </c>
      <c r="P1020">
        <f t="shared" si="46"/>
        <v>0.33339374999998839</v>
      </c>
      <c r="Q1020">
        <f t="shared" si="47"/>
        <v>0.33339374999998839</v>
      </c>
      <c r="Y1020">
        <f>TREND(H1017:H1021,G1017:G1021,G1020)</f>
        <v>70.380710008655939</v>
      </c>
      <c r="Z1020">
        <f>ABS((Y1020-H1020)/80*100)</f>
        <v>0.10479376081992341</v>
      </c>
      <c r="AE1020">
        <f>ABS(P1068-P1012)</f>
        <v>0.16528124999999783</v>
      </c>
      <c r="AH1020">
        <f>H1020-AG1010</f>
        <v>70.183567500000009</v>
      </c>
      <c r="AI1020">
        <f>100*(AH1020-O1020)/80</f>
        <v>0.19175937500000018</v>
      </c>
    </row>
    <row r="1021" spans="1:41" x14ac:dyDescent="0.35">
      <c r="A1021" t="s">
        <v>262</v>
      </c>
      <c r="B1021" t="s">
        <v>231</v>
      </c>
      <c r="C1021" t="s">
        <v>690</v>
      </c>
      <c r="D1021">
        <v>-20</v>
      </c>
      <c r="E1021">
        <v>-19.8</v>
      </c>
      <c r="F1021">
        <v>1</v>
      </c>
      <c r="G1021">
        <v>1.0000709999999999</v>
      </c>
      <c r="H1021">
        <v>90.537499999999994</v>
      </c>
      <c r="J1021">
        <v>-24335</v>
      </c>
      <c r="N1021" t="s">
        <v>186</v>
      </c>
      <c r="O1021">
        <f t="shared" si="45"/>
        <v>90.002840000000006</v>
      </c>
      <c r="P1021">
        <f t="shared" si="46"/>
        <v>0.66832499999998518</v>
      </c>
      <c r="Q1021">
        <f t="shared" si="47"/>
        <v>0.66832499999998518</v>
      </c>
      <c r="Y1021">
        <f>TREND(H1017:H1021,G1017:G1021,G1021)</f>
        <v>90.414252182581805</v>
      </c>
      <c r="Z1021">
        <f>ABS((Y1021-H1021)/80*100)</f>
        <v>0.15405977177273655</v>
      </c>
      <c r="AE1021">
        <f>ABS(P1069-P1013)</f>
        <v>2.2940625000007486E-2</v>
      </c>
      <c r="AH1021">
        <f>H1021-AG1010</f>
        <v>90.424192500000004</v>
      </c>
      <c r="AI1021">
        <f>100*(AH1021-O1021)/80</f>
        <v>0.52669062499999697</v>
      </c>
    </row>
    <row r="1022" spans="1:41" x14ac:dyDescent="0.35">
      <c r="A1022" t="s">
        <v>262</v>
      </c>
      <c r="B1022" t="s">
        <v>231</v>
      </c>
      <c r="C1022" t="s">
        <v>726</v>
      </c>
      <c r="D1022">
        <v>-20</v>
      </c>
      <c r="E1022">
        <v>-20.100000000000001</v>
      </c>
      <c r="F1022">
        <v>0</v>
      </c>
      <c r="G1022">
        <v>-7.4999999999999993E-5</v>
      </c>
      <c r="H1022">
        <v>50.254687500000003</v>
      </c>
      <c r="J1022">
        <v>-24374</v>
      </c>
      <c r="N1022" t="s">
        <v>186</v>
      </c>
      <c r="O1022">
        <f t="shared" si="45"/>
        <v>49.997</v>
      </c>
      <c r="P1022">
        <f t="shared" si="46"/>
        <v>0.32210937500000369</v>
      </c>
      <c r="Q1022">
        <f t="shared" si="47"/>
        <v>0.32210937500000369</v>
      </c>
      <c r="Y1022">
        <f>TREND(H1017:H1021,G1017:G1021,G1022)</f>
        <v>50.286503535763721</v>
      </c>
      <c r="Z1022">
        <f>ABS((Y1022-H1022)/80*100)</f>
        <v>3.9770044704647844E-2</v>
      </c>
      <c r="AE1022">
        <f>ABS(P1070-P1014)</f>
        <v>4.011562500000565E-2</v>
      </c>
      <c r="AH1022">
        <f>H1022-AG1010</f>
        <v>50.141380000000005</v>
      </c>
      <c r="AI1022">
        <f>100*(AH1022-O1022)/80</f>
        <v>0.1804750000000066</v>
      </c>
    </row>
    <row r="1023" spans="1:41" x14ac:dyDescent="0.35">
      <c r="A1023" t="s">
        <v>262</v>
      </c>
      <c r="B1023" t="s">
        <v>231</v>
      </c>
      <c r="C1023" t="s">
        <v>762</v>
      </c>
      <c r="D1023">
        <v>-20</v>
      </c>
      <c r="E1023">
        <v>-20.100000000000001</v>
      </c>
      <c r="F1023">
        <v>-1</v>
      </c>
      <c r="G1023">
        <v>-1.0001819999999999</v>
      </c>
      <c r="H1023">
        <v>10.331250000000001</v>
      </c>
      <c r="J1023">
        <v>-24389</v>
      </c>
      <c r="N1023" t="s">
        <v>186</v>
      </c>
      <c r="O1023">
        <f t="shared" si="45"/>
        <v>9.9927200000000038</v>
      </c>
      <c r="P1023">
        <f t="shared" si="46"/>
        <v>0.42316249999999611</v>
      </c>
      <c r="Q1023">
        <f t="shared" si="47"/>
        <v>0.42316249999999611</v>
      </c>
      <c r="Y1023">
        <f>TREND(H1017:H1021,G1017:G1021,G1023)</f>
        <v>10.160319642688805</v>
      </c>
      <c r="Z1023">
        <f>ABS((Y1023-H1023)/80*100)</f>
        <v>0.21366294663899499</v>
      </c>
      <c r="AE1023">
        <f>ABS(P1071-P1015)</f>
        <v>7.930625000000191E-2</v>
      </c>
      <c r="AH1023">
        <f>H1023-AG1010</f>
        <v>10.217942500000003</v>
      </c>
      <c r="AI1023">
        <f>100*(AH1023-O1023)/80</f>
        <v>0.28152812499999902</v>
      </c>
    </row>
    <row r="1024" spans="1:41" x14ac:dyDescent="0.35">
      <c r="A1024" t="s">
        <v>262</v>
      </c>
      <c r="B1024" t="s">
        <v>231</v>
      </c>
      <c r="C1024" t="s">
        <v>799</v>
      </c>
      <c r="D1024">
        <v>0</v>
      </c>
      <c r="E1024">
        <v>0</v>
      </c>
      <c r="F1024">
        <v>-1</v>
      </c>
      <c r="G1024">
        <v>-0.999838</v>
      </c>
      <c r="H1024">
        <v>10.370312500000001</v>
      </c>
      <c r="J1024">
        <v>-16855</v>
      </c>
      <c r="N1024" t="s">
        <v>186</v>
      </c>
      <c r="O1024">
        <f t="shared" si="45"/>
        <v>10.00648</v>
      </c>
      <c r="P1024">
        <f t="shared" si="46"/>
        <v>0.45479062500000111</v>
      </c>
      <c r="Q1024">
        <f t="shared" si="47"/>
        <v>0.45479062500000111</v>
      </c>
      <c r="S1024">
        <v>50.278125000000003</v>
      </c>
      <c r="T1024">
        <v>0.35790625000000631</v>
      </c>
      <c r="U1024">
        <v>90.393749999999997</v>
      </c>
      <c r="V1024">
        <v>0.50483749999999716</v>
      </c>
      <c r="W1024">
        <v>80.023440551757815</v>
      </c>
      <c r="X1024">
        <f>(W1024-80)/80*100</f>
        <v>2.9300689697269178E-2</v>
      </c>
      <c r="Y1024">
        <f>TREND(H1024:H1028,G1024:G1028,G1024)</f>
        <v>10.29281720618912</v>
      </c>
      <c r="Z1024">
        <f>ABS((Y1024-H1024)/80*100)</f>
        <v>9.6869117263600479E-2</v>
      </c>
      <c r="AA1024">
        <f>MAX(Z1024:Z1028)</f>
        <v>0.10014351547770416</v>
      </c>
      <c r="AB1024">
        <f>IF(ABS(MAX(P1024:P1030)) &gt; ABS(MIN(P1024:P1030)),MAX(P1024:P1030), MIN(P1024:P1030))</f>
        <v>0.50483749999999716</v>
      </c>
      <c r="AC1024">
        <f>IF(ABS(AB1025)&gt;ABS(AB1024),AB1025,AB1024)</f>
        <v>0.50483749999999716</v>
      </c>
      <c r="AE1024">
        <f>ABS(P1072-P1016)</f>
        <v>0.18803437499999909</v>
      </c>
      <c r="AH1024">
        <f>H1024-AG1010</f>
        <v>10.257005000000003</v>
      </c>
      <c r="AI1024">
        <f>100*(AH1024-O1024)/80</f>
        <v>0.31315625000000402</v>
      </c>
      <c r="AJ1024">
        <v>50.164817500000005</v>
      </c>
      <c r="AK1024">
        <v>0.21627187500000922</v>
      </c>
      <c r="AL1024">
        <v>90.280442499999992</v>
      </c>
      <c r="AM1024">
        <v>0.36320312499999119</v>
      </c>
      <c r="AN1024">
        <f>IF(ABS(MAX(AI1024:AI1030)) &gt; ABS(MIN(AI1024:AI1030)),MAX(AI1024:AI1030), MIN(AI1024:AI1030))</f>
        <v>0.36320312499999119</v>
      </c>
      <c r="AO1024">
        <f>IF(ABS(AN1025)&gt;ABS(AN1024),AN1025,AN1024)</f>
        <v>0.36320312499999119</v>
      </c>
    </row>
    <row r="1025" spans="1:41" x14ac:dyDescent="0.35">
      <c r="A1025" t="s">
        <v>262</v>
      </c>
      <c r="B1025" t="s">
        <v>231</v>
      </c>
      <c r="C1025" t="s">
        <v>835</v>
      </c>
      <c r="D1025">
        <v>0</v>
      </c>
      <c r="E1025">
        <v>0.1</v>
      </c>
      <c r="F1025">
        <v>-0.5</v>
      </c>
      <c r="G1025">
        <v>-0.49974499999999999</v>
      </c>
      <c r="H1025">
        <v>30.239062499999999</v>
      </c>
      <c r="J1025">
        <v>-16857</v>
      </c>
      <c r="N1025" t="s">
        <v>186</v>
      </c>
      <c r="O1025">
        <f t="shared" si="45"/>
        <v>30.010200000000001</v>
      </c>
      <c r="P1025">
        <f t="shared" si="46"/>
        <v>0.28607812499999774</v>
      </c>
      <c r="Q1025">
        <f t="shared" si="47"/>
        <v>0.28607812499999774</v>
      </c>
      <c r="Y1025">
        <f>TREND(H1024:H1028,G1024:G1028,G1025)</f>
        <v>30.319177312382163</v>
      </c>
      <c r="Z1025">
        <f>ABS((Y1025-H1025)/80*100)</f>
        <v>0.10014351547770416</v>
      </c>
      <c r="AB1025">
        <f>IF(ABS(T1024) &gt; ABS(V1024),T1024,V1024)</f>
        <v>0.50483749999999716</v>
      </c>
      <c r="AE1025">
        <f>ABS(P1066-P1038)</f>
        <v>5.3274999999997075E-2</v>
      </c>
      <c r="AH1025">
        <f>H1025-AG1010</f>
        <v>30.125755000000002</v>
      </c>
      <c r="AI1025">
        <f>100*(AH1025-O1025)/80</f>
        <v>0.14444375000000065</v>
      </c>
      <c r="AN1025">
        <f>IF(ABS(AK1024) &gt; ABS(AM1024),AK1024,AM1024)</f>
        <v>0.36320312499999119</v>
      </c>
    </row>
    <row r="1026" spans="1:41" x14ac:dyDescent="0.35">
      <c r="A1026" t="s">
        <v>262</v>
      </c>
      <c r="B1026" t="s">
        <v>231</v>
      </c>
      <c r="C1026" t="s">
        <v>871</v>
      </c>
      <c r="D1026">
        <v>0</v>
      </c>
      <c r="E1026">
        <v>0</v>
      </c>
      <c r="F1026">
        <v>0</v>
      </c>
      <c r="G1026">
        <v>-2.05E-4</v>
      </c>
      <c r="H1026">
        <v>50.278125000000003</v>
      </c>
      <c r="J1026">
        <v>-16851</v>
      </c>
      <c r="N1026" t="s">
        <v>186</v>
      </c>
      <c r="O1026">
        <f t="shared" si="45"/>
        <v>49.991799999999998</v>
      </c>
      <c r="P1026">
        <f t="shared" si="46"/>
        <v>0.35790625000000631</v>
      </c>
      <c r="Q1026">
        <f t="shared" si="47"/>
        <v>0.35790625000000631</v>
      </c>
      <c r="Y1026">
        <f>TREND(H1024:H1028,G1024:G1028,G1026)</f>
        <v>50.323392383274324</v>
      </c>
      <c r="Z1026">
        <f>ABS((Y1026-H1026)/80*100)</f>
        <v>5.658422909290195E-2</v>
      </c>
      <c r="AE1026">
        <f>ABS(P1067-P1039)</f>
        <v>8.8456250000001901E-2</v>
      </c>
      <c r="AH1026">
        <f>H1026-AG1010</f>
        <v>50.164817500000005</v>
      </c>
      <c r="AI1026">
        <f>100*(AH1026-O1026)/80</f>
        <v>0.21627187500000922</v>
      </c>
    </row>
    <row r="1027" spans="1:41" x14ac:dyDescent="0.35">
      <c r="A1027" t="s">
        <v>262</v>
      </c>
      <c r="B1027" t="s">
        <v>231</v>
      </c>
      <c r="C1027" t="s">
        <v>908</v>
      </c>
      <c r="D1027">
        <v>0</v>
      </c>
      <c r="E1027">
        <v>0</v>
      </c>
      <c r="F1027">
        <v>0.5</v>
      </c>
      <c r="G1027">
        <v>0.49980200000000002</v>
      </c>
      <c r="H1027">
        <v>70.3671875</v>
      </c>
      <c r="J1027">
        <v>-16875</v>
      </c>
      <c r="N1027" t="s">
        <v>186</v>
      </c>
      <c r="O1027">
        <f t="shared" si="45"/>
        <v>69.992080000000001</v>
      </c>
      <c r="P1027">
        <f t="shared" si="46"/>
        <v>0.46888437499999824</v>
      </c>
      <c r="Q1027">
        <f t="shared" si="47"/>
        <v>0.46888437499999824</v>
      </c>
      <c r="Y1027">
        <f>TREND(H1024:H1028,G1024:G1028,G1027)</f>
        <v>70.346308596093266</v>
      </c>
      <c r="Z1027">
        <f>ABS((Y1027-H1027)/80*100)</f>
        <v>2.6098629883417598E-2</v>
      </c>
      <c r="AE1027">
        <f>ABS(P1068-P1040)</f>
        <v>0.17899375000000717</v>
      </c>
      <c r="AH1027">
        <f>H1027-AG1010</f>
        <v>70.253880000000009</v>
      </c>
      <c r="AI1027">
        <f>100*(AH1027-O1027)/80</f>
        <v>0.32725000000001003</v>
      </c>
    </row>
    <row r="1028" spans="1:41" x14ac:dyDescent="0.35">
      <c r="A1028" t="s">
        <v>262</v>
      </c>
      <c r="B1028" t="s">
        <v>231</v>
      </c>
      <c r="C1028" t="s">
        <v>945</v>
      </c>
      <c r="D1028">
        <v>0</v>
      </c>
      <c r="E1028">
        <v>0.1</v>
      </c>
      <c r="F1028">
        <v>1</v>
      </c>
      <c r="G1028">
        <v>0.99974700000000005</v>
      </c>
      <c r="H1028">
        <v>90.393749999999997</v>
      </c>
      <c r="J1028">
        <v>-16873</v>
      </c>
      <c r="N1028" t="s">
        <v>186</v>
      </c>
      <c r="O1028">
        <f t="shared" si="45"/>
        <v>89.989879999999999</v>
      </c>
      <c r="P1028">
        <f t="shared" si="46"/>
        <v>0.50483749999999716</v>
      </c>
      <c r="Q1028">
        <f t="shared" si="47"/>
        <v>0.50483749999999716</v>
      </c>
      <c r="Y1028">
        <f>TREND(H1024:H1028,G1024:G1028,G1028)</f>
        <v>90.36674200206113</v>
      </c>
      <c r="Z1028">
        <f>ABS((Y1028-H1028)/80*100)</f>
        <v>3.3759997423583599E-2</v>
      </c>
      <c r="AE1028">
        <f>ABS(P1069-P1041)</f>
        <v>0.12545625000001337</v>
      </c>
      <c r="AH1028">
        <f>H1028-AG1010</f>
        <v>90.280442499999992</v>
      </c>
      <c r="AI1028">
        <f>100*(AH1028-O1028)/80</f>
        <v>0.36320312499999119</v>
      </c>
    </row>
    <row r="1029" spans="1:41" x14ac:dyDescent="0.35">
      <c r="A1029" t="s">
        <v>262</v>
      </c>
      <c r="B1029" t="s">
        <v>231</v>
      </c>
      <c r="C1029" t="s">
        <v>981</v>
      </c>
      <c r="D1029">
        <v>0</v>
      </c>
      <c r="E1029">
        <v>0</v>
      </c>
      <c r="F1029">
        <v>0</v>
      </c>
      <c r="G1029">
        <v>7.2999999999999999E-5</v>
      </c>
      <c r="H1029">
        <v>50.221874999999997</v>
      </c>
      <c r="J1029">
        <v>-16884</v>
      </c>
      <c r="N1029" t="s">
        <v>186</v>
      </c>
      <c r="O1029">
        <f t="shared" si="45"/>
        <v>50.002920000000003</v>
      </c>
      <c r="P1029">
        <f t="shared" si="46"/>
        <v>0.27369374999999252</v>
      </c>
      <c r="Q1029">
        <f t="shared" si="47"/>
        <v>0.27369374999999252</v>
      </c>
      <c r="Y1029">
        <f>TREND(H1024:H1028,G1024:G1028,G1029)</f>
        <v>50.334524968832454</v>
      </c>
      <c r="Z1029">
        <f>ABS((Y1029-H1029)/80*100)</f>
        <v>0.14081246104057143</v>
      </c>
      <c r="AE1029">
        <f>ABS(P1070-P1042)</f>
        <v>0.13136875000000714</v>
      </c>
      <c r="AH1029">
        <f>H1029-AG1010</f>
        <v>50.108567499999999</v>
      </c>
      <c r="AI1029">
        <f>100*(AH1029-O1029)/80</f>
        <v>0.13205937499999543</v>
      </c>
    </row>
    <row r="1030" spans="1:41" x14ac:dyDescent="0.35">
      <c r="A1030" t="s">
        <v>262</v>
      </c>
      <c r="B1030" t="s">
        <v>231</v>
      </c>
      <c r="C1030" t="s">
        <v>1017</v>
      </c>
      <c r="D1030">
        <v>0</v>
      </c>
      <c r="E1030">
        <v>0</v>
      </c>
      <c r="F1030">
        <v>-1</v>
      </c>
      <c r="G1030">
        <v>-1.00023</v>
      </c>
      <c r="H1030">
        <v>10.2953125</v>
      </c>
      <c r="J1030">
        <v>-16888</v>
      </c>
      <c r="N1030" t="s">
        <v>186</v>
      </c>
      <c r="O1030">
        <f t="shared" si="45"/>
        <v>9.9908000000000019</v>
      </c>
      <c r="P1030">
        <f t="shared" si="46"/>
        <v>0.38064062499999718</v>
      </c>
      <c r="Q1030">
        <f t="shared" si="47"/>
        <v>0.38064062499999718</v>
      </c>
      <c r="Y1030">
        <f>TREND(H1024:H1028,G1024:G1028,G1030)</f>
        <v>10.277119459646727</v>
      </c>
      <c r="Z1030">
        <f>ABS((Y1030-H1030)/80*100)</f>
        <v>2.2741300441591061E-2</v>
      </c>
      <c r="AE1030">
        <f>ABS(P1071-P1043)</f>
        <v>49.056803124999995</v>
      </c>
      <c r="AH1030">
        <f>H1030-AG1010</f>
        <v>10.182005000000002</v>
      </c>
      <c r="AI1030">
        <f>100*(AH1030-O1030)/80</f>
        <v>0.23900625000000009</v>
      </c>
    </row>
    <row r="1031" spans="1:41" x14ac:dyDescent="0.35">
      <c r="A1031" t="s">
        <v>262</v>
      </c>
      <c r="B1031" t="s">
        <v>231</v>
      </c>
      <c r="C1031" t="s">
        <v>1053</v>
      </c>
      <c r="D1031">
        <v>10</v>
      </c>
      <c r="E1031">
        <v>10</v>
      </c>
      <c r="F1031">
        <v>-1</v>
      </c>
      <c r="G1031">
        <v>-0.99989300000000003</v>
      </c>
      <c r="H1031">
        <v>10.321875</v>
      </c>
      <c r="J1031">
        <v>-12633</v>
      </c>
      <c r="N1031" t="s">
        <v>186</v>
      </c>
      <c r="O1031">
        <f t="shared" si="45"/>
        <v>10.004279999999998</v>
      </c>
      <c r="P1031">
        <f t="shared" si="46"/>
        <v>0.39699375000000314</v>
      </c>
      <c r="Q1031">
        <f t="shared" si="47"/>
        <v>0.39699375000000314</v>
      </c>
      <c r="S1031">
        <v>50.228124999999999</v>
      </c>
      <c r="T1031">
        <v>0.28555625000000084</v>
      </c>
      <c r="U1031">
        <v>90.421875</v>
      </c>
      <c r="V1031">
        <v>0.53179374999999141</v>
      </c>
      <c r="W1031">
        <v>80.099999999999994</v>
      </c>
      <c r="X1031">
        <f>(W1031-80)/80*100</f>
        <v>0.12499999999999289</v>
      </c>
      <c r="Y1031">
        <f>TREND(H1031:H1035,G1031:G1035,G1031)</f>
        <v>10.197320258790882</v>
      </c>
      <c r="Z1031">
        <f>ABS((Y1031-H1031)/80*100)</f>
        <v>0.1556934265113985</v>
      </c>
      <c r="AA1031">
        <f>MAX(Z1031:Z1035)</f>
        <v>0.16713750451240905</v>
      </c>
      <c r="AB1031">
        <f>IF(ABS(MAX(P1031:P1037)) &gt; ABS(MIN(P1031:P1037)),MAX(P1031:P1037), MIN(P1031:P1037))</f>
        <v>0.53179374999999141</v>
      </c>
      <c r="AC1031">
        <f>IF(ABS(AB1032)&gt;ABS(AB1031),AB1032,AB1031)</f>
        <v>0.53179374999999141</v>
      </c>
      <c r="AE1031">
        <f>ABS(P1072-P1044)</f>
        <v>0.13876875000000233</v>
      </c>
      <c r="AH1031">
        <f>H1031-AG1010</f>
        <v>10.208567500000003</v>
      </c>
      <c r="AI1031">
        <f>100*(AH1031-O1031)/80</f>
        <v>0.25535937500000605</v>
      </c>
      <c r="AJ1031">
        <v>50.114817500000001</v>
      </c>
      <c r="AK1031">
        <v>0.14392187500000375</v>
      </c>
      <c r="AL1031">
        <v>90.308567500000009</v>
      </c>
      <c r="AM1031">
        <v>0.39015937500000319</v>
      </c>
      <c r="AN1031">
        <f>IF(ABS(MAX(AI1031:AI1037)) &gt; ABS(MIN(AI1031:AI1037)),MAX(AI1031:AI1037), MIN(AI1031:AI1037))</f>
        <v>0.39015937500000319</v>
      </c>
      <c r="AO1031">
        <f>IF(ABS(AN1032)&gt;ABS(AN1031),AN1032,AN1031)</f>
        <v>0.39015937500000319</v>
      </c>
    </row>
    <row r="1032" spans="1:41" x14ac:dyDescent="0.35">
      <c r="A1032" t="s">
        <v>262</v>
      </c>
      <c r="B1032" t="s">
        <v>231</v>
      </c>
      <c r="C1032" t="s">
        <v>1089</v>
      </c>
      <c r="D1032">
        <v>10</v>
      </c>
      <c r="E1032">
        <v>10</v>
      </c>
      <c r="F1032">
        <v>-0.5</v>
      </c>
      <c r="G1032">
        <v>-0.50019599999999997</v>
      </c>
      <c r="H1032">
        <v>30.096875000000001</v>
      </c>
      <c r="J1032">
        <v>-12603</v>
      </c>
      <c r="N1032" t="s">
        <v>186</v>
      </c>
      <c r="O1032">
        <f t="shared" si="45"/>
        <v>29.992160000000002</v>
      </c>
      <c r="P1032">
        <f t="shared" si="46"/>
        <v>0.13089374999999848</v>
      </c>
      <c r="Q1032">
        <f t="shared" si="47"/>
        <v>0.13089374999999848</v>
      </c>
      <c r="Y1032">
        <f>TREND(H1031:H1035,G1031:G1035,G1032)</f>
        <v>30.230585003609928</v>
      </c>
      <c r="Z1032">
        <f>ABS((Y1032-H1032)/80*100)</f>
        <v>0.16713750451240905</v>
      </c>
      <c r="AB1032">
        <f>IF(ABS(T1031) &gt; ABS(V1031),T1031,V1031)</f>
        <v>0.53179374999999141</v>
      </c>
      <c r="AH1032">
        <f>H1032-AG1010</f>
        <v>29.983567500000003</v>
      </c>
      <c r="AI1032">
        <f>100*(AH1032-O1032)/80</f>
        <v>-1.0740624999998616E-2</v>
      </c>
      <c r="AN1032">
        <f>IF(ABS(AK1031) &gt; ABS(AM1031),AK1031,AM1031)</f>
        <v>0.39015937500000319</v>
      </c>
    </row>
    <row r="1033" spans="1:41" x14ac:dyDescent="0.35">
      <c r="A1033" t="s">
        <v>262</v>
      </c>
      <c r="B1033" t="s">
        <v>1111</v>
      </c>
      <c r="C1033" t="s">
        <v>1127</v>
      </c>
      <c r="D1033">
        <v>10</v>
      </c>
      <c r="E1033">
        <v>10</v>
      </c>
      <c r="F1033">
        <v>0</v>
      </c>
      <c r="G1033">
        <v>-7.9999999999999996E-6</v>
      </c>
      <c r="H1033">
        <v>50.228124999999999</v>
      </c>
      <c r="J1033">
        <v>-12572</v>
      </c>
      <c r="N1033" t="s">
        <v>186</v>
      </c>
      <c r="O1033">
        <f t="shared" ref="O1033:O1096" si="48">(((G1033--1)*(40))+10)</f>
        <v>49.999679999999998</v>
      </c>
      <c r="P1033">
        <f t="shared" ref="P1033:P1096" si="49">100*(H1033-O1033)/80</f>
        <v>0.28555625000000084</v>
      </c>
      <c r="Q1033">
        <f t="shared" ref="Q1033:Q1096" si="50">ABS(P1033)</f>
        <v>0.28555625000000084</v>
      </c>
      <c r="Y1033">
        <f>TREND(H1031:H1035,G1031:G1035,G1033)</f>
        <v>50.283534343272855</v>
      </c>
      <c r="Z1033">
        <f>ABS((Y1033-H1033)/80*100)</f>
        <v>6.9261679091070505E-2</v>
      </c>
      <c r="AH1033">
        <f>H1033-AG1010</f>
        <v>50.114817500000001</v>
      </c>
      <c r="AI1033">
        <f>100*(AH1033-O1033)/80</f>
        <v>0.14392187500000375</v>
      </c>
    </row>
    <row r="1034" spans="1:41" x14ac:dyDescent="0.35">
      <c r="A1034" t="s">
        <v>262</v>
      </c>
      <c r="B1034" t="s">
        <v>1111</v>
      </c>
      <c r="C1034" t="s">
        <v>1164</v>
      </c>
      <c r="D1034">
        <v>10</v>
      </c>
      <c r="E1034">
        <v>10</v>
      </c>
      <c r="F1034">
        <v>0.5</v>
      </c>
      <c r="G1034">
        <v>0.50001700000000004</v>
      </c>
      <c r="H1034">
        <v>70.34375</v>
      </c>
      <c r="J1034">
        <v>-12542</v>
      </c>
      <c r="N1034" t="s">
        <v>186</v>
      </c>
      <c r="O1034">
        <f t="shared" si="48"/>
        <v>70.000680000000003</v>
      </c>
      <c r="P1034">
        <f t="shared" si="49"/>
        <v>0.42883749999999665</v>
      </c>
      <c r="Q1034">
        <f t="shared" si="50"/>
        <v>0.42883749999999665</v>
      </c>
      <c r="Y1034">
        <f>TREND(H1031:H1035,G1031:G1035,G1034)</f>
        <v>70.329948878537508</v>
      </c>
      <c r="Z1034">
        <f>ABS((Y1034-H1034)/80*100)</f>
        <v>1.7251401828115576E-2</v>
      </c>
      <c r="AH1034">
        <f>H1034-AG1010</f>
        <v>70.230442500000009</v>
      </c>
      <c r="AI1034">
        <f>100*(AH1034-O1034)/80</f>
        <v>0.28720312500000844</v>
      </c>
    </row>
    <row r="1035" spans="1:41" x14ac:dyDescent="0.35">
      <c r="A1035" t="s">
        <v>262</v>
      </c>
      <c r="B1035" t="s">
        <v>1111</v>
      </c>
      <c r="C1035" t="s">
        <v>1201</v>
      </c>
      <c r="D1035">
        <v>10</v>
      </c>
      <c r="E1035">
        <v>10</v>
      </c>
      <c r="F1035">
        <v>1</v>
      </c>
      <c r="G1035">
        <v>0.99991099999999999</v>
      </c>
      <c r="H1035">
        <v>90.421875</v>
      </c>
      <c r="J1035">
        <v>-12515</v>
      </c>
      <c r="N1035" t="s">
        <v>186</v>
      </c>
      <c r="O1035">
        <f t="shared" si="48"/>
        <v>89.996440000000007</v>
      </c>
      <c r="P1035">
        <f t="shared" si="49"/>
        <v>0.53179374999999141</v>
      </c>
      <c r="Q1035">
        <f t="shared" si="50"/>
        <v>0.53179374999999141</v>
      </c>
      <c r="Y1035">
        <f>TREND(H1031:H1035,G1031:G1035,G1035)</f>
        <v>90.371111515788826</v>
      </c>
      <c r="Z1035">
        <f>ABS((Y1035-H1035)/80*100)</f>
        <v>6.3454355263967699E-2</v>
      </c>
      <c r="AH1035">
        <f>H1035-AG1010</f>
        <v>90.308567500000009</v>
      </c>
      <c r="AI1035">
        <f>100*(AH1035-O1035)/80</f>
        <v>0.39015937500000319</v>
      </c>
    </row>
    <row r="1036" spans="1:41" x14ac:dyDescent="0.35">
      <c r="A1036" t="s">
        <v>262</v>
      </c>
      <c r="B1036" t="s">
        <v>1111</v>
      </c>
      <c r="C1036" t="s">
        <v>1237</v>
      </c>
      <c r="D1036">
        <v>10</v>
      </c>
      <c r="E1036">
        <v>10</v>
      </c>
      <c r="F1036">
        <v>0</v>
      </c>
      <c r="G1036">
        <v>9.3999999999999994E-5</v>
      </c>
      <c r="H1036">
        <v>50</v>
      </c>
      <c r="J1036">
        <v>-12489</v>
      </c>
      <c r="N1036" t="s">
        <v>186</v>
      </c>
      <c r="O1036">
        <f t="shared" si="48"/>
        <v>50.00376</v>
      </c>
      <c r="P1036">
        <f t="shared" si="49"/>
        <v>-4.6999999999997044E-3</v>
      </c>
      <c r="Q1036">
        <f t="shared" si="50"/>
        <v>4.6999999999997044E-3</v>
      </c>
      <c r="Y1036">
        <f>TREND(H1031:H1035,G1031:G1035,G1036)</f>
        <v>50.287623607374847</v>
      </c>
      <c r="Z1036">
        <f>ABS((Y1036-H1036)/80*100)</f>
        <v>0.35952950921855908</v>
      </c>
      <c r="AH1036">
        <f>H1036-AG1010</f>
        <v>49.886692500000002</v>
      </c>
      <c r="AI1036">
        <f>100*(AH1036-O1036)/80</f>
        <v>-0.1463343749999968</v>
      </c>
    </row>
    <row r="1037" spans="1:41" x14ac:dyDescent="0.35">
      <c r="A1037" t="s">
        <v>262</v>
      </c>
      <c r="B1037" t="s">
        <v>1111</v>
      </c>
      <c r="C1037" t="s">
        <v>1273</v>
      </c>
      <c r="D1037">
        <v>10</v>
      </c>
      <c r="E1037">
        <v>10</v>
      </c>
      <c r="F1037">
        <v>-1</v>
      </c>
      <c r="G1037">
        <v>-1.0001180000000001</v>
      </c>
      <c r="H1037">
        <v>10.231249999999999</v>
      </c>
      <c r="J1037">
        <v>-12466</v>
      </c>
      <c r="N1037" t="s">
        <v>186</v>
      </c>
      <c r="O1037">
        <f t="shared" si="48"/>
        <v>9.9952799999999975</v>
      </c>
      <c r="P1037">
        <f t="shared" si="49"/>
        <v>0.29496250000000224</v>
      </c>
      <c r="Q1037">
        <f t="shared" si="50"/>
        <v>0.29496250000000224</v>
      </c>
      <c r="Y1037">
        <f>TREND(H1031:H1035,G1031:G1035,G1037)</f>
        <v>10.188299823271791</v>
      </c>
      <c r="Z1037">
        <f>ABS((Y1037-H1037)/80*100)</f>
        <v>5.3687720910260424E-2</v>
      </c>
      <c r="AH1037">
        <f>H1037-AG1010</f>
        <v>10.117942500000002</v>
      </c>
      <c r="AI1037">
        <f>100*(AH1037-O1037)/80</f>
        <v>0.15332812500000514</v>
      </c>
    </row>
    <row r="1038" spans="1:41" x14ac:dyDescent="0.35">
      <c r="A1038" t="s">
        <v>262</v>
      </c>
      <c r="B1038" t="s">
        <v>1111</v>
      </c>
      <c r="C1038" t="s">
        <v>1310</v>
      </c>
      <c r="D1038">
        <v>25</v>
      </c>
      <c r="E1038">
        <v>25</v>
      </c>
      <c r="F1038">
        <v>-1</v>
      </c>
      <c r="G1038">
        <v>-0.99987999999999999</v>
      </c>
      <c r="H1038">
        <v>10.1875</v>
      </c>
      <c r="J1038">
        <v>-6361</v>
      </c>
      <c r="N1038" t="s">
        <v>186</v>
      </c>
      <c r="O1038">
        <f t="shared" si="48"/>
        <v>10.004799999999999</v>
      </c>
      <c r="P1038">
        <f t="shared" si="49"/>
        <v>0.22837500000000066</v>
      </c>
      <c r="Q1038">
        <f t="shared" si="50"/>
        <v>0.22837500000000066</v>
      </c>
      <c r="S1038">
        <v>50.123437500000001</v>
      </c>
      <c r="T1038">
        <v>0.15534687500000643</v>
      </c>
      <c r="U1038">
        <v>90.259375000000006</v>
      </c>
      <c r="V1038">
        <v>0.32891875000000681</v>
      </c>
      <c r="W1038">
        <v>80.071876525878906</v>
      </c>
      <c r="X1038">
        <f>(W1038-80)/80*100</f>
        <v>8.9845657348632813E-2</v>
      </c>
      <c r="Y1038">
        <f>TREND(H1038:H1042,G1038:G1042,G1038)</f>
        <v>10.116227437586339</v>
      </c>
      <c r="Z1038">
        <f>ABS((Y1038-H1038)/80*100)</f>
        <v>8.9090703017076223E-2</v>
      </c>
      <c r="AA1038">
        <f>MAX(Z1038:Z1042)</f>
        <v>9.5957997801288109E-2</v>
      </c>
      <c r="AB1038">
        <f>IF(ABS(MAX(P1038:P1044)) &gt; ABS(MIN(P1038:P1044)),MAX(P1038:P1044), MIN(P1038:P1044))</f>
        <v>-49.012250000000002</v>
      </c>
      <c r="AC1038">
        <f>IF(ABS(AB1039)&gt;ABS(AB1038),AB1039,AB1038)</f>
        <v>-49.012250000000002</v>
      </c>
      <c r="AH1038">
        <f>H1038-AG1010</f>
        <v>10.074192500000002</v>
      </c>
      <c r="AI1038">
        <f>100*(AH1038-O1038)/80</f>
        <v>8.6740625000003568E-2</v>
      </c>
      <c r="AJ1038">
        <v>50.010130000000004</v>
      </c>
      <c r="AK1038">
        <v>1.3712500000009342E-2</v>
      </c>
      <c r="AL1038">
        <v>90.146067500000015</v>
      </c>
      <c r="AM1038">
        <v>0.1872843750000186</v>
      </c>
      <c r="AN1038">
        <f>IF(ABS(MAX(AI1038:AI1044)) &gt; ABS(MIN(AI1038:AI1044)),MAX(AI1038:AI1044), MIN(AI1038:AI1044))</f>
        <v>-49.15388437499999</v>
      </c>
      <c r="AO1038">
        <f>IF(ABS(AN1039)&gt;ABS(AN1038),AN1039,AN1038)</f>
        <v>-49.15388437499999</v>
      </c>
    </row>
    <row r="1039" spans="1:41" x14ac:dyDescent="0.35">
      <c r="A1039" t="s">
        <v>262</v>
      </c>
      <c r="B1039" t="s">
        <v>1111</v>
      </c>
      <c r="C1039" t="s">
        <v>1346</v>
      </c>
      <c r="D1039">
        <v>25</v>
      </c>
      <c r="E1039">
        <v>25</v>
      </c>
      <c r="F1039">
        <v>-0.5</v>
      </c>
      <c r="G1039">
        <v>-0.50001300000000004</v>
      </c>
      <c r="H1039">
        <v>30.073437500000001</v>
      </c>
      <c r="J1039">
        <v>-6345</v>
      </c>
      <c r="N1039" t="s">
        <v>186</v>
      </c>
      <c r="O1039">
        <f t="shared" si="48"/>
        <v>29.999479999999998</v>
      </c>
      <c r="P1039">
        <f t="shared" si="49"/>
        <v>9.2446875000002926E-2</v>
      </c>
      <c r="Q1039">
        <f t="shared" si="50"/>
        <v>9.2446875000002926E-2</v>
      </c>
      <c r="Y1039">
        <f>TREND(H1038:H1042,G1038:G1042,G1039)</f>
        <v>30.150203898241031</v>
      </c>
      <c r="Z1039">
        <f>ABS((Y1039-H1039)/80*100)</f>
        <v>9.5957997801288109E-2</v>
      </c>
      <c r="AB1039">
        <f>IF(ABS(T1038) &gt; ABS(V1038),T1038,V1038)</f>
        <v>0.32891875000000681</v>
      </c>
      <c r="AH1039">
        <f>H1039-AG1010</f>
        <v>29.960130000000003</v>
      </c>
      <c r="AI1039">
        <f>100*(AH1039-O1039)/80</f>
        <v>-4.9187499999994166E-2</v>
      </c>
      <c r="AN1039">
        <f>IF(ABS(AK1038) &gt; ABS(AM1038),AK1038,AM1038)</f>
        <v>0.1872843750000186</v>
      </c>
    </row>
    <row r="1040" spans="1:41" x14ac:dyDescent="0.35">
      <c r="A1040" t="s">
        <v>262</v>
      </c>
      <c r="B1040" t="s">
        <v>1111</v>
      </c>
      <c r="C1040" t="s">
        <v>1383</v>
      </c>
      <c r="D1040">
        <v>25</v>
      </c>
      <c r="E1040">
        <v>25</v>
      </c>
      <c r="F1040">
        <v>0</v>
      </c>
      <c r="G1040">
        <v>-2.0999999999999999E-5</v>
      </c>
      <c r="H1040">
        <v>50.123437500000001</v>
      </c>
      <c r="J1040">
        <v>-6317</v>
      </c>
      <c r="N1040" t="s">
        <v>186</v>
      </c>
      <c r="O1040">
        <f t="shared" si="48"/>
        <v>49.999159999999996</v>
      </c>
      <c r="P1040">
        <f t="shared" si="49"/>
        <v>0.15534687500000643</v>
      </c>
      <c r="Q1040">
        <f t="shared" si="50"/>
        <v>0.15534687500000643</v>
      </c>
      <c r="Y1040">
        <f>TREND(H1038:H1042,G1038:G1042,G1040)</f>
        <v>50.189190185624796</v>
      </c>
      <c r="Z1040">
        <f>ABS((Y1040-H1040)/80*100)</f>
        <v>8.2190857030992603E-2</v>
      </c>
      <c r="AH1040">
        <f>H1040-AG1010</f>
        <v>50.010130000000004</v>
      </c>
      <c r="AI1040">
        <f>100*(AH1040-O1040)/80</f>
        <v>1.3712500000009342E-2</v>
      </c>
    </row>
    <row r="1041" spans="1:41" x14ac:dyDescent="0.35">
      <c r="A1041" t="s">
        <v>262</v>
      </c>
      <c r="B1041" t="s">
        <v>1111</v>
      </c>
      <c r="C1041" t="s">
        <v>1420</v>
      </c>
      <c r="D1041">
        <v>25</v>
      </c>
      <c r="E1041">
        <v>25</v>
      </c>
      <c r="F1041">
        <v>0.5</v>
      </c>
      <c r="G1041">
        <v>0.50008200000000003</v>
      </c>
      <c r="H1041">
        <v>70.309375000000003</v>
      </c>
      <c r="J1041">
        <v>-6291</v>
      </c>
      <c r="N1041" t="s">
        <v>186</v>
      </c>
      <c r="O1041">
        <f t="shared" si="48"/>
        <v>70.00327999999999</v>
      </c>
      <c r="P1041">
        <f t="shared" si="49"/>
        <v>0.38261875000001666</v>
      </c>
      <c r="Q1041">
        <f t="shared" si="50"/>
        <v>0.38261875000001666</v>
      </c>
      <c r="Y1041">
        <f>TREND(H1038:H1042,G1038:G1042,G1041)</f>
        <v>70.232625199143982</v>
      </c>
      <c r="Z1041">
        <f>ABS((Y1041-H1041)/80*100)</f>
        <v>9.5937251070026264E-2</v>
      </c>
      <c r="AH1041">
        <f>H1041-AG1010</f>
        <v>70.196067499999998</v>
      </c>
      <c r="AI1041">
        <f>100*(AH1041-O1041)/80</f>
        <v>0.24098437500001069</v>
      </c>
    </row>
    <row r="1042" spans="1:41" x14ac:dyDescent="0.35">
      <c r="A1042" t="s">
        <v>262</v>
      </c>
      <c r="B1042" t="s">
        <v>1111</v>
      </c>
      <c r="C1042" t="s">
        <v>1456</v>
      </c>
      <c r="D1042">
        <v>25</v>
      </c>
      <c r="E1042">
        <v>25</v>
      </c>
      <c r="F1042">
        <v>1</v>
      </c>
      <c r="G1042">
        <v>0.99990599999999996</v>
      </c>
      <c r="H1042">
        <v>90.259375000000006</v>
      </c>
      <c r="J1042">
        <v>-6273</v>
      </c>
      <c r="N1042" t="s">
        <v>186</v>
      </c>
      <c r="O1042">
        <f t="shared" si="48"/>
        <v>89.99624</v>
      </c>
      <c r="P1042">
        <f t="shared" si="49"/>
        <v>0.32891875000000681</v>
      </c>
      <c r="Q1042">
        <f t="shared" si="50"/>
        <v>0.32891875000000681</v>
      </c>
      <c r="Y1042">
        <f>TREND(H1038:H1042,G1038:G1042,G1042)</f>
        <v>90.26487827940386</v>
      </c>
      <c r="Z1042">
        <f>ABS((Y1042-H1042)/80*100)</f>
        <v>6.8790992548173344E-3</v>
      </c>
      <c r="AH1042">
        <f>H1042-AG1010</f>
        <v>90.146067500000015</v>
      </c>
      <c r="AI1042">
        <f>100*(AH1042-O1042)/80</f>
        <v>0.1872843750000186</v>
      </c>
    </row>
    <row r="1043" spans="1:41" x14ac:dyDescent="0.35">
      <c r="A1043" t="s">
        <v>262</v>
      </c>
      <c r="B1043" t="s">
        <v>1111</v>
      </c>
      <c r="C1043" t="s">
        <v>1493</v>
      </c>
      <c r="D1043">
        <v>25</v>
      </c>
      <c r="E1043">
        <v>25</v>
      </c>
      <c r="F1043">
        <v>0</v>
      </c>
      <c r="G1043">
        <v>2.4499999999999999E-4</v>
      </c>
      <c r="H1043">
        <v>10.8</v>
      </c>
      <c r="J1043">
        <v>-6256</v>
      </c>
      <c r="N1043" t="s">
        <v>186</v>
      </c>
      <c r="O1043">
        <f t="shared" si="48"/>
        <v>50.009799999999998</v>
      </c>
      <c r="P1043">
        <f t="shared" si="49"/>
        <v>-49.012250000000002</v>
      </c>
      <c r="Q1043">
        <f t="shared" si="50"/>
        <v>49.012250000000002</v>
      </c>
      <c r="Y1043">
        <f>TREND(H1038:H1042,G1038:G1042,G1043)</f>
        <v>50.199851096904268</v>
      </c>
      <c r="Z1043">
        <f>ABS((Y1043-H1043)/80*100)</f>
        <v>49.249813871130335</v>
      </c>
      <c r="AH1043">
        <f>H1043-AG1010</f>
        <v>10.686692500000003</v>
      </c>
      <c r="AI1043">
        <f>100*(AH1043-O1043)/80</f>
        <v>-49.15388437499999</v>
      </c>
    </row>
    <row r="1044" spans="1:41" x14ac:dyDescent="0.35">
      <c r="A1044" t="s">
        <v>262</v>
      </c>
      <c r="B1044" t="s">
        <v>1111</v>
      </c>
      <c r="C1044" t="s">
        <v>1530</v>
      </c>
      <c r="D1044">
        <v>25</v>
      </c>
      <c r="E1044">
        <v>25</v>
      </c>
      <c r="F1044">
        <v>-1</v>
      </c>
      <c r="G1044">
        <v>-0.99981200000000003</v>
      </c>
      <c r="H1044">
        <v>10.159375000000001</v>
      </c>
      <c r="J1044">
        <v>-6240</v>
      </c>
      <c r="N1044" t="s">
        <v>186</v>
      </c>
      <c r="O1044">
        <f t="shared" si="48"/>
        <v>10.00752</v>
      </c>
      <c r="P1044">
        <f t="shared" si="49"/>
        <v>0.18981875000000148</v>
      </c>
      <c r="Q1044">
        <f t="shared" si="50"/>
        <v>0.18981875000000148</v>
      </c>
      <c r="Y1044">
        <f>TREND(H1038:H1042,G1038:G1042,G1044)</f>
        <v>10.118952783326954</v>
      </c>
      <c r="Z1044">
        <f>ABS((Y1044-H1044)/80*100)</f>
        <v>5.0527770841308765E-2</v>
      </c>
      <c r="AH1044">
        <f>H1044-AG1010</f>
        <v>10.046067500000003</v>
      </c>
      <c r="AI1044">
        <f>100*(AH1044-O1044)/80</f>
        <v>4.8184375000004387E-2</v>
      </c>
    </row>
    <row r="1045" spans="1:41" x14ac:dyDescent="0.35">
      <c r="A1045" t="s">
        <v>262</v>
      </c>
      <c r="B1045" t="s">
        <v>1111</v>
      </c>
      <c r="C1045" t="s">
        <v>1567</v>
      </c>
      <c r="D1045">
        <v>50</v>
      </c>
      <c r="E1045">
        <v>50</v>
      </c>
      <c r="F1045">
        <v>-1</v>
      </c>
      <c r="G1045">
        <v>-1.0004649999999999</v>
      </c>
      <c r="H1045">
        <v>10.146875</v>
      </c>
      <c r="J1045">
        <v>3600</v>
      </c>
      <c r="N1045" t="s">
        <v>186</v>
      </c>
      <c r="O1045">
        <f t="shared" si="48"/>
        <v>9.9814000000000025</v>
      </c>
      <c r="P1045">
        <f t="shared" si="49"/>
        <v>0.20684374999999644</v>
      </c>
      <c r="Q1045">
        <f t="shared" si="50"/>
        <v>0.20684374999999644</v>
      </c>
      <c r="S1045">
        <v>50.159374999999997</v>
      </c>
      <c r="T1045">
        <v>0.19516874999999878</v>
      </c>
      <c r="U1045">
        <v>90.365624999999994</v>
      </c>
      <c r="V1045">
        <v>0.45528124999998809</v>
      </c>
      <c r="W1045">
        <v>80.218748474121099</v>
      </c>
      <c r="X1045">
        <f>(W1045-80)/80*100</f>
        <v>0.27343559265137429</v>
      </c>
      <c r="Y1045">
        <f>TREND(H1045:H1049,G1045:G1049,G1045)</f>
        <v>10.058015631004565</v>
      </c>
      <c r="Z1045">
        <f>ABS((Y1045-H1045)/80*100)</f>
        <v>0.11107421124429306</v>
      </c>
      <c r="AA1045">
        <f>MAX(Z1045:Z1049)</f>
        <v>0.12035163800863113</v>
      </c>
      <c r="AB1045">
        <f>IF(ABS(MAX(P1045:P1051)) &gt; ABS(MIN(P1045:P1051)),MAX(P1045:P1051), MIN(P1045:P1051))</f>
        <v>0.45528124999998809</v>
      </c>
      <c r="AC1045">
        <f>IF(ABS(AB1046)&gt;ABS(AB1045),AB1046,AB1045)</f>
        <v>0.45528124999998809</v>
      </c>
      <c r="AH1045">
        <f>H1045-AG1010</f>
        <v>10.033567500000002</v>
      </c>
      <c r="AI1045">
        <f>100*(AH1045-O1045)/80</f>
        <v>6.5209374999999348E-2</v>
      </c>
      <c r="AJ1045">
        <v>50.046067499999999</v>
      </c>
      <c r="AK1045">
        <v>5.3534375000001688E-2</v>
      </c>
      <c r="AL1045">
        <v>90.252317500000004</v>
      </c>
      <c r="AM1045">
        <v>0.31364687499999988</v>
      </c>
      <c r="AN1045">
        <f>IF(ABS(MAX(AI1045:AI1051)) &gt; ABS(MIN(AI1045:AI1051)),MAX(AI1045:AI1051), MIN(AI1045:AI1051))</f>
        <v>0.31364687499999988</v>
      </c>
      <c r="AO1045">
        <f>IF(ABS(AN1046)&gt;ABS(AN1045),AN1046,AN1045)</f>
        <v>0.31364687499999988</v>
      </c>
    </row>
    <row r="1046" spans="1:41" x14ac:dyDescent="0.35">
      <c r="A1046" t="s">
        <v>262</v>
      </c>
      <c r="B1046" t="s">
        <v>1111</v>
      </c>
      <c r="C1046" t="s">
        <v>1603</v>
      </c>
      <c r="D1046">
        <v>50</v>
      </c>
      <c r="E1046">
        <v>50</v>
      </c>
      <c r="F1046">
        <v>-0.5</v>
      </c>
      <c r="G1046">
        <v>-0.50020799999999999</v>
      </c>
      <c r="H1046">
        <v>30.0390625</v>
      </c>
      <c r="J1046">
        <v>3644</v>
      </c>
      <c r="N1046" t="s">
        <v>186</v>
      </c>
      <c r="O1046">
        <f t="shared" si="48"/>
        <v>29.991680000000002</v>
      </c>
      <c r="P1046">
        <f t="shared" si="49"/>
        <v>5.9228124999997078E-2</v>
      </c>
      <c r="Q1046">
        <f t="shared" si="50"/>
        <v>5.9228124999997078E-2</v>
      </c>
      <c r="Y1046">
        <f>TREND(H1045:H1049,G1045:G1049,G1046)</f>
        <v>30.135343810406905</v>
      </c>
      <c r="Z1046">
        <f>ABS((Y1046-H1046)/80*100)</f>
        <v>0.12035163800863113</v>
      </c>
      <c r="AB1046">
        <f>IF(ABS(T1045) &gt; ABS(V1045),T1045,V1045)</f>
        <v>0.45528124999998809</v>
      </c>
      <c r="AH1046">
        <f>H1046-AG1010</f>
        <v>29.925755000000002</v>
      </c>
      <c r="AI1046">
        <f>100*(AH1046-O1046)/80</f>
        <v>-8.2406250000000014E-2</v>
      </c>
      <c r="AN1046">
        <f>IF(ABS(AK1045) &gt; ABS(AM1045),AK1045,AM1045)</f>
        <v>0.31364687499999988</v>
      </c>
    </row>
    <row r="1047" spans="1:41" x14ac:dyDescent="0.35">
      <c r="A1047" t="s">
        <v>262</v>
      </c>
      <c r="B1047" t="s">
        <v>1111</v>
      </c>
      <c r="C1047" t="s">
        <v>1640</v>
      </c>
      <c r="D1047">
        <v>50</v>
      </c>
      <c r="E1047">
        <v>50</v>
      </c>
      <c r="F1047">
        <v>0</v>
      </c>
      <c r="G1047">
        <v>8.1000000000000004E-5</v>
      </c>
      <c r="H1047">
        <v>50.159374999999997</v>
      </c>
      <c r="J1047">
        <v>3683</v>
      </c>
      <c r="N1047" t="s">
        <v>186</v>
      </c>
      <c r="O1047">
        <f t="shared" si="48"/>
        <v>50.003239999999998</v>
      </c>
      <c r="P1047">
        <f t="shared" si="49"/>
        <v>0.19516874999999878</v>
      </c>
      <c r="Q1047">
        <f t="shared" si="50"/>
        <v>0.19516874999999878</v>
      </c>
      <c r="Y1047">
        <f>TREND(H1045:H1049,G1045:G1049,G1047)</f>
        <v>50.213956278688244</v>
      </c>
      <c r="Z1047">
        <f>ABS((Y1047-H1047)/80*100)</f>
        <v>6.8226598360308088E-2</v>
      </c>
      <c r="AH1047">
        <f>H1047-AG1010</f>
        <v>50.046067499999999</v>
      </c>
      <c r="AI1047">
        <f>100*(AH1047-O1047)/80</f>
        <v>5.3534375000001688E-2</v>
      </c>
    </row>
    <row r="1048" spans="1:41" x14ac:dyDescent="0.35">
      <c r="A1048" t="s">
        <v>262</v>
      </c>
      <c r="B1048" t="s">
        <v>1111</v>
      </c>
      <c r="C1048" t="s">
        <v>1677</v>
      </c>
      <c r="D1048">
        <v>50</v>
      </c>
      <c r="E1048">
        <v>50</v>
      </c>
      <c r="F1048">
        <v>0.5</v>
      </c>
      <c r="G1048">
        <v>0.49996299999999999</v>
      </c>
      <c r="H1048">
        <v>70.318749999999994</v>
      </c>
      <c r="J1048">
        <v>3722</v>
      </c>
      <c r="N1048" t="s">
        <v>186</v>
      </c>
      <c r="O1048">
        <f t="shared" si="48"/>
        <v>69.998519999999999</v>
      </c>
      <c r="P1048">
        <f t="shared" si="49"/>
        <v>0.40028749999999391</v>
      </c>
      <c r="Q1048">
        <f t="shared" si="50"/>
        <v>0.40028749999999391</v>
      </c>
      <c r="Y1048">
        <f>TREND(H1045:H1049,G1045:G1049,G1048)</f>
        <v>70.276234197789819</v>
      </c>
      <c r="Z1048">
        <f>ABS((Y1048-H1048)/80*100)</f>
        <v>5.3144752762719343E-2</v>
      </c>
      <c r="AH1048">
        <f>H1048-AG1010</f>
        <v>70.205442500000004</v>
      </c>
      <c r="AI1048">
        <f>100*(AH1048-O1048)/80</f>
        <v>0.2586531250000057</v>
      </c>
    </row>
    <row r="1049" spans="1:41" x14ac:dyDescent="0.35">
      <c r="A1049" t="s">
        <v>262</v>
      </c>
      <c r="B1049" t="s">
        <v>1111</v>
      </c>
      <c r="C1049" t="s">
        <v>1713</v>
      </c>
      <c r="D1049">
        <v>50</v>
      </c>
      <c r="E1049">
        <v>50</v>
      </c>
      <c r="F1049">
        <v>1</v>
      </c>
      <c r="G1049">
        <v>1.000035</v>
      </c>
      <c r="H1049">
        <v>90.365624999999994</v>
      </c>
      <c r="J1049">
        <v>3759</v>
      </c>
      <c r="N1049" t="s">
        <v>186</v>
      </c>
      <c r="O1049">
        <f t="shared" si="48"/>
        <v>90.001400000000004</v>
      </c>
      <c r="P1049">
        <f t="shared" si="49"/>
        <v>0.45528124999998809</v>
      </c>
      <c r="Q1049">
        <f t="shared" si="50"/>
        <v>0.45528124999998809</v>
      </c>
      <c r="Y1049">
        <f>TREND(H1045:H1049,G1045:G1049,G1049)</f>
        <v>90.346137582110458</v>
      </c>
      <c r="Z1049">
        <f>ABS((Y1049-H1049)/80*100)</f>
        <v>2.4359272361920148E-2</v>
      </c>
      <c r="AH1049">
        <f>H1049-AG1010</f>
        <v>90.252317500000004</v>
      </c>
      <c r="AI1049">
        <f>100*(AH1049-O1049)/80</f>
        <v>0.31364687499999988</v>
      </c>
    </row>
    <row r="1050" spans="1:41" x14ac:dyDescent="0.35">
      <c r="A1050" t="s">
        <v>262</v>
      </c>
      <c r="B1050" t="s">
        <v>1111</v>
      </c>
      <c r="C1050" t="s">
        <v>1750</v>
      </c>
      <c r="D1050">
        <v>50</v>
      </c>
      <c r="E1050">
        <v>50</v>
      </c>
      <c r="F1050">
        <v>0</v>
      </c>
      <c r="G1050">
        <v>1.1400000000000001E-4</v>
      </c>
      <c r="H1050">
        <v>50.112499999999997</v>
      </c>
      <c r="J1050">
        <v>3785</v>
      </c>
      <c r="N1050" t="s">
        <v>186</v>
      </c>
      <c r="O1050">
        <f t="shared" si="48"/>
        <v>50.004559999999998</v>
      </c>
      <c r="P1050">
        <f t="shared" si="49"/>
        <v>0.13492499999999907</v>
      </c>
      <c r="Q1050">
        <f t="shared" si="50"/>
        <v>0.13492499999999907</v>
      </c>
      <c r="Y1050">
        <f>TREND(H1045:H1049,G1045:G1049,G1050)</f>
        <v>50.215280701594708</v>
      </c>
      <c r="Z1050">
        <f>ABS((Y1050-H1050)/80*100)</f>
        <v>0.12847587699338803</v>
      </c>
      <c r="AH1050">
        <f>H1050-AG1010</f>
        <v>49.999192499999999</v>
      </c>
      <c r="AI1050">
        <f>100*(AH1050-O1050)/80</f>
        <v>-6.709374999998019E-3</v>
      </c>
    </row>
    <row r="1051" spans="1:41" x14ac:dyDescent="0.35">
      <c r="A1051" t="s">
        <v>262</v>
      </c>
      <c r="B1051" t="s">
        <v>1111</v>
      </c>
      <c r="C1051" t="s">
        <v>1786</v>
      </c>
      <c r="D1051">
        <v>50</v>
      </c>
      <c r="E1051">
        <v>50</v>
      </c>
      <c r="F1051">
        <v>-1</v>
      </c>
      <c r="G1051">
        <v>-1.0000720000000001</v>
      </c>
      <c r="H1051">
        <v>10.176562499999999</v>
      </c>
      <c r="J1051">
        <v>3816</v>
      </c>
      <c r="N1051" t="s">
        <v>186</v>
      </c>
      <c r="O1051">
        <f t="shared" si="48"/>
        <v>9.9971199999999971</v>
      </c>
      <c r="P1051">
        <f t="shared" si="49"/>
        <v>0.22430312500000271</v>
      </c>
      <c r="Q1051">
        <f t="shared" si="50"/>
        <v>0.22430312500000271</v>
      </c>
      <c r="Y1051">
        <f>TREND(H1045:H1049,G1045:G1049,G1051)</f>
        <v>10.073788303799759</v>
      </c>
      <c r="Z1051">
        <f>ABS((Y1051-H1051)/80*100)</f>
        <v>0.12846774525030025</v>
      </c>
      <c r="AH1051">
        <f>H1051-AG1010</f>
        <v>10.063255000000002</v>
      </c>
      <c r="AI1051">
        <f>100*(AH1051-O1051)/80</f>
        <v>8.266875000000562E-2</v>
      </c>
    </row>
    <row r="1052" spans="1:41" x14ac:dyDescent="0.35">
      <c r="A1052" t="s">
        <v>262</v>
      </c>
      <c r="B1052" t="s">
        <v>1111</v>
      </c>
      <c r="C1052" t="s">
        <v>1824</v>
      </c>
      <c r="D1052">
        <v>70</v>
      </c>
      <c r="E1052">
        <v>70</v>
      </c>
      <c r="F1052">
        <v>-1</v>
      </c>
      <c r="G1052">
        <v>-0.99951000000000001</v>
      </c>
      <c r="H1052">
        <v>10.21875</v>
      </c>
      <c r="J1052">
        <v>11814</v>
      </c>
      <c r="N1052" t="s">
        <v>186</v>
      </c>
      <c r="O1052">
        <f t="shared" si="48"/>
        <v>10.019600000000001</v>
      </c>
      <c r="P1052">
        <f t="shared" si="49"/>
        <v>0.24893749999999937</v>
      </c>
      <c r="Q1052">
        <f t="shared" si="50"/>
        <v>0.24893749999999937</v>
      </c>
      <c r="S1052">
        <v>50.212499999999999</v>
      </c>
      <c r="T1052">
        <v>0.26187499999999808</v>
      </c>
      <c r="U1052">
        <v>90.490624999999994</v>
      </c>
      <c r="V1052">
        <v>0.60518124999999756</v>
      </c>
      <c r="W1052">
        <v>80.271873474121094</v>
      </c>
      <c r="X1052">
        <f>(W1052-80)/80*100</f>
        <v>0.33984184265136719</v>
      </c>
      <c r="Y1052">
        <f>TREND(H1052:H1056,G1052:G1056,G1052)</f>
        <v>10.13172253307787</v>
      </c>
      <c r="Z1052">
        <f>ABS((Y1052-H1052)/80*100)</f>
        <v>0.10878433365266282</v>
      </c>
      <c r="AA1052">
        <f>MAX(Z1052:Z1056)</f>
        <v>0.10878433365266282</v>
      </c>
      <c r="AB1052">
        <f>IF(ABS(MAX(P1052:P1058)) &gt; ABS(MIN(P1052:P1058)),MAX(P1052:P1058), MIN(P1052:P1058))</f>
        <v>0.60518124999999756</v>
      </c>
      <c r="AC1052">
        <f>IF(ABS(AB1053)&gt;ABS(AB1052),AB1053,AB1052)</f>
        <v>0.60518124999999756</v>
      </c>
      <c r="AH1052">
        <f>H1052-AG1010</f>
        <v>10.105442500000002</v>
      </c>
      <c r="AI1052">
        <f>100*(AH1052-O1052)/80</f>
        <v>0.10730312500000228</v>
      </c>
      <c r="AJ1052">
        <v>50.099192500000001</v>
      </c>
      <c r="AK1052">
        <v>0.12024062500000099</v>
      </c>
      <c r="AL1052">
        <v>90.377317500000004</v>
      </c>
      <c r="AM1052">
        <v>0.46354687500000935</v>
      </c>
      <c r="AN1052">
        <f>IF(ABS(MAX(AI1052:AI1058)) &gt; ABS(MIN(AI1052:AI1058)),MAX(AI1052:AI1058), MIN(AI1052:AI1058))</f>
        <v>0.46354687500000935</v>
      </c>
      <c r="AO1052">
        <f>IF(ABS(AN1053)&gt;ABS(AN1052),AN1053,AN1052)</f>
        <v>0.46354687500000935</v>
      </c>
    </row>
    <row r="1053" spans="1:41" x14ac:dyDescent="0.35">
      <c r="A1053" t="s">
        <v>262</v>
      </c>
      <c r="B1053" t="s">
        <v>1111</v>
      </c>
      <c r="C1053" t="s">
        <v>1861</v>
      </c>
      <c r="D1053">
        <v>70</v>
      </c>
      <c r="E1053">
        <v>70</v>
      </c>
      <c r="F1053">
        <v>-0.5</v>
      </c>
      <c r="G1053">
        <v>-0.500081</v>
      </c>
      <c r="H1053">
        <v>30.115625000000001</v>
      </c>
      <c r="J1053">
        <v>11849</v>
      </c>
      <c r="N1053" t="s">
        <v>186</v>
      </c>
      <c r="O1053">
        <f t="shared" si="48"/>
        <v>29.996760000000002</v>
      </c>
      <c r="P1053">
        <f t="shared" si="49"/>
        <v>0.14858124999999944</v>
      </c>
      <c r="Q1053">
        <f t="shared" si="50"/>
        <v>0.14858124999999944</v>
      </c>
      <c r="Y1053">
        <f>TREND(H1052:H1056,G1052:G1056,G1053)</f>
        <v>30.184196360111347</v>
      </c>
      <c r="Z1053">
        <f>ABS((Y1053-H1053)/80*100)</f>
        <v>8.5714200139181962E-2</v>
      </c>
      <c r="AB1053">
        <f>IF(ABS(T1052) &gt; ABS(V1052),T1052,V1052)</f>
        <v>0.60518124999999756</v>
      </c>
      <c r="AH1053">
        <f>H1053-AG1010</f>
        <v>30.002317500000004</v>
      </c>
      <c r="AI1053">
        <f>100*(AH1053-O1053)/80</f>
        <v>6.9468750000023505E-3</v>
      </c>
      <c r="AN1053">
        <f>IF(ABS(AK1052) &gt; ABS(AM1052),AK1052,AM1052)</f>
        <v>0.46354687500000935</v>
      </c>
    </row>
    <row r="1054" spans="1:41" x14ac:dyDescent="0.35">
      <c r="A1054" t="s">
        <v>262</v>
      </c>
      <c r="B1054" t="s">
        <v>1111</v>
      </c>
      <c r="C1054" t="s">
        <v>1897</v>
      </c>
      <c r="D1054">
        <v>70</v>
      </c>
      <c r="E1054">
        <v>70</v>
      </c>
      <c r="F1054">
        <v>0</v>
      </c>
      <c r="G1054">
        <v>7.4999999999999993E-5</v>
      </c>
      <c r="H1054">
        <v>50.212499999999999</v>
      </c>
      <c r="J1054">
        <v>11889</v>
      </c>
      <c r="N1054" t="s">
        <v>186</v>
      </c>
      <c r="O1054">
        <f t="shared" si="48"/>
        <v>50.003</v>
      </c>
      <c r="P1054">
        <f t="shared" si="49"/>
        <v>0.26187499999999808</v>
      </c>
      <c r="Q1054">
        <f t="shared" si="50"/>
        <v>0.26187499999999808</v>
      </c>
      <c r="Y1054">
        <f>TREND(H1052:H1056,G1052:G1056,G1054)</f>
        <v>50.265859818648508</v>
      </c>
      <c r="Z1054">
        <f>ABS((Y1054-H1054)/80*100)</f>
        <v>6.6699773310636701E-2</v>
      </c>
      <c r="AH1054">
        <f>H1054-AG1010</f>
        <v>50.099192500000001</v>
      </c>
      <c r="AI1054">
        <f>100*(AH1054-O1054)/80</f>
        <v>0.12024062500000099</v>
      </c>
    </row>
    <row r="1055" spans="1:41" x14ac:dyDescent="0.35">
      <c r="A1055" t="s">
        <v>262</v>
      </c>
      <c r="B1055" t="s">
        <v>1111</v>
      </c>
      <c r="C1055" t="s">
        <v>1934</v>
      </c>
      <c r="D1055">
        <v>70</v>
      </c>
      <c r="E1055">
        <v>70</v>
      </c>
      <c r="F1055">
        <v>0.5</v>
      </c>
      <c r="G1055">
        <v>0.50004999999999999</v>
      </c>
      <c r="H1055">
        <v>70.3046875</v>
      </c>
      <c r="J1055">
        <v>11917</v>
      </c>
      <c r="N1055" t="s">
        <v>186</v>
      </c>
      <c r="O1055">
        <f t="shared" si="48"/>
        <v>70.001999999999995</v>
      </c>
      <c r="P1055">
        <f t="shared" si="49"/>
        <v>0.37835937500000583</v>
      </c>
      <c r="Q1055">
        <f t="shared" si="50"/>
        <v>0.37835937500000583</v>
      </c>
      <c r="Y1055">
        <f>TREND(H1052:H1056,G1052:G1056,G1055)</f>
        <v>70.340255982409644</v>
      </c>
      <c r="Z1055">
        <f>ABS((Y1055-H1055)/80*100)</f>
        <v>4.4460603012055344E-2</v>
      </c>
      <c r="AH1055">
        <f>H1055-AG1010</f>
        <v>70.191380000000009</v>
      </c>
      <c r="AI1055">
        <f>100*(AH1055-O1055)/80</f>
        <v>0.23672500000001762</v>
      </c>
    </row>
    <row r="1056" spans="1:41" x14ac:dyDescent="0.35">
      <c r="A1056" t="s">
        <v>262</v>
      </c>
      <c r="B1056" t="s">
        <v>1111</v>
      </c>
      <c r="C1056" t="s">
        <v>1970</v>
      </c>
      <c r="D1056">
        <v>70</v>
      </c>
      <c r="E1056">
        <v>70</v>
      </c>
      <c r="F1056">
        <v>1</v>
      </c>
      <c r="G1056">
        <v>1.000162</v>
      </c>
      <c r="H1056">
        <v>90.490624999999994</v>
      </c>
      <c r="J1056">
        <v>11945</v>
      </c>
      <c r="N1056" t="s">
        <v>186</v>
      </c>
      <c r="O1056">
        <f t="shared" si="48"/>
        <v>90.006479999999996</v>
      </c>
      <c r="P1056">
        <f t="shared" si="49"/>
        <v>0.60518124999999756</v>
      </c>
      <c r="Q1056">
        <f t="shared" si="50"/>
        <v>0.60518124999999756</v>
      </c>
      <c r="Y1056">
        <f>TREND(H1052:H1056,G1052:G1056,G1056)</f>
        <v>90.420152805752636</v>
      </c>
      <c r="Z1056">
        <f>ABS((Y1056-H1056)/80*100)</f>
        <v>8.8090242809197861E-2</v>
      </c>
      <c r="AH1056">
        <f>H1056-AG1010</f>
        <v>90.377317500000004</v>
      </c>
      <c r="AI1056">
        <f>100*(AH1056-O1056)/80</f>
        <v>0.46354687500000935</v>
      </c>
    </row>
    <row r="1057" spans="1:41" x14ac:dyDescent="0.35">
      <c r="A1057" t="s">
        <v>262</v>
      </c>
      <c r="B1057" t="s">
        <v>1111</v>
      </c>
      <c r="C1057" t="s">
        <v>2007</v>
      </c>
      <c r="D1057">
        <v>70</v>
      </c>
      <c r="E1057">
        <v>70</v>
      </c>
      <c r="F1057">
        <v>0</v>
      </c>
      <c r="G1057">
        <v>-7.6000000000000004E-5</v>
      </c>
      <c r="H1057">
        <v>50.198437499999997</v>
      </c>
      <c r="J1057">
        <v>11978</v>
      </c>
      <c r="N1057" t="s">
        <v>186</v>
      </c>
      <c r="O1057">
        <f t="shared" si="48"/>
        <v>49.996960000000001</v>
      </c>
      <c r="P1057">
        <f t="shared" si="49"/>
        <v>0.2518468749999947</v>
      </c>
      <c r="Q1057">
        <f t="shared" si="50"/>
        <v>0.2518468749999947</v>
      </c>
      <c r="Y1057">
        <f>TREND(H1052:H1056,G1052:G1056,G1057)</f>
        <v>50.25979704786851</v>
      </c>
      <c r="Z1057">
        <f>ABS((Y1057-H1057)/80*100)</f>
        <v>7.6699434835640901E-2</v>
      </c>
      <c r="AH1057">
        <f>H1057-AG1010</f>
        <v>50.085129999999999</v>
      </c>
      <c r="AI1057">
        <f>100*(AH1057-O1057)/80</f>
        <v>0.1102124999999976</v>
      </c>
    </row>
    <row r="1058" spans="1:41" x14ac:dyDescent="0.35">
      <c r="A1058" t="s">
        <v>262</v>
      </c>
      <c r="B1058" t="s">
        <v>1111</v>
      </c>
      <c r="C1058" t="s">
        <v>2043</v>
      </c>
      <c r="D1058">
        <v>70</v>
      </c>
      <c r="E1058">
        <v>70</v>
      </c>
      <c r="F1058">
        <v>-1</v>
      </c>
      <c r="G1058">
        <v>-0.99995000000000001</v>
      </c>
      <c r="H1058">
        <v>10.196875</v>
      </c>
      <c r="J1058">
        <v>11996</v>
      </c>
      <c r="N1058" t="s">
        <v>186</v>
      </c>
      <c r="O1058">
        <f t="shared" si="48"/>
        <v>10.001999999999999</v>
      </c>
      <c r="P1058">
        <f t="shared" si="49"/>
        <v>0.24359375000000183</v>
      </c>
      <c r="Q1058">
        <f t="shared" si="50"/>
        <v>0.24359375000000183</v>
      </c>
      <c r="Y1058">
        <f>TREND(H1052:H1056,G1052:G1056,G1058)</f>
        <v>10.114056181136164</v>
      </c>
      <c r="Z1058">
        <f>ABS((Y1058-H1058)/80*100)</f>
        <v>0.103523523579796</v>
      </c>
      <c r="AH1058">
        <f>H1058-AG1010</f>
        <v>10.083567500000003</v>
      </c>
      <c r="AI1058">
        <f>100*(AH1058-O1058)/80</f>
        <v>0.10195937500000474</v>
      </c>
    </row>
    <row r="1059" spans="1:41" x14ac:dyDescent="0.35">
      <c r="A1059" t="s">
        <v>262</v>
      </c>
      <c r="B1059" t="s">
        <v>1111</v>
      </c>
      <c r="C1059" t="s">
        <v>2079</v>
      </c>
      <c r="D1059">
        <v>85</v>
      </c>
      <c r="E1059">
        <v>85</v>
      </c>
      <c r="F1059">
        <v>-1</v>
      </c>
      <c r="G1059">
        <v>-1.000084</v>
      </c>
      <c r="H1059">
        <v>10.315625000000001</v>
      </c>
      <c r="J1059">
        <v>18046</v>
      </c>
      <c r="N1059" t="s">
        <v>186</v>
      </c>
      <c r="O1059">
        <f t="shared" si="48"/>
        <v>9.9966400000000011</v>
      </c>
      <c r="P1059">
        <f t="shared" si="49"/>
        <v>0.39873124999999954</v>
      </c>
      <c r="Q1059">
        <f t="shared" si="50"/>
        <v>0.39873124999999954</v>
      </c>
      <c r="S1059">
        <v>50.267187499999999</v>
      </c>
      <c r="T1059">
        <v>0.33633437499999808</v>
      </c>
      <c r="U1059">
        <v>90.603125000000006</v>
      </c>
      <c r="V1059">
        <v>0.74710625000001585</v>
      </c>
      <c r="W1059">
        <v>80.287501525878909</v>
      </c>
      <c r="X1059">
        <f>(W1059-80)/80*100</f>
        <v>0.35937690734863637</v>
      </c>
      <c r="Y1059">
        <f>TREND(H1059:H1063,G1059:G1063,G1059)</f>
        <v>10.19641183690306</v>
      </c>
      <c r="Z1059">
        <f>ABS((Y1059-H1059)/80*100)</f>
        <v>0.14901645387117579</v>
      </c>
      <c r="AA1059">
        <f>MAX(Z1059:Z1063)</f>
        <v>0.14901645387117579</v>
      </c>
      <c r="AB1059">
        <f>IF(ABS(MAX(P1059:P1065)) &gt; ABS(MIN(P1059:P1065)),MAX(P1059:P1065), MIN(P1059:P1065))</f>
        <v>0.74710625000001585</v>
      </c>
      <c r="AC1059">
        <f>IF(ABS(AB1060)&gt;ABS(AB1059),AB1060,AB1059)</f>
        <v>0.74710625000001585</v>
      </c>
      <c r="AH1059">
        <f>H1059-AG1010</f>
        <v>10.202317500000003</v>
      </c>
      <c r="AI1059">
        <f>100*(AH1059-O1059)/80</f>
        <v>0.25709687500000244</v>
      </c>
      <c r="AJ1059">
        <v>50.153880000000001</v>
      </c>
      <c r="AK1059">
        <v>0.19470000000000098</v>
      </c>
      <c r="AL1059">
        <v>90.489817500000015</v>
      </c>
      <c r="AM1059">
        <v>0.60547187500002764</v>
      </c>
      <c r="AN1059">
        <f>IF(ABS(MAX(AI1059:AI1065)) &gt; ABS(MIN(AI1059:AI1065)),MAX(AI1059:AI1065), MIN(AI1059:AI1065))</f>
        <v>0.60547187500002764</v>
      </c>
      <c r="AO1059">
        <f>IF(ABS(AN1060)&gt;ABS(AN1059),AN1060,AN1059)</f>
        <v>0.60547187500002764</v>
      </c>
    </row>
    <row r="1060" spans="1:41" x14ac:dyDescent="0.35">
      <c r="A1060" t="s">
        <v>262</v>
      </c>
      <c r="B1060" t="s">
        <v>1111</v>
      </c>
      <c r="C1060" t="s">
        <v>2115</v>
      </c>
      <c r="D1060">
        <v>85</v>
      </c>
      <c r="E1060">
        <v>85</v>
      </c>
      <c r="F1060">
        <v>-0.5</v>
      </c>
      <c r="G1060">
        <v>-0.49998300000000001</v>
      </c>
      <c r="H1060">
        <v>30.185937500000001</v>
      </c>
      <c r="J1060">
        <v>18076</v>
      </c>
      <c r="N1060" t="s">
        <v>186</v>
      </c>
      <c r="O1060">
        <f t="shared" si="48"/>
        <v>30.000679999999996</v>
      </c>
      <c r="P1060">
        <f t="shared" si="49"/>
        <v>0.23157187500000731</v>
      </c>
      <c r="Q1060">
        <f t="shared" si="50"/>
        <v>0.23157187500000731</v>
      </c>
      <c r="Y1060">
        <f>TREND(H1059:H1063,G1059:G1063,G1060)</f>
        <v>30.2879851405891</v>
      </c>
      <c r="Z1060">
        <f>ABS((Y1060-H1060)/80*100)</f>
        <v>0.12755955073637359</v>
      </c>
      <c r="AB1060">
        <f>IF(ABS(T1059) &gt; ABS(V1059),T1059,V1059)</f>
        <v>0.74710625000001585</v>
      </c>
      <c r="AH1060">
        <f>H1060-AG1010</f>
        <v>30.072630000000004</v>
      </c>
      <c r="AI1060">
        <f>100*(AH1060-O1060)/80</f>
        <v>8.9937500000010218E-2</v>
      </c>
      <c r="AN1060">
        <f>IF(ABS(AK1059) &gt; ABS(AM1059),AK1059,AM1059)</f>
        <v>0.60547187500002764</v>
      </c>
    </row>
    <row r="1061" spans="1:41" x14ac:dyDescent="0.35">
      <c r="A1061" t="s">
        <v>262</v>
      </c>
      <c r="B1061" t="s">
        <v>1111</v>
      </c>
      <c r="C1061" t="s">
        <v>2152</v>
      </c>
      <c r="D1061">
        <v>85</v>
      </c>
      <c r="E1061">
        <v>85</v>
      </c>
      <c r="F1061">
        <v>0</v>
      </c>
      <c r="G1061">
        <v>-4.6999999999999997E-5</v>
      </c>
      <c r="H1061">
        <v>50.267187499999999</v>
      </c>
      <c r="J1061">
        <v>18107</v>
      </c>
      <c r="N1061" t="s">
        <v>186</v>
      </c>
      <c r="O1061">
        <f t="shared" si="48"/>
        <v>49.99812</v>
      </c>
      <c r="P1061">
        <f t="shared" si="49"/>
        <v>0.33633437499999808</v>
      </c>
      <c r="Q1061">
        <f t="shared" si="50"/>
        <v>0.33633437499999808</v>
      </c>
      <c r="Y1061">
        <f>TREND(H1059:H1063,G1059:G1063,G1061)</f>
        <v>50.372929564118721</v>
      </c>
      <c r="Z1061">
        <f>ABS((Y1061-H1061)/80*100)</f>
        <v>0.13217758014840264</v>
      </c>
      <c r="AH1061">
        <f>H1061-AG1010</f>
        <v>50.153880000000001</v>
      </c>
      <c r="AI1061">
        <f>100*(AH1061-O1061)/80</f>
        <v>0.19470000000000098</v>
      </c>
    </row>
    <row r="1062" spans="1:41" x14ac:dyDescent="0.35">
      <c r="A1062" t="s">
        <v>262</v>
      </c>
      <c r="B1062" t="s">
        <v>1111</v>
      </c>
      <c r="C1062" t="s">
        <v>2189</v>
      </c>
      <c r="D1062">
        <v>85</v>
      </c>
      <c r="E1062">
        <v>85</v>
      </c>
      <c r="F1062">
        <v>0.5</v>
      </c>
      <c r="G1062">
        <v>0.499884</v>
      </c>
      <c r="H1062">
        <v>70.498437499999994</v>
      </c>
      <c r="J1062">
        <v>18131</v>
      </c>
      <c r="N1062" t="s">
        <v>186</v>
      </c>
      <c r="O1062">
        <f t="shared" si="48"/>
        <v>69.995360000000005</v>
      </c>
      <c r="P1062">
        <f t="shared" si="49"/>
        <v>0.62884687499998648</v>
      </c>
      <c r="Q1062">
        <f t="shared" si="50"/>
        <v>0.62884687499998648</v>
      </c>
      <c r="Y1062">
        <f>TREND(H1059:H1063,G1059:G1063,G1062)</f>
        <v>70.457673112492088</v>
      </c>
      <c r="Z1062">
        <f>ABS((Y1062-H1062)/80*100)</f>
        <v>5.095548438488251E-2</v>
      </c>
      <c r="AH1062">
        <f>H1062-AG1010</f>
        <v>70.385130000000004</v>
      </c>
      <c r="AI1062">
        <f>100*(AH1062-O1062)/80</f>
        <v>0.48721249999999827</v>
      </c>
    </row>
    <row r="1063" spans="1:41" x14ac:dyDescent="0.35">
      <c r="A1063" t="s">
        <v>262</v>
      </c>
      <c r="B1063" t="s">
        <v>1111</v>
      </c>
      <c r="C1063" t="s">
        <v>2225</v>
      </c>
      <c r="D1063">
        <v>85</v>
      </c>
      <c r="E1063">
        <v>85</v>
      </c>
      <c r="F1063">
        <v>1</v>
      </c>
      <c r="G1063">
        <v>1.0001359999999999</v>
      </c>
      <c r="H1063">
        <v>90.603125000000006</v>
      </c>
      <c r="J1063">
        <v>18155</v>
      </c>
      <c r="N1063" t="s">
        <v>186</v>
      </c>
      <c r="O1063">
        <f t="shared" si="48"/>
        <v>90.005439999999993</v>
      </c>
      <c r="P1063">
        <f t="shared" si="49"/>
        <v>0.74710625000001585</v>
      </c>
      <c r="Q1063">
        <f t="shared" si="50"/>
        <v>0.74710625000001585</v>
      </c>
      <c r="Y1063">
        <f>TREND(H1059:H1063,G1059:G1063,G1063)</f>
        <v>90.555312845897035</v>
      </c>
      <c r="Z1063">
        <f>ABS((Y1063-H1063)/80*100)</f>
        <v>5.9765192628713493E-2</v>
      </c>
      <c r="AH1063">
        <f>H1063-AG1010</f>
        <v>90.489817500000015</v>
      </c>
      <c r="AI1063">
        <f>100*(AH1063-O1063)/80</f>
        <v>0.60547187500002764</v>
      </c>
    </row>
    <row r="1064" spans="1:41" x14ac:dyDescent="0.35">
      <c r="A1064" t="s">
        <v>262</v>
      </c>
      <c r="B1064" t="s">
        <v>1111</v>
      </c>
      <c r="C1064" t="s">
        <v>2262</v>
      </c>
      <c r="D1064">
        <v>85</v>
      </c>
      <c r="E1064">
        <v>85</v>
      </c>
      <c r="F1064">
        <v>0</v>
      </c>
      <c r="G1064">
        <v>9.9999999999999995E-7</v>
      </c>
      <c r="H1064">
        <v>50.301562500000003</v>
      </c>
      <c r="J1064">
        <v>18179</v>
      </c>
      <c r="N1064" t="s">
        <v>186</v>
      </c>
      <c r="O1064">
        <f t="shared" si="48"/>
        <v>50.000039999999998</v>
      </c>
      <c r="P1064">
        <f t="shared" si="49"/>
        <v>0.37690312500000545</v>
      </c>
      <c r="Q1064">
        <f t="shared" si="50"/>
        <v>0.37690312500000545</v>
      </c>
      <c r="Y1064">
        <f>TREND(H1059:H1063,G1059:G1063,G1064)</f>
        <v>50.374857965618773</v>
      </c>
      <c r="Z1064">
        <f>ABS((Y1064-H1064)/80*100)</f>
        <v>9.1619332023462619E-2</v>
      </c>
      <c r="AH1064">
        <f>H1064-AG1010</f>
        <v>50.188255000000005</v>
      </c>
      <c r="AI1064">
        <f>100*(AH1064-O1064)/80</f>
        <v>0.23526875000000835</v>
      </c>
    </row>
    <row r="1065" spans="1:41" x14ac:dyDescent="0.35">
      <c r="A1065" t="s">
        <v>262</v>
      </c>
      <c r="B1065" t="s">
        <v>1111</v>
      </c>
      <c r="C1065" t="s">
        <v>2299</v>
      </c>
      <c r="D1065">
        <v>85</v>
      </c>
      <c r="E1065">
        <v>85</v>
      </c>
      <c r="F1065">
        <v>-1</v>
      </c>
      <c r="G1065">
        <v>-1.0004839999999999</v>
      </c>
      <c r="H1065">
        <v>10.1640625</v>
      </c>
      <c r="J1065">
        <v>18194</v>
      </c>
      <c r="N1065" t="s">
        <v>186</v>
      </c>
      <c r="O1065">
        <f t="shared" si="48"/>
        <v>9.9806400000000028</v>
      </c>
      <c r="P1065">
        <f t="shared" si="49"/>
        <v>0.22927812499999645</v>
      </c>
      <c r="Q1065">
        <f t="shared" si="50"/>
        <v>0.22927812499999645</v>
      </c>
      <c r="Y1065">
        <f>TREND(H1059:H1063,G1059:G1063,G1065)</f>
        <v>10.180341824402639</v>
      </c>
      <c r="Z1065">
        <f>ABS((Y1065-H1065)/80*100)</f>
        <v>2.0349155503298633E-2</v>
      </c>
      <c r="AH1065">
        <f>H1065-AG1010</f>
        <v>10.050755000000002</v>
      </c>
      <c r="AI1065">
        <f>100*(AH1065-O1065)/80</f>
        <v>8.7643749999999354E-2</v>
      </c>
    </row>
    <row r="1066" spans="1:41" x14ac:dyDescent="0.35">
      <c r="A1066" t="s">
        <v>262</v>
      </c>
      <c r="B1066" t="s">
        <v>1111</v>
      </c>
      <c r="C1066" t="s">
        <v>2336</v>
      </c>
      <c r="D1066">
        <v>25</v>
      </c>
      <c r="E1066">
        <v>25</v>
      </c>
      <c r="F1066">
        <v>-1</v>
      </c>
      <c r="G1066">
        <v>-1.0003770000000001</v>
      </c>
      <c r="H1066">
        <v>10.125</v>
      </c>
      <c r="J1066">
        <v>-5291</v>
      </c>
      <c r="N1066" t="s">
        <v>186</v>
      </c>
      <c r="O1066">
        <f t="shared" si="48"/>
        <v>9.9849199999999971</v>
      </c>
      <c r="P1066">
        <f t="shared" si="49"/>
        <v>0.17510000000000359</v>
      </c>
      <c r="Q1066">
        <f t="shared" si="50"/>
        <v>0.17510000000000359</v>
      </c>
      <c r="S1066">
        <v>49.9765625</v>
      </c>
      <c r="T1066">
        <v>-2.3646875000000733E-2</v>
      </c>
      <c r="U1066">
        <v>90.368750000000006</v>
      </c>
      <c r="V1066">
        <v>0.46028750000001395</v>
      </c>
      <c r="W1066">
        <v>80.243751525878906</v>
      </c>
      <c r="X1066">
        <f>(W1066-80)/80*100</f>
        <v>0.30468940734863281</v>
      </c>
      <c r="Y1066">
        <f>TREND(H1066:H1070,G1066:G1070,G1066)</f>
        <v>9.9928160329825886</v>
      </c>
      <c r="Z1066">
        <f>ABS((Y1066-H1066)/80*100)</f>
        <v>0.16522995877176427</v>
      </c>
      <c r="AA1066">
        <f>MAX(Z1066:Z1070)</f>
        <v>0.19822878663323884</v>
      </c>
      <c r="AB1066">
        <f>IF(ABS(MAX(P1066:P1072)) &gt; ABS(MIN(P1066:P1072)),MAX(P1066:P1072), MIN(P1066:P1072))</f>
        <v>0.46028750000001395</v>
      </c>
      <c r="AC1066">
        <f>IF(ABS(AB1067)&gt;ABS(AB1066),AB1067,AB1066)</f>
        <v>0.46028750000001395</v>
      </c>
      <c r="AH1066">
        <f>H1066-AG1010</f>
        <v>10.011692500000002</v>
      </c>
      <c r="AI1066">
        <f>100*(AH1066-O1066)/80</f>
        <v>3.3465625000006494E-2</v>
      </c>
      <c r="AJ1066">
        <v>49.863255000000002</v>
      </c>
      <c r="AK1066">
        <v>-0.16528124999999783</v>
      </c>
      <c r="AL1066">
        <v>90.255442500000015</v>
      </c>
      <c r="AM1066">
        <v>0.31865312500002574</v>
      </c>
      <c r="AN1066">
        <f>IF(ABS(MAX(AI1066:AI1072)) &gt; ABS(MIN(AI1066:AI1072)),MAX(AI1066:AI1072), MIN(AI1066:AI1072))</f>
        <v>0.31865312500002574</v>
      </c>
      <c r="AO1066">
        <f>IF(ABS(AN1067)&gt;ABS(AN1066),AN1067,AN1066)</f>
        <v>0.31865312500002574</v>
      </c>
    </row>
    <row r="1067" spans="1:41" x14ac:dyDescent="0.35">
      <c r="A1067" t="s">
        <v>262</v>
      </c>
      <c r="B1067" t="s">
        <v>1111</v>
      </c>
      <c r="C1067" t="s">
        <v>2372</v>
      </c>
      <c r="D1067">
        <v>25</v>
      </c>
      <c r="E1067">
        <v>25</v>
      </c>
      <c r="F1067">
        <v>-0.5</v>
      </c>
      <c r="G1067">
        <v>-0.500197</v>
      </c>
      <c r="H1067">
        <v>29.995312500000001</v>
      </c>
      <c r="J1067">
        <v>-5355</v>
      </c>
      <c r="N1067" t="s">
        <v>186</v>
      </c>
      <c r="O1067">
        <f t="shared" si="48"/>
        <v>29.99212</v>
      </c>
      <c r="P1067">
        <f t="shared" si="49"/>
        <v>3.9906250000010246E-3</v>
      </c>
      <c r="Q1067">
        <f t="shared" si="50"/>
        <v>3.9906250000010246E-3</v>
      </c>
      <c r="Y1067">
        <f>TREND(H1066:H1070,G1066:G1070,G1067)</f>
        <v>30.065907104411071</v>
      </c>
      <c r="Z1067">
        <f>ABS((Y1067-H1067)/80*100)</f>
        <v>8.8243255513837937E-2</v>
      </c>
      <c r="AB1067">
        <f>IF(ABS(T1066) &gt; ABS(V1066),T1066,V1066)</f>
        <v>0.46028750000001395</v>
      </c>
      <c r="AH1067">
        <f>H1067-AG1010</f>
        <v>29.882005000000003</v>
      </c>
      <c r="AI1067">
        <f>100*(AH1067-O1067)/80</f>
        <v>-0.13764374999999607</v>
      </c>
      <c r="AN1067">
        <f>IF(ABS(AK1066) &gt; ABS(AM1066),AK1066,AM1066)</f>
        <v>0.31865312500002574</v>
      </c>
    </row>
    <row r="1068" spans="1:41" x14ac:dyDescent="0.35">
      <c r="A1068" t="s">
        <v>262</v>
      </c>
      <c r="B1068" t="s">
        <v>1111</v>
      </c>
      <c r="C1068" t="s">
        <v>2409</v>
      </c>
      <c r="D1068">
        <v>25</v>
      </c>
      <c r="E1068">
        <v>25</v>
      </c>
      <c r="F1068">
        <v>0</v>
      </c>
      <c r="G1068">
        <v>-1.13E-4</v>
      </c>
      <c r="H1068">
        <v>49.9765625</v>
      </c>
      <c r="J1068">
        <v>-5424</v>
      </c>
      <c r="N1068" t="s">
        <v>186</v>
      </c>
      <c r="O1068">
        <f t="shared" si="48"/>
        <v>49.995480000000001</v>
      </c>
      <c r="P1068">
        <f t="shared" si="49"/>
        <v>-2.3646875000000733E-2</v>
      </c>
      <c r="Q1068">
        <f t="shared" si="50"/>
        <v>2.3646875000000733E-2</v>
      </c>
      <c r="Y1068">
        <f>TREND(H1066:H1070,G1066:G1070,G1068)</f>
        <v>50.135145529306591</v>
      </c>
      <c r="Z1068">
        <f>ABS((Y1068-H1068)/80*100)</f>
        <v>0.19822878663323884</v>
      </c>
      <c r="AH1068">
        <f>H1068-AG1010</f>
        <v>49.863255000000002</v>
      </c>
      <c r="AI1068">
        <f>100*(AH1068-O1068)/80</f>
        <v>-0.16528124999999783</v>
      </c>
    </row>
    <row r="1069" spans="1:41" x14ac:dyDescent="0.35">
      <c r="A1069" t="s">
        <v>262</v>
      </c>
      <c r="B1069" t="s">
        <v>1111</v>
      </c>
      <c r="C1069" t="s">
        <v>2446</v>
      </c>
      <c r="D1069">
        <v>25</v>
      </c>
      <c r="E1069">
        <v>25</v>
      </c>
      <c r="F1069">
        <v>0.5</v>
      </c>
      <c r="G1069">
        <v>0.50001300000000004</v>
      </c>
      <c r="H1069">
        <v>70.206249999999997</v>
      </c>
      <c r="J1069">
        <v>-5479</v>
      </c>
      <c r="N1069" t="s">
        <v>186</v>
      </c>
      <c r="O1069">
        <f t="shared" si="48"/>
        <v>70.000519999999995</v>
      </c>
      <c r="P1069">
        <f t="shared" si="49"/>
        <v>0.25716250000000329</v>
      </c>
      <c r="Q1069">
        <f t="shared" si="50"/>
        <v>0.25716250000000329</v>
      </c>
      <c r="Y1069">
        <f>TREND(H1066:H1070,G1066:G1070,G1069)</f>
        <v>70.206069487060276</v>
      </c>
      <c r="Z1069">
        <f>ABS((Y1069-H1069)/80*100)</f>
        <v>2.2564117465151409E-4</v>
      </c>
      <c r="AH1069">
        <f>H1069-AG1010</f>
        <v>70.092942499999992</v>
      </c>
      <c r="AI1069">
        <f>100*(AH1069-O1069)/80</f>
        <v>0.11552812499999732</v>
      </c>
    </row>
    <row r="1070" spans="1:41" x14ac:dyDescent="0.35">
      <c r="A1070" t="s">
        <v>262</v>
      </c>
      <c r="B1070" t="s">
        <v>1111</v>
      </c>
      <c r="C1070" t="s">
        <v>2483</v>
      </c>
      <c r="D1070">
        <v>25</v>
      </c>
      <c r="E1070">
        <v>25</v>
      </c>
      <c r="F1070">
        <v>1</v>
      </c>
      <c r="G1070">
        <v>1.000013</v>
      </c>
      <c r="H1070">
        <v>90.368750000000006</v>
      </c>
      <c r="J1070">
        <v>-5529</v>
      </c>
      <c r="N1070" t="s">
        <v>186</v>
      </c>
      <c r="O1070">
        <f t="shared" si="48"/>
        <v>90.000519999999995</v>
      </c>
      <c r="P1070">
        <f t="shared" si="49"/>
        <v>0.46028750000001395</v>
      </c>
      <c r="Q1070">
        <f t="shared" si="50"/>
        <v>0.46028750000001395</v>
      </c>
      <c r="Y1070">
        <f>TREND(H1066:H1070,G1066:G1070,G1070)</f>
        <v>90.271936846239456</v>
      </c>
      <c r="Z1070">
        <f>ABS((Y1070-H1070)/80*100)</f>
        <v>0.12101644220068764</v>
      </c>
      <c r="AH1070">
        <f>H1070-AG1010</f>
        <v>90.255442500000015</v>
      </c>
      <c r="AI1070">
        <f>100*(AH1070-O1070)/80</f>
        <v>0.31865312500002574</v>
      </c>
    </row>
    <row r="1071" spans="1:41" x14ac:dyDescent="0.35">
      <c r="A1071" t="s">
        <v>262</v>
      </c>
      <c r="B1071" t="s">
        <v>1111</v>
      </c>
      <c r="C1071" t="s">
        <v>2519</v>
      </c>
      <c r="D1071">
        <v>25</v>
      </c>
      <c r="E1071">
        <v>25</v>
      </c>
      <c r="F1071">
        <v>0</v>
      </c>
      <c r="G1071">
        <v>-2.2699999999999999E-4</v>
      </c>
      <c r="H1071">
        <v>50.026562499999997</v>
      </c>
      <c r="J1071">
        <v>-5581</v>
      </c>
      <c r="N1071" t="s">
        <v>186</v>
      </c>
      <c r="O1071">
        <f t="shared" si="48"/>
        <v>49.990920000000003</v>
      </c>
      <c r="P1071">
        <f t="shared" si="49"/>
        <v>4.4553124999993088E-2</v>
      </c>
      <c r="Q1071">
        <f t="shared" si="50"/>
        <v>4.4553124999993088E-2</v>
      </c>
      <c r="Y1071">
        <f>TREND(H1066:H1070,G1066:G1070,G1071)</f>
        <v>50.130570511548697</v>
      </c>
      <c r="Z1071">
        <f>ABS((Y1071-H1071)/80*100)</f>
        <v>0.13001001443587512</v>
      </c>
      <c r="AH1071">
        <f>H1071-AG1010</f>
        <v>49.913254999999999</v>
      </c>
      <c r="AI1071">
        <f>100*(AH1071-O1071)/80</f>
        <v>-9.7081250000004005E-2</v>
      </c>
    </row>
    <row r="1072" spans="1:41" x14ac:dyDescent="0.35">
      <c r="A1072" t="s">
        <v>262</v>
      </c>
      <c r="B1072" t="s">
        <v>1111</v>
      </c>
      <c r="C1072" t="s">
        <v>2554</v>
      </c>
      <c r="D1072">
        <v>25</v>
      </c>
      <c r="E1072">
        <v>25</v>
      </c>
      <c r="F1072">
        <v>-1</v>
      </c>
      <c r="G1072">
        <v>-0.99977099999999997</v>
      </c>
      <c r="H1072">
        <v>10.050000000000001</v>
      </c>
      <c r="J1072">
        <v>-5629</v>
      </c>
      <c r="N1072" t="s">
        <v>186</v>
      </c>
      <c r="O1072">
        <f t="shared" si="48"/>
        <v>10.009160000000001</v>
      </c>
      <c r="P1072">
        <f t="shared" si="49"/>
        <v>5.1049999999999152E-2</v>
      </c>
      <c r="Q1072">
        <f t="shared" si="50"/>
        <v>5.1049999999999152E-2</v>
      </c>
      <c r="Y1072">
        <f>TREND(H1066:H1070,G1066:G1070,G1072)</f>
        <v>10.01713586422192</v>
      </c>
      <c r="Z1072">
        <f>ABS((Y1072-H1072)/80*100)</f>
        <v>4.1080169722600424E-2</v>
      </c>
      <c r="AH1072">
        <f>H1072-AG1010</f>
        <v>9.936692500000003</v>
      </c>
      <c r="AI1072">
        <f>100*(AH1072-O1072)/80</f>
        <v>-9.0584374999997941E-2</v>
      </c>
    </row>
    <row r="1073" spans="1:41" x14ac:dyDescent="0.35">
      <c r="A1073" t="s">
        <v>264</v>
      </c>
      <c r="B1073" t="s">
        <v>231</v>
      </c>
      <c r="C1073" t="s">
        <v>265</v>
      </c>
      <c r="D1073">
        <v>25</v>
      </c>
      <c r="E1073">
        <v>25</v>
      </c>
      <c r="F1073">
        <v>-1</v>
      </c>
      <c r="G1073">
        <v>-1.000232</v>
      </c>
      <c r="H1073">
        <v>10.0140625</v>
      </c>
      <c r="J1073">
        <v>-6310</v>
      </c>
      <c r="N1073" t="s">
        <v>187</v>
      </c>
      <c r="O1073">
        <f t="shared" si="48"/>
        <v>9.9907199999999996</v>
      </c>
      <c r="P1073">
        <f t="shared" si="49"/>
        <v>2.9178125000000055E-2</v>
      </c>
      <c r="Q1073">
        <f t="shared" si="50"/>
        <v>2.9178125000000055E-2</v>
      </c>
      <c r="S1073">
        <v>49.901562499999997</v>
      </c>
      <c r="T1073">
        <v>-0.13094687500000646</v>
      </c>
      <c r="U1073">
        <v>90.184375000000003</v>
      </c>
      <c r="V1073">
        <v>0.22521875000000691</v>
      </c>
      <c r="W1073">
        <v>80.170309448242193</v>
      </c>
      <c r="X1073">
        <f>(W1073-80)/80*100</f>
        <v>0.21288681030274145</v>
      </c>
      <c r="Y1073">
        <f>TREND(H1073:H1077,G1073:G1077,G1073)</f>
        <v>9.8877528517882425</v>
      </c>
      <c r="Z1073">
        <f>ABS((Y1073-H1073)/80*100)</f>
        <v>0.15788706026469645</v>
      </c>
      <c r="AA1073">
        <f>MAX(Z1073:Z1077)</f>
        <v>0.15788706026469645</v>
      </c>
      <c r="AB1073">
        <f>IF(ABS(MAX(P1073:P1079)) &gt; ABS(MIN(P1073:P1079)),MAX(P1073:P1079), MIN(P1073:P1079))</f>
        <v>0.22521875000000691</v>
      </c>
      <c r="AC1073">
        <f>IF(ABS(AB1074)&gt;ABS(AB1073),AB1074,AB1073)</f>
        <v>0.22521875000000691</v>
      </c>
      <c r="AD1073">
        <f>MAX(AD1074:AD1075)</f>
        <v>5.2387500000001808E-2</v>
      </c>
      <c r="AE1073">
        <f>MAX(AE1074:AE1094)</f>
        <v>0.24108125000000369</v>
      </c>
      <c r="AF1073">
        <f>MAX(AD1073,AA1073)</f>
        <v>0.15788706026469645</v>
      </c>
      <c r="AG1073">
        <f>H1075-O1075</f>
        <v>-0.10475750000000517</v>
      </c>
      <c r="AH1073">
        <f>H1073-AG1073</f>
        <v>10.118820000000005</v>
      </c>
      <c r="AI1073">
        <f>100*(AH1073-O1073)/80</f>
        <v>0.16012500000000651</v>
      </c>
      <c r="AJ1073">
        <v>50.006320000000002</v>
      </c>
      <c r="AK1073">
        <v>0</v>
      </c>
      <c r="AL1073">
        <v>90.289132500000008</v>
      </c>
      <c r="AM1073">
        <v>0.35616562500001336</v>
      </c>
      <c r="AN1073">
        <f>IF(ABS(MAX(AI1073:AI1079)) &gt; ABS(MIN(AI1073:AI1079)),MAX(AI1073:AI1079), MIN(AI1073:AI1079))</f>
        <v>0.35616562500001336</v>
      </c>
      <c r="AO1073">
        <f>IF(ABS(AN1074)&gt;ABS(AN1073),AN1074,AN1073)</f>
        <v>0.35616562500001336</v>
      </c>
    </row>
    <row r="1074" spans="1:41" x14ac:dyDescent="0.35">
      <c r="A1074" t="s">
        <v>264</v>
      </c>
      <c r="B1074" t="s">
        <v>231</v>
      </c>
      <c r="C1074" t="s">
        <v>323</v>
      </c>
      <c r="D1074">
        <v>25</v>
      </c>
      <c r="E1074">
        <v>25</v>
      </c>
      <c r="F1074">
        <v>-0.5</v>
      </c>
      <c r="G1074">
        <v>-0.50031300000000001</v>
      </c>
      <c r="H1074">
        <v>29.837499999999999</v>
      </c>
      <c r="J1074">
        <v>-6305</v>
      </c>
      <c r="N1074" t="s">
        <v>187</v>
      </c>
      <c r="O1074">
        <f t="shared" si="48"/>
        <v>29.987479999999998</v>
      </c>
      <c r="P1074">
        <f t="shared" si="49"/>
        <v>-0.18747499999999917</v>
      </c>
      <c r="Q1074">
        <f t="shared" si="50"/>
        <v>0.18747499999999917</v>
      </c>
      <c r="Y1074">
        <f>TREND(H1073:H1077,G1073:G1077,G1074)</f>
        <v>29.932123902188735</v>
      </c>
      <c r="Z1074">
        <f>ABS((Y1074-H1074)/80*100)</f>
        <v>0.11827987773592064</v>
      </c>
      <c r="AB1074">
        <f>IF(ABS(T1073) &gt; ABS(V1073),T1073,V1073)</f>
        <v>0.22521875000000691</v>
      </c>
      <c r="AD1074">
        <f>ABS(P1075-P1078)</f>
        <v>5.2387500000001808E-2</v>
      </c>
      <c r="AE1074">
        <f>ABS(P1101-P1073)</f>
        <v>2.4862499999995791E-2</v>
      </c>
      <c r="AH1074">
        <f>H1074-AG1073</f>
        <v>29.942257500000004</v>
      </c>
      <c r="AI1074">
        <f>100*(AH1074-O1074)/80</f>
        <v>-5.6528124999992713E-2</v>
      </c>
      <c r="AN1074">
        <f>IF(ABS(AK1073) &gt; ABS(AM1073),AK1073,AM1073)</f>
        <v>0.35616562500001336</v>
      </c>
    </row>
    <row r="1075" spans="1:41" x14ac:dyDescent="0.35">
      <c r="A1075" t="s">
        <v>264</v>
      </c>
      <c r="B1075" t="s">
        <v>231</v>
      </c>
      <c r="C1075" t="s">
        <v>360</v>
      </c>
      <c r="D1075">
        <v>25</v>
      </c>
      <c r="E1075">
        <v>25</v>
      </c>
      <c r="F1075">
        <v>0</v>
      </c>
      <c r="G1075">
        <v>1.5799999999999999E-4</v>
      </c>
      <c r="H1075">
        <v>49.901562499999997</v>
      </c>
      <c r="J1075">
        <v>-6297</v>
      </c>
      <c r="N1075" t="s">
        <v>187</v>
      </c>
      <c r="O1075">
        <f t="shared" si="48"/>
        <v>50.006320000000002</v>
      </c>
      <c r="P1075">
        <f t="shared" si="49"/>
        <v>-0.13094687500000646</v>
      </c>
      <c r="Q1075">
        <f t="shared" si="50"/>
        <v>0.13094687500000646</v>
      </c>
      <c r="Y1075">
        <f>TREND(H1073:H1077,G1073:G1077,G1075)</f>
        <v>49.998627523705387</v>
      </c>
      <c r="Z1075">
        <f>ABS((Y1075-H1075)/80*100)</f>
        <v>0.12133127963173784</v>
      </c>
      <c r="AD1075">
        <f>ABS(P1073-P1079)</f>
        <v>4.3546874999997875E-2</v>
      </c>
      <c r="AE1075">
        <f>ABS(P1102-P1074)</f>
        <v>7.9696875000001555E-2</v>
      </c>
      <c r="AH1075">
        <f>H1075-AG1073</f>
        <v>50.006320000000002</v>
      </c>
      <c r="AI1075">
        <f>100*(AH1075-O1075)/80</f>
        <v>0</v>
      </c>
    </row>
    <row r="1076" spans="1:41" x14ac:dyDescent="0.35">
      <c r="A1076" t="s">
        <v>264</v>
      </c>
      <c r="B1076" t="s">
        <v>231</v>
      </c>
      <c r="C1076" t="s">
        <v>396</v>
      </c>
      <c r="D1076">
        <v>25</v>
      </c>
      <c r="E1076">
        <v>25</v>
      </c>
      <c r="F1076">
        <v>0.5</v>
      </c>
      <c r="G1076">
        <v>0.50015200000000004</v>
      </c>
      <c r="H1076">
        <v>70.018749999999997</v>
      </c>
      <c r="J1076">
        <v>-6297</v>
      </c>
      <c r="N1076" t="s">
        <v>187</v>
      </c>
      <c r="O1076">
        <f t="shared" si="48"/>
        <v>70.006079999999997</v>
      </c>
      <c r="P1076">
        <f t="shared" si="49"/>
        <v>1.5837499999999949E-2</v>
      </c>
      <c r="Q1076">
        <f t="shared" si="50"/>
        <v>1.5837499999999949E-2</v>
      </c>
      <c r="Y1076">
        <f>TREND(H1073:H1077,G1073:G1077,G1076)</f>
        <v>70.046005716920575</v>
      </c>
      <c r="Z1076">
        <f>ABS((Y1076-H1076)/80*100)</f>
        <v>3.4069646150722832E-2</v>
      </c>
      <c r="AE1076">
        <f>ABS(P1103-P1075)</f>
        <v>8.6271875000010212E-2</v>
      </c>
      <c r="AH1076">
        <f>H1076-AG1073</f>
        <v>70.123507500000002</v>
      </c>
      <c r="AI1076">
        <f>100*(AH1076-O1076)/80</f>
        <v>0.14678437500000641</v>
      </c>
    </row>
    <row r="1077" spans="1:41" x14ac:dyDescent="0.35">
      <c r="A1077" t="s">
        <v>264</v>
      </c>
      <c r="B1077" t="s">
        <v>231</v>
      </c>
      <c r="C1077" t="s">
        <v>434</v>
      </c>
      <c r="D1077">
        <v>25</v>
      </c>
      <c r="E1077">
        <v>25</v>
      </c>
      <c r="F1077">
        <v>1</v>
      </c>
      <c r="G1077">
        <v>1.000105</v>
      </c>
      <c r="H1077">
        <v>90.184375000000003</v>
      </c>
      <c r="J1077">
        <v>-6299</v>
      </c>
      <c r="N1077" t="s">
        <v>187</v>
      </c>
      <c r="O1077">
        <f t="shared" si="48"/>
        <v>90.004199999999997</v>
      </c>
      <c r="P1077">
        <f t="shared" si="49"/>
        <v>0.22521875000000691</v>
      </c>
      <c r="Q1077">
        <f t="shared" si="50"/>
        <v>0.22521875000000691</v>
      </c>
      <c r="Y1077">
        <f>TREND(H1073:H1077,G1073:G1077,G1077)</f>
        <v>90.091740005397071</v>
      </c>
      <c r="Z1077">
        <f>ABS((Y1077-H1077)/80*100)</f>
        <v>0.11579374325366489</v>
      </c>
      <c r="AE1077">
        <f>ABS(P1104-P1076)</f>
        <v>0.12178750000000349</v>
      </c>
      <c r="AH1077">
        <f>H1077-AG1073</f>
        <v>90.289132500000008</v>
      </c>
      <c r="AI1077">
        <f>100*(AH1077-O1077)/80</f>
        <v>0.35616562500001336</v>
      </c>
    </row>
    <row r="1078" spans="1:41" x14ac:dyDescent="0.35">
      <c r="A1078" t="s">
        <v>264</v>
      </c>
      <c r="B1078" t="s">
        <v>231</v>
      </c>
      <c r="C1078" t="s">
        <v>470</v>
      </c>
      <c r="D1078">
        <v>25</v>
      </c>
      <c r="E1078">
        <v>25</v>
      </c>
      <c r="F1078">
        <v>0</v>
      </c>
      <c r="G1078">
        <v>2.04E-4</v>
      </c>
      <c r="H1078">
        <v>49.9453125</v>
      </c>
      <c r="J1078">
        <v>-6292</v>
      </c>
      <c r="N1078" t="s">
        <v>187</v>
      </c>
      <c r="O1078">
        <f t="shared" si="48"/>
        <v>50.008160000000004</v>
      </c>
      <c r="P1078">
        <f t="shared" si="49"/>
        <v>-7.855937500000465E-2</v>
      </c>
      <c r="Q1078">
        <f t="shared" si="50"/>
        <v>7.855937500000465E-2</v>
      </c>
      <c r="Y1078">
        <f>TREND(H1073:H1077,G1073:G1077,G1078)</f>
        <v>50.000471904631738</v>
      </c>
      <c r="Z1078">
        <f>ABS((Y1078-H1078)/80*100)</f>
        <v>6.8949255789672037E-2</v>
      </c>
      <c r="AE1078">
        <f>ABS(P1105-P1077)</f>
        <v>6.7653125000006753E-2</v>
      </c>
      <c r="AH1078">
        <f>H1078-AG1073</f>
        <v>50.050070000000005</v>
      </c>
      <c r="AI1078">
        <f>100*(AH1078-O1078)/80</f>
        <v>5.2387500000001808E-2</v>
      </c>
    </row>
    <row r="1079" spans="1:41" x14ac:dyDescent="0.35">
      <c r="A1079" t="s">
        <v>264</v>
      </c>
      <c r="B1079" t="s">
        <v>231</v>
      </c>
      <c r="C1079" t="s">
        <v>508</v>
      </c>
      <c r="D1079">
        <v>25</v>
      </c>
      <c r="E1079">
        <v>25</v>
      </c>
      <c r="F1079">
        <v>-1</v>
      </c>
      <c r="G1079">
        <v>-0.99994700000000003</v>
      </c>
      <c r="H1079">
        <v>9.9906249999999996</v>
      </c>
      <c r="J1079">
        <v>-6290</v>
      </c>
      <c r="N1079" t="s">
        <v>187</v>
      </c>
      <c r="O1079">
        <f t="shared" si="48"/>
        <v>10.002119999999998</v>
      </c>
      <c r="P1079">
        <f t="shared" si="49"/>
        <v>-1.4368749999997821E-2</v>
      </c>
      <c r="Q1079">
        <f t="shared" si="50"/>
        <v>1.4368749999997821E-2</v>
      </c>
      <c r="Y1079">
        <f>TREND(H1073:H1077,G1073:G1077,G1079)</f>
        <v>9.8991799944840935</v>
      </c>
      <c r="Z1079">
        <f>ABS((Y1079-H1079)/80*100)</f>
        <v>0.1143062568948827</v>
      </c>
      <c r="AE1079">
        <f>ABS(P1106-P1078)</f>
        <v>3.1306250000007196E-2</v>
      </c>
      <c r="AH1079">
        <f>H1079-AG1073</f>
        <v>10.095382500000005</v>
      </c>
      <c r="AI1079">
        <f>100*(AH1079-O1079)/80</f>
        <v>0.11657812500000864</v>
      </c>
    </row>
    <row r="1080" spans="1:41" x14ac:dyDescent="0.35">
      <c r="A1080" t="s">
        <v>264</v>
      </c>
      <c r="B1080" t="s">
        <v>231</v>
      </c>
      <c r="C1080" t="s">
        <v>545</v>
      </c>
      <c r="D1080">
        <v>-20</v>
      </c>
      <c r="E1080">
        <v>-20.2</v>
      </c>
      <c r="F1080">
        <v>-1</v>
      </c>
      <c r="G1080">
        <v>-1.0001640000000001</v>
      </c>
      <c r="H1080">
        <v>10.271875</v>
      </c>
      <c r="J1080">
        <v>-24405</v>
      </c>
      <c r="N1080" t="s">
        <v>187</v>
      </c>
      <c r="O1080">
        <f t="shared" si="48"/>
        <v>9.9934399999999979</v>
      </c>
      <c r="P1080">
        <f t="shared" si="49"/>
        <v>0.34804375000000221</v>
      </c>
      <c r="Q1080">
        <f t="shared" si="50"/>
        <v>0.34804375000000221</v>
      </c>
      <c r="S1080">
        <v>50.2265625</v>
      </c>
      <c r="T1080">
        <v>0.29785312499999606</v>
      </c>
      <c r="U1080">
        <v>90.328125</v>
      </c>
      <c r="V1080">
        <v>0.4069562499999968</v>
      </c>
      <c r="W1080">
        <v>80.056250000000006</v>
      </c>
      <c r="X1080">
        <f>(W1080-80)/80*100</f>
        <v>7.0312500000007105E-2</v>
      </c>
      <c r="Y1080">
        <f>TREND(H1080:H1084,G1080:G1084,G1080)</f>
        <v>10.193362411892394</v>
      </c>
      <c r="Z1080">
        <f>ABS((Y1080-H1080)/80*100)</f>
        <v>9.8140735134506496E-2</v>
      </c>
      <c r="AA1080">
        <f>MAX(Z1080:Z1084)</f>
        <v>0.17178289002014679</v>
      </c>
      <c r="AB1080">
        <f>IF(ABS(MAX(P1080:P1086)) &gt; ABS(MIN(P1080:P1086)),MAX(P1080:P1086), MIN(P1080:P1086))</f>
        <v>0.48381562499999697</v>
      </c>
      <c r="AC1080">
        <f>IF(ABS(AB1081)&gt;ABS(AB1080),AB1081,AB1080)</f>
        <v>0.48381562499999697</v>
      </c>
      <c r="AE1080">
        <f>ABS(P1107-P1079)</f>
        <v>5.0431250000000372E-2</v>
      </c>
      <c r="AH1080">
        <f>H1080-AG1073</f>
        <v>10.376632500000005</v>
      </c>
      <c r="AI1080">
        <f>100*(AH1080-O1080)/80</f>
        <v>0.47899062500000866</v>
      </c>
      <c r="AJ1080">
        <v>50.331320000000005</v>
      </c>
      <c r="AK1080">
        <v>0.42880000000000251</v>
      </c>
      <c r="AL1080">
        <v>90.432882500000005</v>
      </c>
      <c r="AM1080">
        <v>0.53790312500000326</v>
      </c>
      <c r="AN1080">
        <f>IF(ABS(MAX(AI1080:AI1086)) &gt; ABS(MIN(AI1080:AI1086)),MAX(AI1080:AI1086), MIN(AI1080:AI1086))</f>
        <v>0.61476250000000343</v>
      </c>
      <c r="AO1080">
        <f>IF(ABS(AN1081)&gt;ABS(AN1080),AN1081,AN1080)</f>
        <v>0.61476250000000343</v>
      </c>
    </row>
    <row r="1081" spans="1:41" x14ac:dyDescent="0.35">
      <c r="A1081" t="s">
        <v>264</v>
      </c>
      <c r="B1081" t="s">
        <v>231</v>
      </c>
      <c r="C1081" t="s">
        <v>582</v>
      </c>
      <c r="D1081">
        <v>-20</v>
      </c>
      <c r="E1081">
        <v>-19.899999999999999</v>
      </c>
      <c r="F1081">
        <v>-0.5</v>
      </c>
      <c r="G1081">
        <v>-0.49986199999999997</v>
      </c>
      <c r="H1081">
        <v>30.131250000000001</v>
      </c>
      <c r="J1081">
        <v>-24446</v>
      </c>
      <c r="N1081" t="s">
        <v>187</v>
      </c>
      <c r="O1081">
        <f t="shared" si="48"/>
        <v>30.005519999999997</v>
      </c>
      <c r="P1081">
        <f t="shared" si="49"/>
        <v>0.15716250000000542</v>
      </c>
      <c r="Q1081">
        <f t="shared" si="50"/>
        <v>0.15716250000000542</v>
      </c>
      <c r="Y1081">
        <f>TREND(H1080:H1084,G1080:G1084,G1081)</f>
        <v>30.209858363368348</v>
      </c>
      <c r="Z1081">
        <f>ABS((Y1081-H1081)/80*100)</f>
        <v>9.8260454210432599E-2</v>
      </c>
      <c r="AB1081">
        <f>IF(ABS(T1080) &gt; ABS(V1080),T1080,V1080)</f>
        <v>0.4069562499999968</v>
      </c>
      <c r="AE1081">
        <f>ABS(P1129-P1073)</f>
        <v>0.12935624999999673</v>
      </c>
      <c r="AH1081">
        <f>H1081-AG1073</f>
        <v>30.236007500000007</v>
      </c>
      <c r="AI1081">
        <f>100*(AH1081-O1081)/80</f>
        <v>0.28810937500001188</v>
      </c>
      <c r="AN1081">
        <f>IF(ABS(AK1080) &gt; ABS(AM1080),AK1080,AM1080)</f>
        <v>0.53790312500000326</v>
      </c>
    </row>
    <row r="1082" spans="1:41" x14ac:dyDescent="0.35">
      <c r="A1082" t="s">
        <v>264</v>
      </c>
      <c r="B1082" t="s">
        <v>231</v>
      </c>
      <c r="C1082" t="s">
        <v>618</v>
      </c>
      <c r="D1082">
        <v>-20</v>
      </c>
      <c r="E1082">
        <v>-20.100000000000001</v>
      </c>
      <c r="F1082">
        <v>0</v>
      </c>
      <c r="G1082">
        <v>-2.9300000000000002E-4</v>
      </c>
      <c r="H1082">
        <v>50.2265625</v>
      </c>
      <c r="J1082">
        <v>-24485</v>
      </c>
      <c r="N1082" t="s">
        <v>187</v>
      </c>
      <c r="O1082">
        <f t="shared" si="48"/>
        <v>49.988280000000003</v>
      </c>
      <c r="P1082">
        <f t="shared" si="49"/>
        <v>0.29785312499999606</v>
      </c>
      <c r="Q1082">
        <f t="shared" si="50"/>
        <v>0.29785312499999606</v>
      </c>
      <c r="Y1082">
        <f>TREND(H1080:H1084,G1080:G1084,G1082)</f>
        <v>50.197027844967238</v>
      </c>
      <c r="Z1082">
        <f>ABS((Y1082-H1082)/80*100)</f>
        <v>3.6918318790952753E-2</v>
      </c>
      <c r="AE1082">
        <f>ABS(P1130-P1074)</f>
        <v>3.2843750000002281E-2</v>
      </c>
      <c r="AH1082">
        <f>H1082-AG1073</f>
        <v>50.331320000000005</v>
      </c>
      <c r="AI1082">
        <f>100*(AH1082-O1082)/80</f>
        <v>0.42880000000000251</v>
      </c>
    </row>
    <row r="1083" spans="1:41" x14ac:dyDescent="0.35">
      <c r="A1083" t="s">
        <v>264</v>
      </c>
      <c r="B1083" t="s">
        <v>231</v>
      </c>
      <c r="C1083" t="s">
        <v>654</v>
      </c>
      <c r="D1083">
        <v>-20</v>
      </c>
      <c r="E1083">
        <v>-19.899999999999999</v>
      </c>
      <c r="F1083">
        <v>0.5</v>
      </c>
      <c r="G1083">
        <v>0.50029400000000002</v>
      </c>
      <c r="H1083">
        <v>70.087500000000006</v>
      </c>
      <c r="J1083">
        <v>-24509</v>
      </c>
      <c r="N1083" t="s">
        <v>187</v>
      </c>
      <c r="O1083">
        <f t="shared" si="48"/>
        <v>70.01176000000001</v>
      </c>
      <c r="P1083">
        <f t="shared" si="49"/>
        <v>9.467499999999518E-2</v>
      </c>
      <c r="Q1083">
        <f t="shared" si="50"/>
        <v>9.467499999999518E-2</v>
      </c>
      <c r="Y1083">
        <f>TREND(H1080:H1084,G1080:G1084,G1083)</f>
        <v>70.224926312016123</v>
      </c>
      <c r="Z1083">
        <f>ABS((Y1083-H1083)/80*100)</f>
        <v>0.17178289002014679</v>
      </c>
      <c r="AE1083">
        <f>ABS(P1131-P1075)</f>
        <v>1.4346874999997539E-2</v>
      </c>
      <c r="AH1083">
        <f>H1083-AG1073</f>
        <v>70.192257500000011</v>
      </c>
      <c r="AI1083">
        <f>100*(AH1083-O1083)/80</f>
        <v>0.22562187500000164</v>
      </c>
    </row>
    <row r="1084" spans="1:41" x14ac:dyDescent="0.35">
      <c r="A1084" t="s">
        <v>264</v>
      </c>
      <c r="B1084" t="s">
        <v>231</v>
      </c>
      <c r="C1084" t="s">
        <v>690</v>
      </c>
      <c r="D1084">
        <v>-20</v>
      </c>
      <c r="E1084">
        <v>-19.899999999999999</v>
      </c>
      <c r="F1084">
        <v>1</v>
      </c>
      <c r="G1084">
        <v>1.0000640000000001</v>
      </c>
      <c r="H1084">
        <v>90.328125</v>
      </c>
      <c r="J1084">
        <v>-24542</v>
      </c>
      <c r="N1084" t="s">
        <v>187</v>
      </c>
      <c r="O1084">
        <f t="shared" si="48"/>
        <v>90.002560000000003</v>
      </c>
      <c r="P1084">
        <f t="shared" si="49"/>
        <v>0.4069562499999968</v>
      </c>
      <c r="Q1084">
        <f t="shared" si="50"/>
        <v>0.4069562499999968</v>
      </c>
      <c r="Y1084">
        <f>TREND(H1080:H1084,G1080:G1084,G1084)</f>
        <v>90.220137567755927</v>
      </c>
      <c r="Z1084">
        <f>ABS((Y1084-H1084)/80*100)</f>
        <v>0.13498429030509129</v>
      </c>
      <c r="AE1084">
        <f>ABS(P1132-P1076)</f>
        <v>1.3628125000000324E-2</v>
      </c>
      <c r="AH1084">
        <f>H1084-AG1073</f>
        <v>90.432882500000005</v>
      </c>
      <c r="AI1084">
        <f>100*(AH1084-O1084)/80</f>
        <v>0.53790312500000326</v>
      </c>
    </row>
    <row r="1085" spans="1:41" x14ac:dyDescent="0.35">
      <c r="A1085" t="s">
        <v>264</v>
      </c>
      <c r="B1085" t="s">
        <v>231</v>
      </c>
      <c r="C1085" t="s">
        <v>727</v>
      </c>
      <c r="D1085">
        <v>-20</v>
      </c>
      <c r="E1085">
        <v>-20.100000000000001</v>
      </c>
      <c r="F1085">
        <v>0</v>
      </c>
      <c r="G1085">
        <v>0</v>
      </c>
      <c r="H1085">
        <v>50.251562499999999</v>
      </c>
      <c r="J1085">
        <v>-24568</v>
      </c>
      <c r="N1085" t="s">
        <v>187</v>
      </c>
      <c r="O1085">
        <f t="shared" si="48"/>
        <v>50</v>
      </c>
      <c r="P1085">
        <f t="shared" si="49"/>
        <v>0.31445312499999822</v>
      </c>
      <c r="Q1085">
        <f t="shared" si="50"/>
        <v>0.31445312499999822</v>
      </c>
      <c r="Y1085">
        <f>TREND(H1080:H1084,G1080:G1084,G1085)</f>
        <v>50.208750431152744</v>
      </c>
      <c r="Z1085">
        <f>ABS((Y1085-H1085)/80*100)</f>
        <v>5.3515086059068302E-2</v>
      </c>
      <c r="AE1085">
        <f>ABS(P1133-P1077)</f>
        <v>0.21038750000000661</v>
      </c>
      <c r="AH1085">
        <f>H1085-AG1073</f>
        <v>50.356320000000004</v>
      </c>
      <c r="AI1085">
        <f>100*(AH1085-O1085)/80</f>
        <v>0.44540000000000468</v>
      </c>
    </row>
    <row r="1086" spans="1:41" x14ac:dyDescent="0.35">
      <c r="A1086" t="s">
        <v>264</v>
      </c>
      <c r="B1086" t="s">
        <v>231</v>
      </c>
      <c r="C1086" t="s">
        <v>763</v>
      </c>
      <c r="D1086">
        <v>-20</v>
      </c>
      <c r="E1086">
        <v>-20.100000000000001</v>
      </c>
      <c r="F1086">
        <v>-1</v>
      </c>
      <c r="G1086">
        <v>-1.0001059999999999</v>
      </c>
      <c r="H1086">
        <v>10.3828125</v>
      </c>
      <c r="J1086">
        <v>-24598</v>
      </c>
      <c r="N1086" t="s">
        <v>187</v>
      </c>
      <c r="O1086">
        <f t="shared" si="48"/>
        <v>9.9957600000000024</v>
      </c>
      <c r="P1086">
        <f t="shared" si="49"/>
        <v>0.48381562499999697</v>
      </c>
      <c r="Q1086">
        <f t="shared" si="50"/>
        <v>0.48381562499999697</v>
      </c>
      <c r="Y1086">
        <f>TREND(H1080:H1084,G1080:G1084,G1086)</f>
        <v>10.195682923833559</v>
      </c>
      <c r="Z1086">
        <f>ABS((Y1086-H1086)/80*100)</f>
        <v>0.23391197020805168</v>
      </c>
      <c r="AE1086">
        <f>ABS(P1134-P1078)</f>
        <v>0.10369374999998904</v>
      </c>
      <c r="AH1086">
        <f>H1086-AG1073</f>
        <v>10.487570000000005</v>
      </c>
      <c r="AI1086">
        <f>100*(AH1086-O1086)/80</f>
        <v>0.61476250000000343</v>
      </c>
    </row>
    <row r="1087" spans="1:41" x14ac:dyDescent="0.35">
      <c r="A1087" t="s">
        <v>264</v>
      </c>
      <c r="B1087" t="s">
        <v>231</v>
      </c>
      <c r="C1087" t="s">
        <v>800</v>
      </c>
      <c r="D1087">
        <v>0</v>
      </c>
      <c r="E1087">
        <v>0</v>
      </c>
      <c r="F1087">
        <v>-1</v>
      </c>
      <c r="G1087">
        <v>-0.99985800000000002</v>
      </c>
      <c r="H1087">
        <v>10.176562499999999</v>
      </c>
      <c r="J1087">
        <v>-17034</v>
      </c>
      <c r="N1087" t="s">
        <v>187</v>
      </c>
      <c r="O1087">
        <f t="shared" si="48"/>
        <v>10.005679999999998</v>
      </c>
      <c r="P1087">
        <f t="shared" si="49"/>
        <v>0.21360312500000145</v>
      </c>
      <c r="Q1087">
        <f t="shared" si="50"/>
        <v>0.21360312500000145</v>
      </c>
      <c r="S1087">
        <v>50.081249999999997</v>
      </c>
      <c r="T1087">
        <v>0.10926249999999804</v>
      </c>
      <c r="U1087">
        <v>90.196875000000006</v>
      </c>
      <c r="V1087">
        <v>0.25784375000000637</v>
      </c>
      <c r="W1087">
        <v>80.020314025878903</v>
      </c>
      <c r="X1087">
        <f>(W1087-80)/80*100</f>
        <v>2.539253234862926E-2</v>
      </c>
      <c r="Y1087">
        <f>TREND(H1087:H1091,G1087:G1091,G1087)</f>
        <v>10.098197878022283</v>
      </c>
      <c r="Z1087">
        <f>ABS((Y1087-H1087)/80*100)</f>
        <v>9.7955777472145136E-2</v>
      </c>
      <c r="AA1087">
        <f>MAX(Z1087:Z1091)</f>
        <v>0.10265960262441531</v>
      </c>
      <c r="AB1087">
        <f>IF(ABS(MAX(P1087:P1093)) &gt; ABS(MIN(P1087:P1093)),MAX(P1087:P1093), MIN(P1087:P1093))</f>
        <v>0.25784375000000637</v>
      </c>
      <c r="AC1087">
        <f>IF(ABS(AB1088)&gt;ABS(AB1087),AB1088,AB1087)</f>
        <v>0.25784375000000637</v>
      </c>
      <c r="AE1087">
        <f>ABS(P1135-P1079)</f>
        <v>0.19065000000000332</v>
      </c>
      <c r="AH1087">
        <f>H1087-AG1073</f>
        <v>10.281320000000004</v>
      </c>
      <c r="AI1087">
        <f>100*(AH1087-O1087)/80</f>
        <v>0.34455000000000791</v>
      </c>
      <c r="AJ1087">
        <v>50.186007500000002</v>
      </c>
      <c r="AK1087">
        <v>0.2402093750000045</v>
      </c>
      <c r="AL1087">
        <v>90.301632500000011</v>
      </c>
      <c r="AM1087">
        <v>0.38879062500001282</v>
      </c>
      <c r="AN1087">
        <f>IF(ABS(MAX(AI1087:AI1093)) &gt; ABS(MIN(AI1087:AI1093)),MAX(AI1087:AI1093), MIN(AI1087:AI1093))</f>
        <v>0.38879062500001282</v>
      </c>
      <c r="AO1087">
        <f>IF(ABS(AN1088)&gt;ABS(AN1087),AN1088,AN1087)</f>
        <v>0.38879062500001282</v>
      </c>
    </row>
    <row r="1088" spans="1:41" x14ac:dyDescent="0.35">
      <c r="A1088" t="s">
        <v>264</v>
      </c>
      <c r="B1088" t="s">
        <v>231</v>
      </c>
      <c r="C1088" t="s">
        <v>836</v>
      </c>
      <c r="D1088">
        <v>0</v>
      </c>
      <c r="E1088">
        <v>0.1</v>
      </c>
      <c r="F1088">
        <v>-0.5</v>
      </c>
      <c r="G1088">
        <v>-0.49968800000000002</v>
      </c>
      <c r="H1088">
        <v>30.046875</v>
      </c>
      <c r="J1088">
        <v>-17042</v>
      </c>
      <c r="N1088" t="s">
        <v>187</v>
      </c>
      <c r="O1088">
        <f t="shared" si="48"/>
        <v>30.01248</v>
      </c>
      <c r="P1088">
        <f t="shared" si="49"/>
        <v>4.2993749999999942E-2</v>
      </c>
      <c r="Q1088">
        <f t="shared" si="50"/>
        <v>4.2993749999999942E-2</v>
      </c>
      <c r="Y1088">
        <f>TREND(H1087:H1091,G1087:G1091,G1088)</f>
        <v>30.129002682099532</v>
      </c>
      <c r="Z1088">
        <f>ABS((Y1088-H1088)/80*100)</f>
        <v>0.10265960262441531</v>
      </c>
      <c r="AB1088">
        <f>IF(ABS(T1087) &gt; ABS(V1087),T1087,V1087)</f>
        <v>0.25784375000000637</v>
      </c>
      <c r="AE1088">
        <f>ABS(P1129-P1101)</f>
        <v>0.15421874999999252</v>
      </c>
      <c r="AH1088">
        <f>H1088-AG1073</f>
        <v>30.151632500000005</v>
      </c>
      <c r="AI1088">
        <f>100*(AH1088-O1088)/80</f>
        <v>0.1739406250000064</v>
      </c>
      <c r="AN1088">
        <f>IF(ABS(AK1087) &gt; ABS(AM1087),AK1087,AM1087)</f>
        <v>0.38879062500001282</v>
      </c>
    </row>
    <row r="1089" spans="1:41" x14ac:dyDescent="0.35">
      <c r="A1089" t="s">
        <v>264</v>
      </c>
      <c r="B1089" t="s">
        <v>231</v>
      </c>
      <c r="C1089" t="s">
        <v>872</v>
      </c>
      <c r="D1089">
        <v>0</v>
      </c>
      <c r="E1089">
        <v>0</v>
      </c>
      <c r="F1089">
        <v>0</v>
      </c>
      <c r="G1089">
        <v>-1.54E-4</v>
      </c>
      <c r="H1089">
        <v>50.081249999999997</v>
      </c>
      <c r="J1089">
        <v>-17040</v>
      </c>
      <c r="N1089" t="s">
        <v>187</v>
      </c>
      <c r="O1089">
        <f t="shared" si="48"/>
        <v>49.993839999999999</v>
      </c>
      <c r="P1089">
        <f t="shared" si="49"/>
        <v>0.10926249999999804</v>
      </c>
      <c r="Q1089">
        <f t="shared" si="50"/>
        <v>0.10926249999999804</v>
      </c>
      <c r="Y1089">
        <f>TREND(H1087:H1091,G1087:G1091,G1089)</f>
        <v>50.13433696244406</v>
      </c>
      <c r="Z1089">
        <f>ABS((Y1089-H1089)/80*100)</f>
        <v>6.6358703055078294E-2</v>
      </c>
      <c r="AE1089">
        <f>ABS(P1130-P1102)</f>
        <v>0.11254062500000384</v>
      </c>
      <c r="AH1089">
        <f>H1089-AG1073</f>
        <v>50.186007500000002</v>
      </c>
      <c r="AI1089">
        <f>100*(AH1089-O1089)/80</f>
        <v>0.2402093750000045</v>
      </c>
    </row>
    <row r="1090" spans="1:41" x14ac:dyDescent="0.35">
      <c r="A1090" t="s">
        <v>264</v>
      </c>
      <c r="B1090" t="s">
        <v>231</v>
      </c>
      <c r="C1090" t="s">
        <v>909</v>
      </c>
      <c r="D1090">
        <v>0</v>
      </c>
      <c r="E1090">
        <v>0</v>
      </c>
      <c r="F1090">
        <v>0.5</v>
      </c>
      <c r="G1090">
        <v>0.49979400000000002</v>
      </c>
      <c r="H1090">
        <v>70.1953125</v>
      </c>
      <c r="J1090">
        <v>-17045</v>
      </c>
      <c r="N1090" t="s">
        <v>187</v>
      </c>
      <c r="O1090">
        <f t="shared" si="48"/>
        <v>69.991759999999999</v>
      </c>
      <c r="P1090">
        <f t="shared" si="49"/>
        <v>0.25444062500000086</v>
      </c>
      <c r="Q1090">
        <f t="shared" si="50"/>
        <v>0.25444062500000086</v>
      </c>
      <c r="Y1090">
        <f>TREND(H1087:H1091,G1087:G1091,G1090)</f>
        <v>70.156251112010835</v>
      </c>
      <c r="Z1090">
        <f>ABS((Y1090-H1090)/80*100)</f>
        <v>4.8826734986455733E-2</v>
      </c>
      <c r="AE1090">
        <f>ABS(P1131-P1103)</f>
        <v>0.10061875000000775</v>
      </c>
      <c r="AH1090">
        <f>H1090-AG1073</f>
        <v>70.300070000000005</v>
      </c>
      <c r="AI1090">
        <f>100*(AH1090-O1090)/80</f>
        <v>0.38538750000000732</v>
      </c>
    </row>
    <row r="1091" spans="1:41" x14ac:dyDescent="0.35">
      <c r="A1091" t="s">
        <v>264</v>
      </c>
      <c r="B1091" t="s">
        <v>231</v>
      </c>
      <c r="C1091" t="s">
        <v>946</v>
      </c>
      <c r="D1091">
        <v>0</v>
      </c>
      <c r="E1091">
        <v>0.1</v>
      </c>
      <c r="F1091">
        <v>1</v>
      </c>
      <c r="G1091">
        <v>0.99976500000000001</v>
      </c>
      <c r="H1091">
        <v>90.196875000000006</v>
      </c>
      <c r="J1091">
        <v>-17058</v>
      </c>
      <c r="N1091" t="s">
        <v>187</v>
      </c>
      <c r="O1091">
        <f t="shared" si="48"/>
        <v>89.990600000000001</v>
      </c>
      <c r="P1091">
        <f t="shared" si="49"/>
        <v>0.25784375000000637</v>
      </c>
      <c r="Q1091">
        <f t="shared" si="50"/>
        <v>0.25784375000000637</v>
      </c>
      <c r="Y1091">
        <f>TREND(H1087:H1091,G1087:G1091,G1091)</f>
        <v>90.179086365423288</v>
      </c>
      <c r="Z1091">
        <f>ABS((Y1091-H1091)/80*100)</f>
        <v>2.2235793220897193E-2</v>
      </c>
      <c r="AE1091">
        <f>ABS(P1132-P1104)</f>
        <v>0.13541562500000381</v>
      </c>
      <c r="AH1091">
        <f>H1091-AG1073</f>
        <v>90.301632500000011</v>
      </c>
      <c r="AI1091">
        <f>100*(AH1091-O1091)/80</f>
        <v>0.38879062500001282</v>
      </c>
    </row>
    <row r="1092" spans="1:41" x14ac:dyDescent="0.35">
      <c r="A1092" t="s">
        <v>264</v>
      </c>
      <c r="B1092" t="s">
        <v>231</v>
      </c>
      <c r="C1092" t="s">
        <v>982</v>
      </c>
      <c r="D1092">
        <v>0</v>
      </c>
      <c r="E1092">
        <v>0</v>
      </c>
      <c r="F1092">
        <v>0</v>
      </c>
      <c r="G1092">
        <v>1.26E-4</v>
      </c>
      <c r="H1092">
        <v>50.096874999999997</v>
      </c>
      <c r="J1092">
        <v>-17067</v>
      </c>
      <c r="N1092" t="s">
        <v>187</v>
      </c>
      <c r="O1092">
        <f t="shared" si="48"/>
        <v>50.005040000000001</v>
      </c>
      <c r="P1092">
        <f t="shared" si="49"/>
        <v>0.11479374999999514</v>
      </c>
      <c r="Q1092">
        <f t="shared" si="50"/>
        <v>0.11479374999999514</v>
      </c>
      <c r="Y1092">
        <f>TREND(H1087:H1091,G1087:G1091,G1092)</f>
        <v>50.145550400565384</v>
      </c>
      <c r="Z1092">
        <f>ABS((Y1092-H1092)/80*100)</f>
        <v>6.0844250706733043E-2</v>
      </c>
      <c r="AE1092">
        <f>ABS(P1133-P1105)</f>
        <v>0.14273437499999986</v>
      </c>
      <c r="AH1092">
        <f>H1092-AG1073</f>
        <v>50.201632500000002</v>
      </c>
      <c r="AI1092">
        <f>100*(AH1092-O1092)/80</f>
        <v>0.2457406250000016</v>
      </c>
    </row>
    <row r="1093" spans="1:41" x14ac:dyDescent="0.35">
      <c r="A1093" t="s">
        <v>264</v>
      </c>
      <c r="B1093" t="s">
        <v>231</v>
      </c>
      <c r="C1093" t="s">
        <v>1018</v>
      </c>
      <c r="D1093">
        <v>0</v>
      </c>
      <c r="E1093">
        <v>0</v>
      </c>
      <c r="F1093">
        <v>-1</v>
      </c>
      <c r="G1093">
        <v>-1.0002139999999999</v>
      </c>
      <c r="H1093">
        <v>10.167187500000001</v>
      </c>
      <c r="J1093">
        <v>-17073</v>
      </c>
      <c r="N1093" t="s">
        <v>187</v>
      </c>
      <c r="O1093">
        <f t="shared" si="48"/>
        <v>9.9914400000000025</v>
      </c>
      <c r="P1093">
        <f t="shared" si="49"/>
        <v>0.21968437499999771</v>
      </c>
      <c r="Q1093">
        <f t="shared" si="50"/>
        <v>0.21968437499999771</v>
      </c>
      <c r="Y1093">
        <f>TREND(H1087:H1091,G1087:G1091,G1093)</f>
        <v>10.083940792410893</v>
      </c>
      <c r="Z1093">
        <f>ABS((Y1093-H1093)/80*100)</f>
        <v>0.10405838448638514</v>
      </c>
      <c r="AE1093">
        <f>ABS(P1134-P1106)</f>
        <v>0.13499999999999623</v>
      </c>
      <c r="AH1093">
        <f>H1093-AG1073</f>
        <v>10.271945000000006</v>
      </c>
      <c r="AI1093">
        <f>100*(AH1093-O1093)/80</f>
        <v>0.35063125000000417</v>
      </c>
    </row>
    <row r="1094" spans="1:41" x14ac:dyDescent="0.35">
      <c r="A1094" t="s">
        <v>264</v>
      </c>
      <c r="B1094" t="s">
        <v>231</v>
      </c>
      <c r="C1094" t="s">
        <v>1054</v>
      </c>
      <c r="D1094">
        <v>10</v>
      </c>
      <c r="E1094">
        <v>10</v>
      </c>
      <c r="F1094">
        <v>-1</v>
      </c>
      <c r="G1094">
        <v>-0.99981100000000001</v>
      </c>
      <c r="H1094">
        <v>10.1265625</v>
      </c>
      <c r="J1094">
        <v>-12812</v>
      </c>
      <c r="N1094" t="s">
        <v>187</v>
      </c>
      <c r="O1094">
        <f t="shared" si="48"/>
        <v>10.00756</v>
      </c>
      <c r="P1094">
        <f t="shared" si="49"/>
        <v>0.14875312500000071</v>
      </c>
      <c r="Q1094">
        <f t="shared" si="50"/>
        <v>0.14875312500000071</v>
      </c>
      <c r="S1094">
        <v>49.959375000000001</v>
      </c>
      <c r="T1094">
        <v>-4.8881249999999099E-2</v>
      </c>
      <c r="U1094">
        <v>90.190624999999997</v>
      </c>
      <c r="V1094">
        <v>0.23488125000001858</v>
      </c>
      <c r="W1094">
        <v>80.064065551757807</v>
      </c>
      <c r="X1094">
        <f>(W1094-80)/80*100</f>
        <v>8.008193969725852E-2</v>
      </c>
      <c r="Y1094">
        <f>TREND(H1094:H1098,G1094:G1098,G1094)</f>
        <v>10.0335513745433</v>
      </c>
      <c r="Z1094">
        <f>ABS((Y1094-H1094)/80*100)</f>
        <v>0.11626390682087484</v>
      </c>
      <c r="AA1094">
        <f>MAX(Z1094:Z1098)</f>
        <v>0.16337133862702302</v>
      </c>
      <c r="AB1094">
        <f>IF(ABS(MAX(P1094:P1100)) &gt; ABS(MIN(P1094:P1100)),MAX(P1094:P1100), MIN(P1094:P1100))</f>
        <v>0.2377281250000074</v>
      </c>
      <c r="AC1094">
        <f>IF(ABS(AB1095)&gt;ABS(AB1094),AB1095,AB1094)</f>
        <v>0.2377281250000074</v>
      </c>
      <c r="AE1094">
        <f>ABS(P1135-P1107)</f>
        <v>0.24108125000000369</v>
      </c>
      <c r="AH1094">
        <f>H1094-AG1073</f>
        <v>10.231320000000006</v>
      </c>
      <c r="AI1094">
        <f>100*(AH1094-O1094)/80</f>
        <v>0.27970000000000717</v>
      </c>
      <c r="AJ1094">
        <v>50.064132500000007</v>
      </c>
      <c r="AK1094">
        <v>8.2065625000007358E-2</v>
      </c>
      <c r="AL1094">
        <v>90.295382500000002</v>
      </c>
      <c r="AM1094">
        <v>0.36582812500002504</v>
      </c>
      <c r="AN1094">
        <f>IF(ABS(MAX(AI1094:AI1100)) &gt; ABS(MIN(AI1094:AI1100)),MAX(AI1094:AI1100), MIN(AI1094:AI1100))</f>
        <v>0.36867500000001385</v>
      </c>
      <c r="AO1094">
        <f>IF(ABS(AN1095)&gt;ABS(AN1094),AN1095,AN1094)</f>
        <v>0.36867500000001385</v>
      </c>
    </row>
    <row r="1095" spans="1:41" x14ac:dyDescent="0.35">
      <c r="A1095" t="s">
        <v>264</v>
      </c>
      <c r="B1095" t="s">
        <v>231</v>
      </c>
      <c r="C1095" t="s">
        <v>1090</v>
      </c>
      <c r="D1095">
        <v>10</v>
      </c>
      <c r="E1095">
        <v>10</v>
      </c>
      <c r="F1095">
        <v>-0.5</v>
      </c>
      <c r="G1095">
        <v>-0.50023399999999996</v>
      </c>
      <c r="H1095">
        <v>29.990625000000001</v>
      </c>
      <c r="J1095">
        <v>-12783</v>
      </c>
      <c r="N1095" t="s">
        <v>187</v>
      </c>
      <c r="O1095">
        <f t="shared" si="48"/>
        <v>29.990640000000003</v>
      </c>
      <c r="P1095">
        <f t="shared" si="49"/>
        <v>-1.8750000001510614E-5</v>
      </c>
      <c r="Q1095">
        <f t="shared" si="50"/>
        <v>1.8750000001510614E-5</v>
      </c>
      <c r="Y1095">
        <f>TREND(H1094:H1098,G1094:G1098,G1095)</f>
        <v>30.049411414697019</v>
      </c>
      <c r="Z1095">
        <f>ABS((Y1095-H1095)/80*100)</f>
        <v>7.3483018371272024E-2</v>
      </c>
      <c r="AB1095">
        <f>IF(ABS(T1094) &gt; ABS(V1094),T1094,V1094)</f>
        <v>0.23488125000001858</v>
      </c>
      <c r="AH1095">
        <f>H1095-AG1073</f>
        <v>30.095382500000007</v>
      </c>
      <c r="AI1095">
        <f>100*(AH1095-O1095)/80</f>
        <v>0.13092812500000495</v>
      </c>
      <c r="AN1095">
        <f>IF(ABS(AK1094) &gt; ABS(AM1094),AK1094,AM1094)</f>
        <v>0.36582812500002504</v>
      </c>
    </row>
    <row r="1096" spans="1:41" x14ac:dyDescent="0.35">
      <c r="A1096" t="s">
        <v>264</v>
      </c>
      <c r="B1096" t="s">
        <v>1111</v>
      </c>
      <c r="C1096" t="s">
        <v>1128</v>
      </c>
      <c r="D1096">
        <v>10</v>
      </c>
      <c r="E1096">
        <v>10</v>
      </c>
      <c r="F1096">
        <v>0</v>
      </c>
      <c r="G1096">
        <v>-3.8000000000000002E-5</v>
      </c>
      <c r="H1096">
        <v>49.959375000000001</v>
      </c>
      <c r="J1096">
        <v>-12753</v>
      </c>
      <c r="N1096" t="s">
        <v>187</v>
      </c>
      <c r="O1096">
        <f t="shared" si="48"/>
        <v>49.998480000000001</v>
      </c>
      <c r="P1096">
        <f t="shared" si="49"/>
        <v>-4.8881249999999099E-2</v>
      </c>
      <c r="Q1096">
        <f t="shared" si="50"/>
        <v>4.8881249999999099E-2</v>
      </c>
      <c r="Y1096">
        <f>TREND(H1094:H1098,G1094:G1098,G1096)</f>
        <v>50.09007207090162</v>
      </c>
      <c r="Z1096">
        <f>ABS((Y1096-H1096)/80*100)</f>
        <v>0.16337133862702302</v>
      </c>
      <c r="AH1096">
        <f>H1096-AG1073</f>
        <v>50.064132500000007</v>
      </c>
      <c r="AI1096">
        <f>100*(AH1096-O1096)/80</f>
        <v>8.2065625000007358E-2</v>
      </c>
    </row>
    <row r="1097" spans="1:41" x14ac:dyDescent="0.35">
      <c r="A1097" t="s">
        <v>264</v>
      </c>
      <c r="B1097" t="s">
        <v>1111</v>
      </c>
      <c r="C1097" t="s">
        <v>1164</v>
      </c>
      <c r="D1097">
        <v>10</v>
      </c>
      <c r="E1097">
        <v>10</v>
      </c>
      <c r="F1097">
        <v>0.5</v>
      </c>
      <c r="G1097">
        <v>0.49997200000000003</v>
      </c>
      <c r="H1097">
        <v>70.189062500000006</v>
      </c>
      <c r="J1097">
        <v>-12718</v>
      </c>
      <c r="N1097" t="s">
        <v>187</v>
      </c>
      <c r="O1097">
        <f t="shared" ref="O1097:O1160" si="51">(((G1097--1)*(40))+10)</f>
        <v>69.99888</v>
      </c>
      <c r="P1097">
        <f t="shared" ref="P1097:P1160" si="52">100*(H1097-O1097)/80</f>
        <v>0.2377281250000074</v>
      </c>
      <c r="Q1097">
        <f t="shared" ref="Q1097:Q1160" si="53">ABS(P1097)</f>
        <v>0.2377281250000074</v>
      </c>
      <c r="Y1097">
        <f>TREND(H1094:H1098,G1094:G1098,G1097)</f>
        <v>70.123280522606279</v>
      </c>
      <c r="Z1097">
        <f>ABS((Y1097-H1097)/80*100)</f>
        <v>8.2227471742157832E-2</v>
      </c>
      <c r="AH1097">
        <f>H1097-AG1073</f>
        <v>70.293820000000011</v>
      </c>
      <c r="AI1097">
        <f>100*(AH1097-O1097)/80</f>
        <v>0.36867500000001385</v>
      </c>
    </row>
    <row r="1098" spans="1:41" x14ac:dyDescent="0.35">
      <c r="A1098" t="s">
        <v>264</v>
      </c>
      <c r="B1098" t="s">
        <v>1111</v>
      </c>
      <c r="C1098" t="s">
        <v>1202</v>
      </c>
      <c r="D1098">
        <v>10</v>
      </c>
      <c r="E1098">
        <v>10</v>
      </c>
      <c r="F1098">
        <v>1</v>
      </c>
      <c r="G1098">
        <v>1.000068</v>
      </c>
      <c r="H1098">
        <v>90.190624999999997</v>
      </c>
      <c r="J1098">
        <v>-12707</v>
      </c>
      <c r="N1098" t="s">
        <v>187</v>
      </c>
      <c r="O1098">
        <f t="shared" si="51"/>
        <v>90.002719999999982</v>
      </c>
      <c r="P1098">
        <f t="shared" si="52"/>
        <v>0.23488125000001858</v>
      </c>
      <c r="Q1098">
        <f t="shared" si="53"/>
        <v>0.23488125000001858</v>
      </c>
      <c r="Y1098">
        <f>TREND(H1094:H1098,G1094:G1098,G1098)</f>
        <v>90.159934617251764</v>
      </c>
      <c r="Z1098">
        <f>ABS((Y1098-H1098)/80*100)</f>
        <v>3.836297843529124E-2</v>
      </c>
      <c r="AH1098">
        <f>H1098-AG1073</f>
        <v>90.295382500000002</v>
      </c>
      <c r="AI1098">
        <f>100*(AH1098-O1098)/80</f>
        <v>0.36582812500002504</v>
      </c>
    </row>
    <row r="1099" spans="1:41" x14ac:dyDescent="0.35">
      <c r="A1099" t="s">
        <v>264</v>
      </c>
      <c r="B1099" t="s">
        <v>1111</v>
      </c>
      <c r="C1099" t="s">
        <v>1238</v>
      </c>
      <c r="D1099">
        <v>10</v>
      </c>
      <c r="E1099">
        <v>10</v>
      </c>
      <c r="F1099">
        <v>0</v>
      </c>
      <c r="G1099">
        <v>-2.0999999999999999E-5</v>
      </c>
      <c r="H1099">
        <v>49.9921875</v>
      </c>
      <c r="J1099">
        <v>-12683</v>
      </c>
      <c r="N1099" t="s">
        <v>187</v>
      </c>
      <c r="O1099">
        <f t="shared" si="51"/>
        <v>49.999159999999996</v>
      </c>
      <c r="P1099">
        <f t="shared" si="52"/>
        <v>-8.7156249999953417E-3</v>
      </c>
      <c r="Q1099">
        <f t="shared" si="53"/>
        <v>8.7156249999953417E-3</v>
      </c>
      <c r="Y1099">
        <f>TREND(H1094:H1098,G1094:G1098,G1099)</f>
        <v>50.090753186366669</v>
      </c>
      <c r="Z1099">
        <f>ABS((Y1099-H1099)/80*100)</f>
        <v>0.12320710795833632</v>
      </c>
      <c r="AH1099">
        <f>H1099-AG1073</f>
        <v>50.096945000000005</v>
      </c>
      <c r="AI1099">
        <f>100*(AH1099-O1099)/80</f>
        <v>0.12223125000001112</v>
      </c>
    </row>
    <row r="1100" spans="1:41" x14ac:dyDescent="0.35">
      <c r="A1100" t="s">
        <v>264</v>
      </c>
      <c r="B1100" t="s">
        <v>1111</v>
      </c>
      <c r="C1100" t="s">
        <v>1274</v>
      </c>
      <c r="D1100">
        <v>10</v>
      </c>
      <c r="E1100">
        <v>10</v>
      </c>
      <c r="F1100">
        <v>-1</v>
      </c>
      <c r="G1100">
        <v>-1.0002329999999999</v>
      </c>
      <c r="H1100">
        <v>10.106249999999999</v>
      </c>
      <c r="J1100">
        <v>-12664</v>
      </c>
      <c r="N1100" t="s">
        <v>187</v>
      </c>
      <c r="O1100">
        <f t="shared" si="51"/>
        <v>9.9906800000000029</v>
      </c>
      <c r="P1100">
        <f t="shared" si="52"/>
        <v>0.1444624999999955</v>
      </c>
      <c r="Q1100">
        <f t="shared" si="53"/>
        <v>0.1444624999999955</v>
      </c>
      <c r="Y1100">
        <f>TREND(H1094:H1098,G1094:G1098,G1100)</f>
        <v>10.016643684763864</v>
      </c>
      <c r="Z1100">
        <f>ABS((Y1100-H1100)/80*100)</f>
        <v>0.11200789404516964</v>
      </c>
      <c r="AH1100">
        <f>H1100-AG1073</f>
        <v>10.211007500000004</v>
      </c>
      <c r="AI1100">
        <f>100*(AH1100-O1100)/80</f>
        <v>0.27540937500000195</v>
      </c>
    </row>
    <row r="1101" spans="1:41" x14ac:dyDescent="0.35">
      <c r="A1101" t="s">
        <v>264</v>
      </c>
      <c r="B1101" t="s">
        <v>1111</v>
      </c>
      <c r="C1101" t="s">
        <v>1311</v>
      </c>
      <c r="D1101">
        <v>25</v>
      </c>
      <c r="E1101">
        <v>25</v>
      </c>
      <c r="F1101">
        <v>-1</v>
      </c>
      <c r="G1101">
        <v>-0.99994799999999995</v>
      </c>
      <c r="H1101">
        <v>10.0453125</v>
      </c>
      <c r="J1101">
        <v>-6588</v>
      </c>
      <c r="N1101" t="s">
        <v>187</v>
      </c>
      <c r="O1101">
        <f t="shared" si="51"/>
        <v>10.002080000000003</v>
      </c>
      <c r="P1101">
        <f t="shared" si="52"/>
        <v>5.4040624999995845E-2</v>
      </c>
      <c r="Q1101">
        <f t="shared" si="53"/>
        <v>5.4040624999995845E-2</v>
      </c>
      <c r="S1101">
        <v>49.962499999999999</v>
      </c>
      <c r="T1101">
        <v>-4.4674999999996245E-2</v>
      </c>
      <c r="U1101">
        <v>90.107812499999994</v>
      </c>
      <c r="V1101">
        <v>0.15756562500000015</v>
      </c>
      <c r="W1101">
        <v>80.062498474121099</v>
      </c>
      <c r="X1101">
        <f>(W1101-80)/80*100</f>
        <v>7.8123092651374293E-2</v>
      </c>
      <c r="Y1101">
        <f>TREND(H1101:H1105,G1101:G1105,G1101)</f>
        <v>9.9611673771656584</v>
      </c>
      <c r="Z1101">
        <f>ABS((Y1101-H1101)/80*100)</f>
        <v>0.1051814035429266</v>
      </c>
      <c r="AA1101">
        <f>MAX(Z1101:Z1105)</f>
        <v>0.1051814035429266</v>
      </c>
      <c r="AB1101">
        <f>IF(ABS(MAX(P1101:P1107)) &gt; ABS(MIN(P1101:P1107)),MAX(P1101:P1107), MIN(P1101:P1107))</f>
        <v>0.15756562500000015</v>
      </c>
      <c r="AC1101">
        <f>IF(ABS(AB1102)&gt;ABS(AB1101),AB1102,AB1101)</f>
        <v>0.15756562500000015</v>
      </c>
      <c r="AH1101">
        <f>H1101-AG1073</f>
        <v>10.150070000000005</v>
      </c>
      <c r="AI1101">
        <f>100*(AH1101-O1101)/80</f>
        <v>0.1849875000000023</v>
      </c>
      <c r="AJ1101">
        <v>50.067257500000004</v>
      </c>
      <c r="AK1101">
        <v>8.6271875000010212E-2</v>
      </c>
      <c r="AL1101">
        <v>90.212569999999999</v>
      </c>
      <c r="AM1101">
        <v>0.28851250000000661</v>
      </c>
      <c r="AN1101">
        <f>IF(ABS(MAX(AI1101:AI1107)) &gt; ABS(MIN(AI1101:AI1107)),MAX(AI1101:AI1107), MIN(AI1101:AI1107))</f>
        <v>0.28851250000000661</v>
      </c>
      <c r="AO1101">
        <f>IF(ABS(AN1102)&gt;ABS(AN1101),AN1102,AN1101)</f>
        <v>0.28851250000000661</v>
      </c>
    </row>
    <row r="1102" spans="1:41" x14ac:dyDescent="0.35">
      <c r="A1102" t="s">
        <v>264</v>
      </c>
      <c r="B1102" t="s">
        <v>1111</v>
      </c>
      <c r="C1102" t="s">
        <v>1347</v>
      </c>
      <c r="D1102">
        <v>25</v>
      </c>
      <c r="E1102">
        <v>25</v>
      </c>
      <c r="F1102">
        <v>-0.5</v>
      </c>
      <c r="G1102">
        <v>-0.50007100000000004</v>
      </c>
      <c r="H1102">
        <v>29.910937499999999</v>
      </c>
      <c r="J1102">
        <v>-6570</v>
      </c>
      <c r="N1102" t="s">
        <v>187</v>
      </c>
      <c r="O1102">
        <f t="shared" si="51"/>
        <v>29.997159999999997</v>
      </c>
      <c r="P1102">
        <f t="shared" si="52"/>
        <v>-0.10777812499999762</v>
      </c>
      <c r="Q1102">
        <f t="shared" si="53"/>
        <v>0.10777812499999762</v>
      </c>
      <c r="Y1102">
        <f>TREND(H1101:H1105,G1101:G1105,G1102)</f>
        <v>29.992442238557782</v>
      </c>
      <c r="Z1102">
        <f>ABS((Y1102-H1102)/80*100)</f>
        <v>0.10188092319722841</v>
      </c>
      <c r="AB1102">
        <f>IF(ABS(T1101) &gt; ABS(V1101),T1101,V1101)</f>
        <v>0.15756562500000015</v>
      </c>
      <c r="AH1102">
        <f>H1102-AG1073</f>
        <v>30.015695000000004</v>
      </c>
      <c r="AI1102">
        <f>100*(AH1102-O1102)/80</f>
        <v>2.3168750000008842E-2</v>
      </c>
      <c r="AN1102">
        <f>IF(ABS(AK1101) &gt; ABS(AM1101),AK1101,AM1101)</f>
        <v>0.28851250000000661</v>
      </c>
    </row>
    <row r="1103" spans="1:41" x14ac:dyDescent="0.35">
      <c r="A1103" t="s">
        <v>264</v>
      </c>
      <c r="B1103" t="s">
        <v>1111</v>
      </c>
      <c r="C1103" t="s">
        <v>1384</v>
      </c>
      <c r="D1103">
        <v>25</v>
      </c>
      <c r="E1103">
        <v>25</v>
      </c>
      <c r="F1103">
        <v>0</v>
      </c>
      <c r="G1103">
        <v>-4.3999999999999999E-5</v>
      </c>
      <c r="H1103">
        <v>49.962499999999999</v>
      </c>
      <c r="J1103">
        <v>-6549</v>
      </c>
      <c r="N1103" t="s">
        <v>187</v>
      </c>
      <c r="O1103">
        <f t="shared" si="51"/>
        <v>49.998239999999996</v>
      </c>
      <c r="P1103">
        <f t="shared" si="52"/>
        <v>-4.4674999999996245E-2</v>
      </c>
      <c r="Q1103">
        <f t="shared" si="53"/>
        <v>4.4674999999996245E-2</v>
      </c>
      <c r="Y1103">
        <f>TREND(H1101:H1105,G1101:G1105,G1103)</f>
        <v>50.02972796108017</v>
      </c>
      <c r="Z1103">
        <f>ABS((Y1103-H1103)/80*100)</f>
        <v>8.403495135021366E-2</v>
      </c>
      <c r="AH1103">
        <f>H1103-AG1073</f>
        <v>50.067257500000004</v>
      </c>
      <c r="AI1103">
        <f>100*(AH1103-O1103)/80</f>
        <v>8.6271875000010212E-2</v>
      </c>
    </row>
    <row r="1104" spans="1:41" x14ac:dyDescent="0.35">
      <c r="A1104" t="s">
        <v>264</v>
      </c>
      <c r="B1104" t="s">
        <v>1111</v>
      </c>
      <c r="C1104" t="s">
        <v>1421</v>
      </c>
      <c r="D1104">
        <v>25</v>
      </c>
      <c r="E1104">
        <v>25</v>
      </c>
      <c r="F1104">
        <v>0.5</v>
      </c>
      <c r="G1104">
        <v>0.50005999999999995</v>
      </c>
      <c r="H1104">
        <v>70.112499999999997</v>
      </c>
      <c r="J1104">
        <v>-6525</v>
      </c>
      <c r="N1104" t="s">
        <v>187</v>
      </c>
      <c r="O1104">
        <f t="shared" si="51"/>
        <v>70.002399999999994</v>
      </c>
      <c r="P1104">
        <f t="shared" si="52"/>
        <v>0.13762500000000344</v>
      </c>
      <c r="Q1104">
        <f t="shared" si="53"/>
        <v>0.13762500000000344</v>
      </c>
      <c r="Y1104">
        <f>TREND(H1101:H1105,G1101:G1105,G1104)</f>
        <v>70.070099258982751</v>
      </c>
      <c r="Z1104">
        <f>ABS((Y1104-H1104)/80*100)</f>
        <v>5.3000926271558051E-2</v>
      </c>
      <c r="AH1104">
        <f>H1104-AG1073</f>
        <v>70.217257500000002</v>
      </c>
      <c r="AI1104">
        <f>100*(AH1104-O1104)/80</f>
        <v>0.2685718750000099</v>
      </c>
    </row>
    <row r="1105" spans="1:41" x14ac:dyDescent="0.35">
      <c r="A1105" t="s">
        <v>264</v>
      </c>
      <c r="B1105" t="s">
        <v>1111</v>
      </c>
      <c r="C1105" t="s">
        <v>1457</v>
      </c>
      <c r="D1105">
        <v>25</v>
      </c>
      <c r="E1105">
        <v>25</v>
      </c>
      <c r="F1105">
        <v>1</v>
      </c>
      <c r="G1105">
        <v>0.99954399999999999</v>
      </c>
      <c r="H1105">
        <v>90.107812499999994</v>
      </c>
      <c r="J1105">
        <v>-6501</v>
      </c>
      <c r="N1105" t="s">
        <v>187</v>
      </c>
      <c r="O1105">
        <f t="shared" si="51"/>
        <v>89.981759999999994</v>
      </c>
      <c r="P1105">
        <f t="shared" si="52"/>
        <v>0.15756562500000015</v>
      </c>
      <c r="Q1105">
        <f t="shared" si="53"/>
        <v>0.15756562500000015</v>
      </c>
      <c r="Y1105">
        <f>TREND(H1101:H1105,G1101:G1105,G1105)</f>
        <v>90.085625664213609</v>
      </c>
      <c r="Z1105">
        <f>ABS((Y1105-H1105)/80*100)</f>
        <v>2.7733544732981841E-2</v>
      </c>
      <c r="AH1105">
        <f>H1105-AG1073</f>
        <v>90.212569999999999</v>
      </c>
      <c r="AI1105">
        <f>100*(AH1105-O1105)/80</f>
        <v>0.28851250000000661</v>
      </c>
    </row>
    <row r="1106" spans="1:41" x14ac:dyDescent="0.35">
      <c r="A1106" t="s">
        <v>264</v>
      </c>
      <c r="B1106" t="s">
        <v>1111</v>
      </c>
      <c r="C1106" t="s">
        <v>1494</v>
      </c>
      <c r="D1106">
        <v>25</v>
      </c>
      <c r="E1106">
        <v>25</v>
      </c>
      <c r="F1106">
        <v>0</v>
      </c>
      <c r="G1106">
        <v>2.81E-4</v>
      </c>
      <c r="H1106">
        <v>49.973437500000003</v>
      </c>
      <c r="J1106">
        <v>-6481</v>
      </c>
      <c r="N1106" t="s">
        <v>187</v>
      </c>
      <c r="O1106">
        <f t="shared" si="51"/>
        <v>50.011240000000001</v>
      </c>
      <c r="P1106">
        <f t="shared" si="52"/>
        <v>-4.7253124999997453E-2</v>
      </c>
      <c r="Q1106">
        <f t="shared" si="53"/>
        <v>4.7253124999997453E-2</v>
      </c>
      <c r="Y1106">
        <f>TREND(H1101:H1105,G1101:G1105,G1106)</f>
        <v>50.04275149352906</v>
      </c>
      <c r="Z1106">
        <f>ABS((Y1106-H1106)/80*100)</f>
        <v>8.6642491911321784E-2</v>
      </c>
      <c r="AH1106">
        <f>H1106-AG1073</f>
        <v>50.078195000000008</v>
      </c>
      <c r="AI1106">
        <f>100*(AH1106-O1106)/80</f>
        <v>8.3693750000009004E-2</v>
      </c>
    </row>
    <row r="1107" spans="1:41" x14ac:dyDescent="0.35">
      <c r="A1107" t="s">
        <v>264</v>
      </c>
      <c r="B1107" t="s">
        <v>1111</v>
      </c>
      <c r="C1107" t="s">
        <v>1530</v>
      </c>
      <c r="D1107">
        <v>25</v>
      </c>
      <c r="E1107">
        <v>25</v>
      </c>
      <c r="F1107">
        <v>-1</v>
      </c>
      <c r="G1107">
        <v>-0.99994000000000005</v>
      </c>
      <c r="H1107">
        <v>10.03125</v>
      </c>
      <c r="J1107">
        <v>-6472</v>
      </c>
      <c r="N1107" t="s">
        <v>187</v>
      </c>
      <c r="O1107">
        <f t="shared" si="51"/>
        <v>10.002399999999998</v>
      </c>
      <c r="P1107">
        <f t="shared" si="52"/>
        <v>3.6062500000002551E-2</v>
      </c>
      <c r="Q1107">
        <f t="shared" si="53"/>
        <v>3.6062500000002551E-2</v>
      </c>
      <c r="Y1107">
        <f>TREND(H1101:H1105,G1101:G1105,G1107)</f>
        <v>9.961487956425934</v>
      </c>
      <c r="Z1107">
        <f>ABS((Y1107-H1107)/80*100)</f>
        <v>8.7202554467582516E-2</v>
      </c>
      <c r="AH1107">
        <f>H1107-AG1073</f>
        <v>10.136007500000005</v>
      </c>
      <c r="AI1107">
        <f>100*(AH1107-O1107)/80</f>
        <v>0.16700937500000901</v>
      </c>
    </row>
    <row r="1108" spans="1:41" x14ac:dyDescent="0.35">
      <c r="A1108" t="s">
        <v>264</v>
      </c>
      <c r="B1108" t="s">
        <v>1111</v>
      </c>
      <c r="C1108" t="s">
        <v>1567</v>
      </c>
      <c r="D1108">
        <v>50</v>
      </c>
      <c r="E1108">
        <v>50</v>
      </c>
      <c r="F1108">
        <v>-1</v>
      </c>
      <c r="G1108">
        <v>-1.0005120000000001</v>
      </c>
      <c r="H1108">
        <v>10.025</v>
      </c>
      <c r="J1108">
        <v>3398</v>
      </c>
      <c r="N1108" t="s">
        <v>187</v>
      </c>
      <c r="O1108">
        <f t="shared" si="51"/>
        <v>9.9795199999999973</v>
      </c>
      <c r="P1108">
        <f t="shared" si="52"/>
        <v>5.6850000000003842E-2</v>
      </c>
      <c r="Q1108">
        <f t="shared" si="53"/>
        <v>5.6850000000003842E-2</v>
      </c>
      <c r="S1108">
        <v>50.046875</v>
      </c>
      <c r="T1108">
        <v>5.6343749999996362E-2</v>
      </c>
      <c r="U1108">
        <v>90.185937499999994</v>
      </c>
      <c r="V1108">
        <v>0.23117187499998693</v>
      </c>
      <c r="W1108">
        <v>80.160935974121088</v>
      </c>
      <c r="X1108">
        <f>(W1108-80)/80*100</f>
        <v>0.20116996765136008</v>
      </c>
      <c r="Y1108">
        <f>TREND(H1108:H1112,G1108:G1112,G1108)</f>
        <v>9.929913438816925</v>
      </c>
      <c r="Z1108">
        <f>ABS((Y1108-H1108)/80*100)</f>
        <v>0.11885820147884418</v>
      </c>
      <c r="AA1108">
        <f>MAX(Z1108:Z1112)</f>
        <v>0.14771344543969445</v>
      </c>
      <c r="AB1108">
        <f>IF(ABS(MAX(P1108:P1114)) &gt; ABS(MIN(P1108:P1114)),MAX(P1108:P1114), MIN(P1108:P1114))</f>
        <v>0.23117187499998693</v>
      </c>
      <c r="AC1108">
        <f>IF(ABS(AB1109)&gt;ABS(AB1108),AB1109,AB1108)</f>
        <v>0.23117187499998693</v>
      </c>
      <c r="AH1108">
        <f>H1108-AG1073</f>
        <v>10.129757500000006</v>
      </c>
      <c r="AI1108">
        <f>100*(AH1108-O1108)/80</f>
        <v>0.1877968750000103</v>
      </c>
      <c r="AJ1108">
        <v>50.151632500000005</v>
      </c>
      <c r="AK1108">
        <v>0.18729062500000282</v>
      </c>
      <c r="AL1108">
        <v>90.290694999999999</v>
      </c>
      <c r="AM1108">
        <v>0.36211874999999338</v>
      </c>
      <c r="AN1108">
        <f>IF(ABS(MAX(AI1108:AI1114)) &gt; ABS(MIN(AI1108:AI1114)),MAX(AI1108:AI1114), MIN(AI1108:AI1114))</f>
        <v>0.36211874999999338</v>
      </c>
      <c r="AO1108">
        <f>IF(ABS(AN1109)&gt;ABS(AN1108),AN1109,AN1108)</f>
        <v>0.36211874999999338</v>
      </c>
    </row>
    <row r="1109" spans="1:41" x14ac:dyDescent="0.35">
      <c r="A1109" t="s">
        <v>264</v>
      </c>
      <c r="B1109" t="s">
        <v>1111</v>
      </c>
      <c r="C1109" t="s">
        <v>1603</v>
      </c>
      <c r="D1109">
        <v>50</v>
      </c>
      <c r="E1109">
        <v>50</v>
      </c>
      <c r="F1109">
        <v>-0.5</v>
      </c>
      <c r="G1109">
        <v>-0.50030200000000002</v>
      </c>
      <c r="H1109">
        <v>29.865625000000001</v>
      </c>
      <c r="J1109">
        <v>3434</v>
      </c>
      <c r="N1109" t="s">
        <v>187</v>
      </c>
      <c r="O1109">
        <f t="shared" si="51"/>
        <v>29.987919999999999</v>
      </c>
      <c r="P1109">
        <f t="shared" si="52"/>
        <v>-0.152868749999997</v>
      </c>
      <c r="Q1109">
        <f t="shared" si="53"/>
        <v>0.152868749999997</v>
      </c>
      <c r="Y1109">
        <f>TREND(H1108:H1112,G1108:G1112,G1109)</f>
        <v>29.983795756351757</v>
      </c>
      <c r="Z1109">
        <f>ABS((Y1109-H1109)/80*100)</f>
        <v>0.14771344543969445</v>
      </c>
      <c r="AB1109">
        <f>IF(ABS(T1108) &gt; ABS(V1108),T1108,V1108)</f>
        <v>0.23117187499998693</v>
      </c>
      <c r="AH1109">
        <f>H1109-AG1073</f>
        <v>29.970382500000007</v>
      </c>
      <c r="AI1109">
        <f>100*(AH1109-O1109)/80</f>
        <v>-2.1921874999990543E-2</v>
      </c>
      <c r="AN1109">
        <f>IF(ABS(AK1108) &gt; ABS(AM1108),AK1108,AM1108)</f>
        <v>0.36211874999999338</v>
      </c>
    </row>
    <row r="1110" spans="1:41" x14ac:dyDescent="0.35">
      <c r="A1110" t="s">
        <v>264</v>
      </c>
      <c r="B1110" t="s">
        <v>1111</v>
      </c>
      <c r="C1110" t="s">
        <v>1641</v>
      </c>
      <c r="D1110">
        <v>50</v>
      </c>
      <c r="E1110">
        <v>50</v>
      </c>
      <c r="F1110">
        <v>0</v>
      </c>
      <c r="G1110">
        <v>4.5000000000000003E-5</v>
      </c>
      <c r="H1110">
        <v>50.046875</v>
      </c>
      <c r="J1110">
        <v>3474</v>
      </c>
      <c r="N1110" t="s">
        <v>187</v>
      </c>
      <c r="O1110">
        <f t="shared" si="51"/>
        <v>50.001800000000003</v>
      </c>
      <c r="P1110">
        <f t="shared" si="52"/>
        <v>5.6343749999996362E-2</v>
      </c>
      <c r="Q1110">
        <f t="shared" si="53"/>
        <v>5.6343749999996362E-2</v>
      </c>
      <c r="Y1110">
        <f>TREND(H1108:H1112,G1108:G1112,G1110)</f>
        <v>50.043170530809682</v>
      </c>
      <c r="Z1110">
        <f>ABS((Y1110-H1110)/80*100)</f>
        <v>4.6305864878970482E-3</v>
      </c>
      <c r="AH1110">
        <f>H1110-AG1073</f>
        <v>50.151632500000005</v>
      </c>
      <c r="AI1110">
        <f>100*(AH1110-O1110)/80</f>
        <v>0.18729062500000282</v>
      </c>
    </row>
    <row r="1111" spans="1:41" x14ac:dyDescent="0.35">
      <c r="A1111" t="s">
        <v>264</v>
      </c>
      <c r="B1111" t="s">
        <v>1111</v>
      </c>
      <c r="C1111" t="s">
        <v>1678</v>
      </c>
      <c r="D1111">
        <v>50</v>
      </c>
      <c r="E1111">
        <v>50</v>
      </c>
      <c r="F1111">
        <v>0.5</v>
      </c>
      <c r="G1111">
        <v>0.49995000000000001</v>
      </c>
      <c r="H1111">
        <v>70.051562500000003</v>
      </c>
      <c r="J1111">
        <v>3508</v>
      </c>
      <c r="N1111" t="s">
        <v>187</v>
      </c>
      <c r="O1111">
        <f t="shared" si="51"/>
        <v>69.998000000000005</v>
      </c>
      <c r="P1111">
        <f t="shared" si="52"/>
        <v>6.6953124999997726E-2</v>
      </c>
      <c r="Q1111">
        <f t="shared" si="53"/>
        <v>6.6953124999997726E-2</v>
      </c>
      <c r="Y1111">
        <f>TREND(H1108:H1112,G1108:G1112,G1111)</f>
        <v>70.0848251157785</v>
      </c>
      <c r="Z1111">
        <f>ABS((Y1111-H1111)/80*100)</f>
        <v>4.1578269723121508E-2</v>
      </c>
      <c r="AH1111">
        <f>H1111-AG1073</f>
        <v>70.156320000000008</v>
      </c>
      <c r="AI1111">
        <f>100*(AH1111-O1111)/80</f>
        <v>0.19790000000000418</v>
      </c>
    </row>
    <row r="1112" spans="1:41" x14ac:dyDescent="0.35">
      <c r="A1112" t="s">
        <v>264</v>
      </c>
      <c r="B1112" t="s">
        <v>1111</v>
      </c>
      <c r="C1112" t="s">
        <v>1714</v>
      </c>
      <c r="D1112">
        <v>50</v>
      </c>
      <c r="E1112">
        <v>50</v>
      </c>
      <c r="F1112">
        <v>1</v>
      </c>
      <c r="G1112">
        <v>1.0000249999999999</v>
      </c>
      <c r="H1112">
        <v>90.185937499999994</v>
      </c>
      <c r="J1112">
        <v>3546</v>
      </c>
      <c r="N1112" t="s">
        <v>187</v>
      </c>
      <c r="O1112">
        <f t="shared" si="51"/>
        <v>90.001000000000005</v>
      </c>
      <c r="P1112">
        <f t="shared" si="52"/>
        <v>0.23117187499998693</v>
      </c>
      <c r="Q1112">
        <f t="shared" si="53"/>
        <v>0.23117187499998693</v>
      </c>
      <c r="Y1112">
        <f>TREND(H1108:H1112,G1108:G1112,G1112)</f>
        <v>90.133295158243115</v>
      </c>
      <c r="Z1112">
        <f>ABS((Y1112-H1112)/80*100)</f>
        <v>6.5802927196099148E-2</v>
      </c>
      <c r="AH1112">
        <f>H1112-AG1073</f>
        <v>90.290694999999999</v>
      </c>
      <c r="AI1112">
        <f>100*(AH1112-O1112)/80</f>
        <v>0.36211874999999338</v>
      </c>
    </row>
    <row r="1113" spans="1:41" x14ac:dyDescent="0.35">
      <c r="A1113" t="s">
        <v>264</v>
      </c>
      <c r="B1113" t="s">
        <v>1111</v>
      </c>
      <c r="C1113" t="s">
        <v>1751</v>
      </c>
      <c r="D1113">
        <v>50</v>
      </c>
      <c r="E1113">
        <v>50</v>
      </c>
      <c r="F1113">
        <v>0</v>
      </c>
      <c r="G1113">
        <v>3.0000000000000001E-5</v>
      </c>
      <c r="H1113">
        <v>50.012500000000003</v>
      </c>
      <c r="J1113">
        <v>3572</v>
      </c>
      <c r="N1113" t="s">
        <v>187</v>
      </c>
      <c r="O1113">
        <f t="shared" si="51"/>
        <v>50.001199999999997</v>
      </c>
      <c r="P1113">
        <f t="shared" si="52"/>
        <v>1.4125000000007049E-2</v>
      </c>
      <c r="Q1113">
        <f t="shared" si="53"/>
        <v>1.4125000000007049E-2</v>
      </c>
      <c r="Y1113">
        <f>TREND(H1108:H1112,G1108:G1112,G1113)</f>
        <v>50.04256916691299</v>
      </c>
      <c r="Z1113">
        <f>ABS((Y1113-H1113)/80*100)</f>
        <v>3.7586458641234444E-2</v>
      </c>
      <c r="AH1113">
        <f>H1113-AG1073</f>
        <v>50.117257500000008</v>
      </c>
      <c r="AI1113">
        <f>100*(AH1113-O1113)/80</f>
        <v>0.14507187500001351</v>
      </c>
    </row>
    <row r="1114" spans="1:41" x14ac:dyDescent="0.35">
      <c r="A1114" t="s">
        <v>264</v>
      </c>
      <c r="B1114" t="s">
        <v>1111</v>
      </c>
      <c r="C1114" t="s">
        <v>1787</v>
      </c>
      <c r="D1114">
        <v>50</v>
      </c>
      <c r="E1114">
        <v>50</v>
      </c>
      <c r="F1114">
        <v>-1</v>
      </c>
      <c r="G1114">
        <v>-1.0000249999999999</v>
      </c>
      <c r="H1114">
        <v>9.984375</v>
      </c>
      <c r="J1114">
        <v>3602</v>
      </c>
      <c r="N1114" t="s">
        <v>187</v>
      </c>
      <c r="O1114">
        <f t="shared" si="51"/>
        <v>9.9990000000000023</v>
      </c>
      <c r="P1114">
        <f t="shared" si="52"/>
        <v>-1.8281250000002913E-2</v>
      </c>
      <c r="Q1114">
        <f t="shared" si="53"/>
        <v>1.8281250000002913E-2</v>
      </c>
      <c r="Y1114">
        <f>TREND(H1108:H1112,G1108:G1112,G1114)</f>
        <v>9.9494377199961122</v>
      </c>
      <c r="Z1114">
        <f>ABS((Y1114-H1114)/80*100)</f>
        <v>4.3671600004859812E-2</v>
      </c>
      <c r="AH1114">
        <f>H1114-AG1073</f>
        <v>10.089132500000005</v>
      </c>
      <c r="AI1114">
        <f>100*(AH1114-O1114)/80</f>
        <v>0.11266562500000354</v>
      </c>
    </row>
    <row r="1115" spans="1:41" x14ac:dyDescent="0.35">
      <c r="A1115" t="s">
        <v>264</v>
      </c>
      <c r="B1115" t="s">
        <v>1111</v>
      </c>
      <c r="C1115" t="s">
        <v>1825</v>
      </c>
      <c r="D1115">
        <v>70</v>
      </c>
      <c r="E1115">
        <v>70</v>
      </c>
      <c r="F1115">
        <v>-1</v>
      </c>
      <c r="G1115">
        <v>-0.99953800000000004</v>
      </c>
      <c r="H1115">
        <v>10.010937500000001</v>
      </c>
      <c r="J1115">
        <v>11616</v>
      </c>
      <c r="N1115" t="s">
        <v>187</v>
      </c>
      <c r="O1115">
        <f t="shared" si="51"/>
        <v>10.018479999999998</v>
      </c>
      <c r="P1115">
        <f t="shared" si="52"/>
        <v>-9.4281249999972339E-3</v>
      </c>
      <c r="Q1115">
        <f t="shared" si="53"/>
        <v>9.4281249999972339E-3</v>
      </c>
      <c r="S1115">
        <v>49.985937499999999</v>
      </c>
      <c r="T1115">
        <v>-1.5978125000000176E-2</v>
      </c>
      <c r="U1115">
        <v>90.224999999999994</v>
      </c>
      <c r="V1115">
        <v>0.27020000000000266</v>
      </c>
      <c r="W1115">
        <v>80.214060974121097</v>
      </c>
      <c r="X1115">
        <f>(W1115-80)/80*100</f>
        <v>0.26757621765137074</v>
      </c>
      <c r="Y1115">
        <f>TREND(H1115:H1119,G1115:G1119,G1115)</f>
        <v>9.9409911227408045</v>
      </c>
      <c r="Z1115">
        <f>ABS((Y1115-H1115)/80*100)</f>
        <v>8.7432971573995211E-2</v>
      </c>
      <c r="AA1115">
        <f>MAX(Z1115:Z1119)</f>
        <v>9.4879823452034273E-2</v>
      </c>
      <c r="AB1115">
        <f>IF(ABS(MAX(P1115:P1121)) &gt; ABS(MIN(P1115:P1121)),MAX(P1115:P1121), MIN(P1115:P1121))</f>
        <v>0.27020000000000266</v>
      </c>
      <c r="AC1115">
        <f>IF(ABS(AB1116)&gt;ABS(AB1115),AB1116,AB1115)</f>
        <v>0.27020000000000266</v>
      </c>
      <c r="AH1115">
        <f>H1115-AG1073</f>
        <v>10.115695000000006</v>
      </c>
      <c r="AI1115">
        <f>100*(AH1115-O1115)/80</f>
        <v>0.12151875000000922</v>
      </c>
      <c r="AJ1115">
        <v>50.090695000000004</v>
      </c>
      <c r="AK1115">
        <v>0.11496875000000628</v>
      </c>
      <c r="AL1115">
        <v>90.329757499999999</v>
      </c>
      <c r="AM1115">
        <v>0.40114687500000912</v>
      </c>
      <c r="AN1115">
        <f>IF(ABS(MAX(AI1115:AI1121)) &gt; ABS(MIN(AI1115:AI1121)),MAX(AI1115:AI1121), MIN(AI1115:AI1121))</f>
        <v>0.40114687500000912</v>
      </c>
      <c r="AO1115">
        <f>IF(ABS(AN1116)&gt;ABS(AN1115),AN1116,AN1115)</f>
        <v>0.40114687500000912</v>
      </c>
    </row>
    <row r="1116" spans="1:41" x14ac:dyDescent="0.35">
      <c r="A1116" t="s">
        <v>264</v>
      </c>
      <c r="B1116" t="s">
        <v>1111</v>
      </c>
      <c r="C1116" t="s">
        <v>1862</v>
      </c>
      <c r="D1116">
        <v>70</v>
      </c>
      <c r="E1116">
        <v>70</v>
      </c>
      <c r="F1116">
        <v>-0.5</v>
      </c>
      <c r="G1116">
        <v>-0.50009700000000001</v>
      </c>
      <c r="H1116">
        <v>29.928125000000001</v>
      </c>
      <c r="J1116">
        <v>11660</v>
      </c>
      <c r="N1116" t="s">
        <v>187</v>
      </c>
      <c r="O1116">
        <f t="shared" si="51"/>
        <v>29.996119999999998</v>
      </c>
      <c r="P1116">
        <f t="shared" si="52"/>
        <v>-8.4993749999995316E-2</v>
      </c>
      <c r="Q1116">
        <f t="shared" si="53"/>
        <v>8.4993749999995316E-2</v>
      </c>
      <c r="Y1116">
        <f>TREND(H1115:H1119,G1115:G1119,G1116)</f>
        <v>29.988892348674895</v>
      </c>
      <c r="Z1116">
        <f>ABS((Y1116-H1116)/80*100)</f>
        <v>7.595918584361705E-2</v>
      </c>
      <c r="AB1116">
        <f>IF(ABS(T1115) &gt; ABS(V1115),T1115,V1115)</f>
        <v>0.27020000000000266</v>
      </c>
      <c r="AH1116">
        <f>H1116-AG1073</f>
        <v>30.032882500000007</v>
      </c>
      <c r="AI1116">
        <f>100*(AH1116-O1116)/80</f>
        <v>4.5953125000011141E-2</v>
      </c>
      <c r="AN1116">
        <f>IF(ABS(AK1115) &gt; ABS(AM1115),AK1115,AM1115)</f>
        <v>0.40114687500000912</v>
      </c>
    </row>
    <row r="1117" spans="1:41" x14ac:dyDescent="0.35">
      <c r="A1117" t="s">
        <v>264</v>
      </c>
      <c r="B1117" t="s">
        <v>1111</v>
      </c>
      <c r="C1117" t="s">
        <v>1898</v>
      </c>
      <c r="D1117">
        <v>70</v>
      </c>
      <c r="E1117">
        <v>70</v>
      </c>
      <c r="F1117">
        <v>0</v>
      </c>
      <c r="G1117">
        <v>-3.1999999999999999E-5</v>
      </c>
      <c r="H1117">
        <v>49.985937499999999</v>
      </c>
      <c r="J1117">
        <v>11697</v>
      </c>
      <c r="N1117" t="s">
        <v>187</v>
      </c>
      <c r="O1117">
        <f t="shared" si="51"/>
        <v>49.998719999999999</v>
      </c>
      <c r="P1117">
        <f t="shared" si="52"/>
        <v>-1.5978125000000176E-2</v>
      </c>
      <c r="Q1117">
        <f t="shared" si="53"/>
        <v>1.5978125000000176E-2</v>
      </c>
      <c r="Y1117">
        <f>TREND(H1115:H1119,G1115:G1119,G1117)</f>
        <v>50.061841358761626</v>
      </c>
      <c r="Z1117">
        <f>ABS((Y1117-H1117)/80*100)</f>
        <v>9.4879823452034273E-2</v>
      </c>
      <c r="AH1117">
        <f>H1117-AG1073</f>
        <v>50.090695000000004</v>
      </c>
      <c r="AI1117">
        <f>100*(AH1117-O1117)/80</f>
        <v>0.11496875000000628</v>
      </c>
    </row>
    <row r="1118" spans="1:41" x14ac:dyDescent="0.35">
      <c r="A1118" t="s">
        <v>264</v>
      </c>
      <c r="B1118" t="s">
        <v>1111</v>
      </c>
      <c r="C1118" t="s">
        <v>1935</v>
      </c>
      <c r="D1118">
        <v>70</v>
      </c>
      <c r="E1118">
        <v>70</v>
      </c>
      <c r="F1118">
        <v>0.5</v>
      </c>
      <c r="G1118">
        <v>0.499913</v>
      </c>
      <c r="H1118">
        <v>70.184375000000003</v>
      </c>
      <c r="J1118">
        <v>11727</v>
      </c>
      <c r="N1118" t="s">
        <v>187</v>
      </c>
      <c r="O1118">
        <f t="shared" si="51"/>
        <v>69.996520000000004</v>
      </c>
      <c r="P1118">
        <f t="shared" si="52"/>
        <v>0.23481874999999874</v>
      </c>
      <c r="Q1118">
        <f t="shared" si="53"/>
        <v>0.23481874999999874</v>
      </c>
      <c r="Y1118">
        <f>TREND(H1115:H1119,G1115:G1119,G1118)</f>
        <v>70.129973487280552</v>
      </c>
      <c r="Z1118">
        <f>ABS((Y1118-H1118)/80*100)</f>
        <v>6.8001890899314077E-2</v>
      </c>
      <c r="AH1118">
        <f>H1118-AG1073</f>
        <v>70.289132500000008</v>
      </c>
      <c r="AI1118">
        <f>100*(AH1118-O1118)/80</f>
        <v>0.3657656250000052</v>
      </c>
    </row>
    <row r="1119" spans="1:41" x14ac:dyDescent="0.35">
      <c r="A1119" t="s">
        <v>264</v>
      </c>
      <c r="B1119" t="s">
        <v>1111</v>
      </c>
      <c r="C1119" t="s">
        <v>1971</v>
      </c>
      <c r="D1119">
        <v>70</v>
      </c>
      <c r="E1119">
        <v>70</v>
      </c>
      <c r="F1119">
        <v>1</v>
      </c>
      <c r="G1119">
        <v>1.000221</v>
      </c>
      <c r="H1119">
        <v>90.224999999999994</v>
      </c>
      <c r="J1119">
        <v>11749</v>
      </c>
      <c r="N1119" t="s">
        <v>187</v>
      </c>
      <c r="O1119">
        <f t="shared" si="51"/>
        <v>90.008839999999992</v>
      </c>
      <c r="P1119">
        <f t="shared" si="52"/>
        <v>0.27020000000000266</v>
      </c>
      <c r="Q1119">
        <f t="shared" si="53"/>
        <v>0.27020000000000266</v>
      </c>
      <c r="Y1119">
        <f>TREND(H1115:H1119,G1115:G1119,G1119)</f>
        <v>90.21267668254211</v>
      </c>
      <c r="Z1119">
        <f>ABS((Y1119-H1119)/80*100)</f>
        <v>1.5404146822355356E-2</v>
      </c>
      <c r="AH1119">
        <f>H1119-AG1073</f>
        <v>90.329757499999999</v>
      </c>
      <c r="AI1119">
        <f>100*(AH1119-O1119)/80</f>
        <v>0.40114687500000912</v>
      </c>
    </row>
    <row r="1120" spans="1:41" x14ac:dyDescent="0.35">
      <c r="A1120" t="s">
        <v>264</v>
      </c>
      <c r="B1120" t="s">
        <v>1111</v>
      </c>
      <c r="C1120" t="s">
        <v>2007</v>
      </c>
      <c r="D1120">
        <v>70</v>
      </c>
      <c r="E1120">
        <v>70</v>
      </c>
      <c r="F1120">
        <v>0</v>
      </c>
      <c r="G1120">
        <v>-9.6000000000000002E-5</v>
      </c>
      <c r="H1120">
        <v>50.056249999999999</v>
      </c>
      <c r="J1120">
        <v>11777</v>
      </c>
      <c r="N1120" t="s">
        <v>187</v>
      </c>
      <c r="O1120">
        <f t="shared" si="51"/>
        <v>49.996160000000003</v>
      </c>
      <c r="P1120">
        <f t="shared" si="52"/>
        <v>7.5112499999994142E-2</v>
      </c>
      <c r="Q1120">
        <f t="shared" si="53"/>
        <v>7.5112499999994142E-2</v>
      </c>
      <c r="Y1120">
        <f>TREND(H1115:H1119,G1115:G1119,G1120)</f>
        <v>50.059272355258791</v>
      </c>
      <c r="Z1120">
        <f>ABS((Y1120-H1120)/80*100)</f>
        <v>3.7779440734908576E-3</v>
      </c>
      <c r="AH1120">
        <f>H1120-AG1073</f>
        <v>50.161007500000004</v>
      </c>
      <c r="AI1120">
        <f>100*(AH1120-O1120)/80</f>
        <v>0.2060593750000006</v>
      </c>
    </row>
    <row r="1121" spans="1:41" x14ac:dyDescent="0.35">
      <c r="A1121" t="s">
        <v>264</v>
      </c>
      <c r="B1121" t="s">
        <v>1111</v>
      </c>
      <c r="C1121" t="s">
        <v>2044</v>
      </c>
      <c r="D1121">
        <v>70</v>
      </c>
      <c r="E1121">
        <v>70</v>
      </c>
      <c r="F1121">
        <v>-1</v>
      </c>
      <c r="G1121">
        <v>-0.99999300000000002</v>
      </c>
      <c r="H1121">
        <v>10.020312499999999</v>
      </c>
      <c r="J1121">
        <v>11803</v>
      </c>
      <c r="N1121" t="s">
        <v>187</v>
      </c>
      <c r="O1121">
        <f t="shared" si="51"/>
        <v>10.00028</v>
      </c>
      <c r="P1121">
        <f t="shared" si="52"/>
        <v>2.5040624999999039E-2</v>
      </c>
      <c r="Q1121">
        <f t="shared" si="53"/>
        <v>2.5040624999999039E-2</v>
      </c>
      <c r="Y1121">
        <f>TREND(H1115:H1119,G1115:G1119,G1121)</f>
        <v>9.9227271134628339</v>
      </c>
      <c r="Z1121">
        <f>ABS((Y1121-H1121)/80*100)</f>
        <v>0.12198173317145677</v>
      </c>
      <c r="AH1121">
        <f>H1121-AG1073</f>
        <v>10.125070000000004</v>
      </c>
      <c r="AI1121">
        <f>100*(AH1121-O1121)/80</f>
        <v>0.1559875000000055</v>
      </c>
    </row>
    <row r="1122" spans="1:41" x14ac:dyDescent="0.35">
      <c r="A1122" t="s">
        <v>264</v>
      </c>
      <c r="B1122" t="s">
        <v>1111</v>
      </c>
      <c r="C1122" t="s">
        <v>2080</v>
      </c>
      <c r="D1122">
        <v>85</v>
      </c>
      <c r="E1122">
        <v>85</v>
      </c>
      <c r="F1122">
        <v>-1</v>
      </c>
      <c r="G1122">
        <v>-1.0000530000000001</v>
      </c>
      <c r="H1122">
        <v>10.084375</v>
      </c>
      <c r="J1122">
        <v>17831</v>
      </c>
      <c r="N1122" t="s">
        <v>187</v>
      </c>
      <c r="O1122">
        <f t="shared" si="51"/>
        <v>9.9978799999999968</v>
      </c>
      <c r="P1122">
        <f t="shared" si="52"/>
        <v>0.10811875000000359</v>
      </c>
      <c r="Q1122">
        <f t="shared" si="53"/>
        <v>0.10811875000000359</v>
      </c>
      <c r="S1122">
        <v>50.125</v>
      </c>
      <c r="T1122">
        <v>0.15884999999999927</v>
      </c>
      <c r="U1122">
        <v>90.25</v>
      </c>
      <c r="V1122">
        <v>0.30355000000000132</v>
      </c>
      <c r="W1122">
        <v>80.165625000000006</v>
      </c>
      <c r="X1122">
        <f>(W1122-80)/80*100</f>
        <v>0.20703125000000713</v>
      </c>
      <c r="Y1122">
        <f>TREND(H1122:H1126,G1122:G1126,G1122)</f>
        <v>10.016632993338824</v>
      </c>
      <c r="Z1122">
        <f>ABS((Y1122-H1122)/80*100)</f>
        <v>8.4677508326469475E-2</v>
      </c>
      <c r="AA1122">
        <f>MAX(Z1122:Z1126)</f>
        <v>0.12983377372243865</v>
      </c>
      <c r="AB1122">
        <f>IF(ABS(MAX(P1122:P1128)) &gt; ABS(MIN(P1122:P1128)),MAX(P1122:P1128), MIN(P1122:P1128))</f>
        <v>0.32931875000000943</v>
      </c>
      <c r="AC1122">
        <f>IF(ABS(AB1123)&gt;ABS(AB1122),AB1123,AB1122)</f>
        <v>0.32931875000000943</v>
      </c>
      <c r="AH1122">
        <f>H1122-AG1073</f>
        <v>10.189132500000005</v>
      </c>
      <c r="AI1122">
        <f>100*(AH1122-O1122)/80</f>
        <v>0.23906562500001005</v>
      </c>
      <c r="AJ1122">
        <v>50.229757500000005</v>
      </c>
      <c r="AK1122">
        <v>0.28979687500000573</v>
      </c>
      <c r="AL1122">
        <v>90.354757500000005</v>
      </c>
      <c r="AM1122">
        <v>0.43449687500000778</v>
      </c>
      <c r="AN1122">
        <f>IF(ABS(MAX(AI1122:AI1128)) &gt; ABS(MIN(AI1122:AI1128)),MAX(AI1122:AI1128), MIN(AI1122:AI1128))</f>
        <v>0.46026562500001589</v>
      </c>
      <c r="AO1122">
        <f>IF(ABS(AN1123)&gt;ABS(AN1122),AN1123,AN1122)</f>
        <v>0.46026562500001589</v>
      </c>
    </row>
    <row r="1123" spans="1:41" x14ac:dyDescent="0.35">
      <c r="A1123" t="s">
        <v>264</v>
      </c>
      <c r="B1123" t="s">
        <v>1111</v>
      </c>
      <c r="C1123" t="s">
        <v>2116</v>
      </c>
      <c r="D1123">
        <v>85</v>
      </c>
      <c r="E1123">
        <v>85</v>
      </c>
      <c r="F1123">
        <v>-0.5</v>
      </c>
      <c r="G1123">
        <v>-0.5</v>
      </c>
      <c r="H1123">
        <v>29.975000000000001</v>
      </c>
      <c r="J1123">
        <v>17862</v>
      </c>
      <c r="N1123" t="s">
        <v>187</v>
      </c>
      <c r="O1123">
        <f t="shared" si="51"/>
        <v>30</v>
      </c>
      <c r="P1123">
        <f t="shared" si="52"/>
        <v>-3.1249999999998224E-2</v>
      </c>
      <c r="Q1123">
        <f t="shared" si="53"/>
        <v>3.1249999999998224E-2</v>
      </c>
      <c r="Y1123">
        <f>TREND(H1122:H1126,G1122:G1126,G1123)</f>
        <v>30.078867018977952</v>
      </c>
      <c r="Z1123">
        <f>ABS((Y1123-H1123)/80*100)</f>
        <v>0.12983377372243865</v>
      </c>
      <c r="AB1123">
        <f>IF(ABS(T1122) &gt; ABS(V1122),T1122,V1122)</f>
        <v>0.30355000000000132</v>
      </c>
      <c r="AH1123">
        <f>H1123-AG1073</f>
        <v>30.079757500000007</v>
      </c>
      <c r="AI1123">
        <f>100*(AH1123-O1123)/80</f>
        <v>9.9696875000008234E-2</v>
      </c>
      <c r="AN1123">
        <f>IF(ABS(AK1122) &gt; ABS(AM1122),AK1122,AM1122)</f>
        <v>0.43449687500000778</v>
      </c>
    </row>
    <row r="1124" spans="1:41" x14ac:dyDescent="0.35">
      <c r="A1124" t="s">
        <v>264</v>
      </c>
      <c r="B1124" t="s">
        <v>1111</v>
      </c>
      <c r="C1124" t="s">
        <v>2152</v>
      </c>
      <c r="D1124">
        <v>85</v>
      </c>
      <c r="E1124">
        <v>85</v>
      </c>
      <c r="F1124">
        <v>0</v>
      </c>
      <c r="G1124">
        <v>-5.1999999999999997E-5</v>
      </c>
      <c r="H1124">
        <v>50.125</v>
      </c>
      <c r="J1124">
        <v>17886</v>
      </c>
      <c r="N1124" t="s">
        <v>187</v>
      </c>
      <c r="O1124">
        <f t="shared" si="51"/>
        <v>49.997920000000001</v>
      </c>
      <c r="P1124">
        <f t="shared" si="52"/>
        <v>0.15884999999999927</v>
      </c>
      <c r="Q1124">
        <f t="shared" si="53"/>
        <v>0.15884999999999927</v>
      </c>
      <c r="Y1124">
        <f>TREND(H1122:H1126,G1122:G1126,G1124)</f>
        <v>50.13688842200969</v>
      </c>
      <c r="Z1124">
        <f>ABS((Y1124-H1124)/80*100)</f>
        <v>1.4860527512112755E-2</v>
      </c>
      <c r="AH1124">
        <f>H1124-AG1073</f>
        <v>50.229757500000005</v>
      </c>
      <c r="AI1124">
        <f>100*(AH1124-O1124)/80</f>
        <v>0.28979687500000573</v>
      </c>
    </row>
    <row r="1125" spans="1:41" x14ac:dyDescent="0.35">
      <c r="A1125" t="s">
        <v>264</v>
      </c>
      <c r="B1125" t="s">
        <v>1111</v>
      </c>
      <c r="C1125" t="s">
        <v>2190</v>
      </c>
      <c r="D1125">
        <v>85</v>
      </c>
      <c r="E1125">
        <v>85</v>
      </c>
      <c r="F1125">
        <v>0.5</v>
      </c>
      <c r="G1125">
        <v>0.49989800000000001</v>
      </c>
      <c r="H1125">
        <v>70.259375000000006</v>
      </c>
      <c r="J1125">
        <v>17910</v>
      </c>
      <c r="N1125" t="s">
        <v>187</v>
      </c>
      <c r="O1125">
        <f t="shared" si="51"/>
        <v>69.995919999999998</v>
      </c>
      <c r="P1125">
        <f t="shared" si="52"/>
        <v>0.32931875000000943</v>
      </c>
      <c r="Q1125">
        <f t="shared" si="53"/>
        <v>0.32931875000000943</v>
      </c>
      <c r="Y1125">
        <f>TREND(H1122:H1126,G1122:G1126,G1125)</f>
        <v>70.194990065472041</v>
      </c>
      <c r="Z1125">
        <f>ABS((Y1125-H1125)/80*100)</f>
        <v>8.0481168159955985E-2</v>
      </c>
      <c r="AH1125">
        <f>H1125-AG1073</f>
        <v>70.364132500000011</v>
      </c>
      <c r="AI1125">
        <f>100*(AH1125-O1125)/80</f>
        <v>0.46026562500001589</v>
      </c>
    </row>
    <row r="1126" spans="1:41" x14ac:dyDescent="0.35">
      <c r="A1126" t="s">
        <v>264</v>
      </c>
      <c r="B1126" t="s">
        <v>1111</v>
      </c>
      <c r="C1126" t="s">
        <v>2226</v>
      </c>
      <c r="D1126">
        <v>85</v>
      </c>
      <c r="E1126">
        <v>85</v>
      </c>
      <c r="F1126">
        <v>1</v>
      </c>
      <c r="G1126">
        <v>1.0001789999999999</v>
      </c>
      <c r="H1126">
        <v>90.25</v>
      </c>
      <c r="J1126">
        <v>17933</v>
      </c>
      <c r="N1126" t="s">
        <v>187</v>
      </c>
      <c r="O1126">
        <f t="shared" si="51"/>
        <v>90.007159999999999</v>
      </c>
      <c r="P1126">
        <f t="shared" si="52"/>
        <v>0.30355000000000132</v>
      </c>
      <c r="Q1126">
        <f t="shared" si="53"/>
        <v>0.30355000000000132</v>
      </c>
      <c r="Y1126">
        <f>TREND(H1122:H1126,G1122:G1126,G1126)</f>
        <v>90.266371500201501</v>
      </c>
      <c r="Z1126">
        <f>ABS((Y1126-H1126)/80*100)</f>
        <v>2.0464375251876277E-2</v>
      </c>
      <c r="AH1126">
        <f>H1126-AG1073</f>
        <v>90.354757500000005</v>
      </c>
      <c r="AI1126">
        <f>100*(AH1126-O1126)/80</f>
        <v>0.43449687500000778</v>
      </c>
    </row>
    <row r="1127" spans="1:41" x14ac:dyDescent="0.35">
      <c r="A1127" t="s">
        <v>264</v>
      </c>
      <c r="B1127" t="s">
        <v>1111</v>
      </c>
      <c r="C1127" t="s">
        <v>2262</v>
      </c>
      <c r="D1127">
        <v>85</v>
      </c>
      <c r="E1127">
        <v>85</v>
      </c>
      <c r="F1127">
        <v>0</v>
      </c>
      <c r="G1127">
        <v>2.3E-5</v>
      </c>
      <c r="H1127">
        <v>50.035937500000003</v>
      </c>
      <c r="J1127">
        <v>17959</v>
      </c>
      <c r="N1127" t="s">
        <v>187</v>
      </c>
      <c r="O1127">
        <f t="shared" si="51"/>
        <v>50.000920000000008</v>
      </c>
      <c r="P1127">
        <f t="shared" si="52"/>
        <v>4.3771874999993798E-2</v>
      </c>
      <c r="Q1127">
        <f t="shared" si="53"/>
        <v>4.3771874999993798E-2</v>
      </c>
      <c r="Y1127">
        <f>TREND(H1122:H1126,G1122:G1126,G1127)</f>
        <v>50.139897438157824</v>
      </c>
      <c r="Z1127">
        <f>ABS((Y1127-H1127)/80*100)</f>
        <v>0.12994992269727668</v>
      </c>
      <c r="AH1127">
        <f>H1127-AG1073</f>
        <v>50.140695000000008</v>
      </c>
      <c r="AI1127">
        <f>100*(AH1127-O1127)/80</f>
        <v>0.17471875000000026</v>
      </c>
    </row>
    <row r="1128" spans="1:41" x14ac:dyDescent="0.35">
      <c r="A1128" t="s">
        <v>264</v>
      </c>
      <c r="B1128" t="s">
        <v>1111</v>
      </c>
      <c r="C1128" t="s">
        <v>2300</v>
      </c>
      <c r="D1128">
        <v>85</v>
      </c>
      <c r="E1128">
        <v>85</v>
      </c>
      <c r="F1128">
        <v>-1</v>
      </c>
      <c r="G1128">
        <v>-1.0006090000000001</v>
      </c>
      <c r="H1128">
        <v>10.0609375</v>
      </c>
      <c r="J1128">
        <v>17971</v>
      </c>
      <c r="N1128" t="s">
        <v>187</v>
      </c>
      <c r="O1128">
        <f t="shared" si="51"/>
        <v>9.9756399999999967</v>
      </c>
      <c r="P1128">
        <f t="shared" si="52"/>
        <v>0.10662187500000364</v>
      </c>
      <c r="Q1128">
        <f t="shared" si="53"/>
        <v>0.10662187500000364</v>
      </c>
      <c r="Y1128">
        <f>TREND(H1122:H1126,G1122:G1126,G1128)</f>
        <v>9.9943261536273198</v>
      </c>
      <c r="Z1128">
        <f>ABS((Y1128-H1128)/80*100)</f>
        <v>8.3264182965849809E-2</v>
      </c>
      <c r="AH1128">
        <f>H1128-AG1073</f>
        <v>10.165695000000005</v>
      </c>
      <c r="AI1128">
        <f>100*(AH1128-O1128)/80</f>
        <v>0.2375687500000101</v>
      </c>
    </row>
    <row r="1129" spans="1:41" x14ac:dyDescent="0.35">
      <c r="A1129" t="s">
        <v>264</v>
      </c>
      <c r="B1129" t="s">
        <v>1111</v>
      </c>
      <c r="C1129" t="s">
        <v>2337</v>
      </c>
      <c r="D1129">
        <v>25</v>
      </c>
      <c r="E1129">
        <v>25</v>
      </c>
      <c r="F1129">
        <v>-1</v>
      </c>
      <c r="G1129">
        <v>-1.0002230000000001</v>
      </c>
      <c r="H1129">
        <v>9.9109374999999993</v>
      </c>
      <c r="J1129">
        <v>-5480</v>
      </c>
      <c r="N1129" t="s">
        <v>187</v>
      </c>
      <c r="O1129">
        <f t="shared" si="51"/>
        <v>9.9910799999999966</v>
      </c>
      <c r="P1129">
        <f t="shared" si="52"/>
        <v>-0.10017812499999668</v>
      </c>
      <c r="Q1129">
        <f t="shared" si="53"/>
        <v>0.10017812499999668</v>
      </c>
      <c r="S1129">
        <v>49.878124999999997</v>
      </c>
      <c r="T1129">
        <v>-0.145293750000004</v>
      </c>
      <c r="U1129">
        <v>90.015625</v>
      </c>
      <c r="V1129">
        <v>1.4831250000000296E-2</v>
      </c>
      <c r="W1129">
        <v>80.104687499999997</v>
      </c>
      <c r="X1129">
        <f>(W1129-80)/80*100</f>
        <v>0.13085937499999645</v>
      </c>
      <c r="Y1129">
        <f>TREND(H1129:H1133,G1129:G1133,G1129)</f>
        <v>9.8468714766824021</v>
      </c>
      <c r="Z1129">
        <f>ABS((Y1129-H1129)/80*100)</f>
        <v>8.0082529146996428E-2</v>
      </c>
      <c r="AA1129">
        <f>MAX(Z1129:Z1133)</f>
        <v>8.5308762294284968E-2</v>
      </c>
      <c r="AB1129">
        <f>IF(ABS(MAX(P1129:P1135)) &gt; ABS(MIN(P1129:P1135)),MAX(P1129:P1135), MIN(P1129:P1135))</f>
        <v>-0.22031875000000145</v>
      </c>
      <c r="AC1129">
        <f>IF(ABS(AB1130)&gt;ABS(AB1129),AB1130,AB1129)</f>
        <v>-0.22031875000000145</v>
      </c>
      <c r="AH1129">
        <f>H1129-AG1073</f>
        <v>10.015695000000004</v>
      </c>
      <c r="AI1129">
        <f>100*(AH1129-O1129)/80</f>
        <v>3.0768750000009781E-2</v>
      </c>
      <c r="AJ1129">
        <v>49.982882500000002</v>
      </c>
      <c r="AK1129">
        <v>-1.4346874999997539E-2</v>
      </c>
      <c r="AL1129">
        <v>90.120382500000005</v>
      </c>
      <c r="AM1129">
        <v>0.14577812500000675</v>
      </c>
      <c r="AN1129">
        <f>IF(ABS(MAX(AI1129:AI1135)) &gt; ABS(MIN(AI1129:AI1135)),MAX(AI1129:AI1135), MIN(AI1129:AI1135))</f>
        <v>0.14577812500000675</v>
      </c>
      <c r="AO1129">
        <f>IF(ABS(AN1130)&gt;ABS(AN1129),AN1130,AN1129)</f>
        <v>0.14577812500000675</v>
      </c>
    </row>
    <row r="1130" spans="1:41" x14ac:dyDescent="0.35">
      <c r="A1130" t="s">
        <v>264</v>
      </c>
      <c r="B1130" t="s">
        <v>1111</v>
      </c>
      <c r="C1130" t="s">
        <v>2373</v>
      </c>
      <c r="D1130">
        <v>25</v>
      </c>
      <c r="E1130">
        <v>25</v>
      </c>
      <c r="F1130">
        <v>-0.5</v>
      </c>
      <c r="G1130">
        <v>-0.50020299999999995</v>
      </c>
      <c r="H1130">
        <v>29.815625000000001</v>
      </c>
      <c r="J1130">
        <v>-5532</v>
      </c>
      <c r="N1130" t="s">
        <v>187</v>
      </c>
      <c r="O1130">
        <f t="shared" si="51"/>
        <v>29.991880000000002</v>
      </c>
      <c r="P1130">
        <f t="shared" si="52"/>
        <v>-0.22031875000000145</v>
      </c>
      <c r="Q1130">
        <f t="shared" si="53"/>
        <v>0.22031875000000145</v>
      </c>
      <c r="Y1130">
        <f>TREND(H1129:H1133,G1129:G1133,G1130)</f>
        <v>29.883872009835429</v>
      </c>
      <c r="Z1130">
        <f>ABS((Y1130-H1130)/80*100)</f>
        <v>8.5308762294284968E-2</v>
      </c>
      <c r="AB1130">
        <f>IF(ABS(T1129) &gt; ABS(V1129),T1129,V1129)</f>
        <v>-0.145293750000004</v>
      </c>
      <c r="AH1130">
        <f>H1130-AG1073</f>
        <v>29.920382500000006</v>
      </c>
      <c r="AI1130">
        <f>100*(AH1130-O1130)/80</f>
        <v>-8.9371874999994994E-2</v>
      </c>
      <c r="AN1130">
        <f>IF(ABS(AK1129) &gt; ABS(AM1129),AK1129,AM1129)</f>
        <v>0.14577812500000675</v>
      </c>
    </row>
    <row r="1131" spans="1:41" x14ac:dyDescent="0.35">
      <c r="A1131" t="s">
        <v>264</v>
      </c>
      <c r="B1131" t="s">
        <v>1111</v>
      </c>
      <c r="C1131" t="s">
        <v>2410</v>
      </c>
      <c r="D1131">
        <v>25</v>
      </c>
      <c r="E1131">
        <v>25</v>
      </c>
      <c r="F1131">
        <v>0</v>
      </c>
      <c r="G1131">
        <v>-1.4100000000000001E-4</v>
      </c>
      <c r="H1131">
        <v>49.878124999999997</v>
      </c>
      <c r="J1131">
        <v>-5601</v>
      </c>
      <c r="N1131" t="s">
        <v>187</v>
      </c>
      <c r="O1131">
        <f t="shared" si="51"/>
        <v>49.99436</v>
      </c>
      <c r="P1131">
        <f t="shared" si="52"/>
        <v>-0.145293750000004</v>
      </c>
      <c r="Q1131">
        <f t="shared" si="53"/>
        <v>0.145293750000004</v>
      </c>
      <c r="Y1131">
        <f>TREND(H1129:H1133,G1129:G1133,G1131)</f>
        <v>49.922555583711606</v>
      </c>
      <c r="Z1131">
        <f>ABS((Y1131-H1131)/80*100)</f>
        <v>5.5538229639511279E-2</v>
      </c>
      <c r="AH1131">
        <f>H1131-AG1073</f>
        <v>49.982882500000002</v>
      </c>
      <c r="AI1131">
        <f>100*(AH1131-O1131)/80</f>
        <v>-1.4346874999997539E-2</v>
      </c>
    </row>
    <row r="1132" spans="1:41" x14ac:dyDescent="0.35">
      <c r="A1132" t="s">
        <v>264</v>
      </c>
      <c r="B1132" t="s">
        <v>1111</v>
      </c>
      <c r="C1132" t="s">
        <v>2446</v>
      </c>
      <c r="D1132">
        <v>25</v>
      </c>
      <c r="E1132">
        <v>25</v>
      </c>
      <c r="F1132">
        <v>0.5</v>
      </c>
      <c r="G1132">
        <v>0.50007299999999999</v>
      </c>
      <c r="H1132">
        <v>70.004687500000003</v>
      </c>
      <c r="J1132">
        <v>-5653</v>
      </c>
      <c r="N1132" t="s">
        <v>187</v>
      </c>
      <c r="O1132">
        <f t="shared" si="51"/>
        <v>70.002920000000003</v>
      </c>
      <c r="P1132">
        <f t="shared" si="52"/>
        <v>2.2093749999996248E-3</v>
      </c>
      <c r="Q1132">
        <f t="shared" si="53"/>
        <v>2.2093749999996248E-3</v>
      </c>
      <c r="Y1132">
        <f>TREND(H1129:H1133,G1129:G1133,G1132)</f>
        <v>69.967330162109675</v>
      </c>
      <c r="Z1132">
        <f>ABS((Y1132-H1132)/80*100)</f>
        <v>4.6696672362909197E-2</v>
      </c>
      <c r="AH1132">
        <f>H1132-AG1073</f>
        <v>70.109445000000008</v>
      </c>
      <c r="AI1132">
        <f>100*(AH1132-O1132)/80</f>
        <v>0.13315625000000608</v>
      </c>
    </row>
    <row r="1133" spans="1:41" x14ac:dyDescent="0.35">
      <c r="A1133" t="s">
        <v>264</v>
      </c>
      <c r="B1133" t="s">
        <v>1111</v>
      </c>
      <c r="C1133" t="s">
        <v>2484</v>
      </c>
      <c r="D1133">
        <v>25</v>
      </c>
      <c r="E1133">
        <v>25</v>
      </c>
      <c r="F1133">
        <v>1</v>
      </c>
      <c r="G1133">
        <v>1.000094</v>
      </c>
      <c r="H1133">
        <v>90.015625</v>
      </c>
      <c r="J1133">
        <v>-5710</v>
      </c>
      <c r="N1133" t="s">
        <v>187</v>
      </c>
      <c r="O1133">
        <f t="shared" si="51"/>
        <v>90.00376</v>
      </c>
      <c r="P1133">
        <f t="shared" si="52"/>
        <v>1.4831250000000296E-2</v>
      </c>
      <c r="Q1133">
        <f t="shared" si="53"/>
        <v>1.4831250000000296E-2</v>
      </c>
      <c r="Y1133">
        <f>TREND(H1129:H1133,G1129:G1133,G1133)</f>
        <v>90.004370767660873</v>
      </c>
      <c r="Z1133">
        <f>ABS((Y1133-H1133)/80*100)</f>
        <v>1.4067790423908377E-2</v>
      </c>
      <c r="AH1133">
        <f>H1133-AG1073</f>
        <v>90.120382500000005</v>
      </c>
      <c r="AI1133">
        <f>100*(AH1133-O1133)/80</f>
        <v>0.14577812500000675</v>
      </c>
    </row>
    <row r="1134" spans="1:41" x14ac:dyDescent="0.35">
      <c r="A1134" t="s">
        <v>264</v>
      </c>
      <c r="B1134" t="s">
        <v>1111</v>
      </c>
      <c r="C1134" t="s">
        <v>2520</v>
      </c>
      <c r="D1134">
        <v>25</v>
      </c>
      <c r="E1134">
        <v>25</v>
      </c>
      <c r="F1134">
        <v>0</v>
      </c>
      <c r="G1134">
        <v>-1.44E-4</v>
      </c>
      <c r="H1134">
        <v>49.848437500000003</v>
      </c>
      <c r="J1134">
        <v>-5768</v>
      </c>
      <c r="N1134" t="s">
        <v>187</v>
      </c>
      <c r="O1134">
        <f t="shared" si="51"/>
        <v>49.994239999999998</v>
      </c>
      <c r="P1134">
        <f t="shared" si="52"/>
        <v>-0.18225312499999369</v>
      </c>
      <c r="Q1134">
        <f t="shared" si="53"/>
        <v>0.18225312499999369</v>
      </c>
      <c r="Y1134">
        <f>TREND(H1129:H1133,G1129:G1133,G1134)</f>
        <v>49.922435366517092</v>
      </c>
      <c r="Z1134">
        <f>ABS((Y1134-H1134)/80*100)</f>
        <v>9.2497333146361882E-2</v>
      </c>
      <c r="AH1134">
        <f>H1134-AG1073</f>
        <v>49.953195000000008</v>
      </c>
      <c r="AI1134">
        <f>100*(AH1134-O1134)/80</f>
        <v>-5.130624999998723E-2</v>
      </c>
    </row>
    <row r="1135" spans="1:41" x14ac:dyDescent="0.35">
      <c r="A1135" t="s">
        <v>264</v>
      </c>
      <c r="B1135" t="s">
        <v>1111</v>
      </c>
      <c r="C1135" t="s">
        <v>2555</v>
      </c>
      <c r="D1135">
        <v>25</v>
      </c>
      <c r="E1135">
        <v>25</v>
      </c>
      <c r="F1135">
        <v>-1</v>
      </c>
      <c r="G1135">
        <v>-0.999884</v>
      </c>
      <c r="H1135">
        <v>9.8406249999999993</v>
      </c>
      <c r="J1135">
        <v>-5797</v>
      </c>
      <c r="N1135" t="s">
        <v>187</v>
      </c>
      <c r="O1135">
        <f t="shared" si="51"/>
        <v>10.00464</v>
      </c>
      <c r="P1135">
        <f t="shared" si="52"/>
        <v>-0.20501875000000114</v>
      </c>
      <c r="Q1135">
        <f t="shared" si="53"/>
        <v>0.20501875000000114</v>
      </c>
      <c r="Y1135">
        <f>TREND(H1129:H1133,G1129:G1133,G1135)</f>
        <v>9.8604560196621591</v>
      </c>
      <c r="Z1135">
        <f>ABS((Y1135-H1135)/80*100)</f>
        <v>2.478877457769979E-2</v>
      </c>
      <c r="AH1135">
        <f>H1135-AG1073</f>
        <v>9.9453825000000045</v>
      </c>
      <c r="AI1135">
        <f>100*(AH1135-O1135)/80</f>
        <v>-7.407187499999468E-2</v>
      </c>
    </row>
    <row r="1136" spans="1:41" x14ac:dyDescent="0.35">
      <c r="A1136" t="s">
        <v>266</v>
      </c>
      <c r="B1136" t="s">
        <v>231</v>
      </c>
      <c r="C1136" t="s">
        <v>267</v>
      </c>
      <c r="D1136">
        <v>25</v>
      </c>
      <c r="E1136">
        <v>25</v>
      </c>
      <c r="F1136">
        <v>-1</v>
      </c>
      <c r="G1136">
        <v>-1.000162</v>
      </c>
      <c r="H1136">
        <v>10.009375</v>
      </c>
      <c r="J1136">
        <v>-6250</v>
      </c>
      <c r="N1136" t="s">
        <v>188</v>
      </c>
      <c r="O1136">
        <f t="shared" si="51"/>
        <v>9.9935200000000002</v>
      </c>
      <c r="P1136">
        <f t="shared" si="52"/>
        <v>1.9818750000000218E-2</v>
      </c>
      <c r="Q1136">
        <f t="shared" si="53"/>
        <v>1.9818750000000218E-2</v>
      </c>
      <c r="S1136">
        <v>50.029687500000001</v>
      </c>
      <c r="T1136">
        <v>3.0409374999997851E-2</v>
      </c>
      <c r="U1136">
        <v>90.153125000000003</v>
      </c>
      <c r="V1136">
        <v>0.18190625000000793</v>
      </c>
      <c r="W1136">
        <v>80.143746948242182</v>
      </c>
      <c r="X1136">
        <f>(W1136-80)/80*100</f>
        <v>0.17968368530272727</v>
      </c>
      <c r="Y1136">
        <f>TREND(H1136:H1140,G1136:G1140,G1136)</f>
        <v>9.9736938014309473</v>
      </c>
      <c r="Z1136">
        <f>ABS((Y1136-H1136)/80*100)</f>
        <v>4.4601498211316315E-2</v>
      </c>
      <c r="AA1136">
        <f>MAX(Z1136:Z1140)</f>
        <v>6.0455571265034529E-2</v>
      </c>
      <c r="AB1136">
        <f>IF(ABS(MAX(P1136:P1142)) &gt; ABS(MIN(P1136:P1142)),MAX(P1136:P1142), MIN(P1136:P1142))</f>
        <v>0.19672499999998649</v>
      </c>
      <c r="AC1136">
        <f>IF(ABS(AB1137)&gt;ABS(AB1136),AB1137,AB1136)</f>
        <v>0.19672499999998649</v>
      </c>
      <c r="AD1136">
        <f>MAX(AD1137:AD1138)</f>
        <v>4.9721874999999471E-2</v>
      </c>
      <c r="AE1136">
        <f>MAX(AE1137:AE1157)</f>
        <v>0.22461874999999187</v>
      </c>
      <c r="AF1136">
        <f>MAX(AD1136,AA1136)</f>
        <v>6.0455571265034529E-2</v>
      </c>
      <c r="AG1136">
        <f>H1138-O1138</f>
        <v>2.4327499999998281E-2</v>
      </c>
      <c r="AH1136">
        <f>H1136-AG1136</f>
        <v>9.9850475000000021</v>
      </c>
      <c r="AI1136">
        <f>100*(AH1136-O1136)/80</f>
        <v>-1.0590624999997633E-2</v>
      </c>
      <c r="AJ1136">
        <v>50.005360000000003</v>
      </c>
      <c r="AK1136">
        <v>0</v>
      </c>
      <c r="AL1136">
        <v>90.128797500000005</v>
      </c>
      <c r="AM1136">
        <v>0.15149687500001008</v>
      </c>
      <c r="AN1136">
        <f>IF(ABS(MAX(AI1136:AI1142)) &gt; ABS(MIN(AI1136:AI1142)),MAX(AI1136:AI1142), MIN(AI1136:AI1142))</f>
        <v>0.16631562499998864</v>
      </c>
      <c r="AO1136">
        <f>IF(ABS(AN1137)&gt;ABS(AN1136),AN1137,AN1136)</f>
        <v>0.16631562499998864</v>
      </c>
    </row>
    <row r="1137" spans="1:41" x14ac:dyDescent="0.35">
      <c r="A1137" t="s">
        <v>266</v>
      </c>
      <c r="B1137" t="s">
        <v>231</v>
      </c>
      <c r="C1137" t="s">
        <v>324</v>
      </c>
      <c r="D1137">
        <v>25</v>
      </c>
      <c r="E1137">
        <v>25</v>
      </c>
      <c r="F1137">
        <v>-0.5</v>
      </c>
      <c r="G1137">
        <v>-0.50026700000000002</v>
      </c>
      <c r="H1137">
        <v>29.9765625</v>
      </c>
      <c r="J1137">
        <v>-6253</v>
      </c>
      <c r="N1137" t="s">
        <v>188</v>
      </c>
      <c r="O1137">
        <f t="shared" si="51"/>
        <v>29.989319999999999</v>
      </c>
      <c r="P1137">
        <f t="shared" si="52"/>
        <v>-1.5946874999999139E-2</v>
      </c>
      <c r="Q1137">
        <f t="shared" si="53"/>
        <v>1.5946874999999139E-2</v>
      </c>
      <c r="Y1137">
        <f>TREND(H1136:H1140,G1136:G1140,G1137)</f>
        <v>30.012423729908541</v>
      </c>
      <c r="Z1137">
        <f>ABS((Y1137-H1137)/80*100)</f>
        <v>4.4826537385675991E-2</v>
      </c>
      <c r="AB1137">
        <f>IF(ABS(T1136) &gt; ABS(V1136),T1136,V1136)</f>
        <v>0.18190625000000793</v>
      </c>
      <c r="AD1137">
        <f>ABS(P1138-P1141)</f>
        <v>4.9721874999999471E-2</v>
      </c>
      <c r="AE1137">
        <f>ABS(P1164-P1136)</f>
        <v>3.6268749999994743E-2</v>
      </c>
      <c r="AH1137">
        <f>H1137-AG1136</f>
        <v>29.952235000000002</v>
      </c>
      <c r="AI1137">
        <f>100*(AH1137-O1137)/80</f>
        <v>-4.635624999999699E-2</v>
      </c>
      <c r="AN1137">
        <f>IF(ABS(AK1136) &gt; ABS(AM1136),AK1136,AM1136)</f>
        <v>0.15149687500001008</v>
      </c>
    </row>
    <row r="1138" spans="1:41" x14ac:dyDescent="0.35">
      <c r="A1138" t="s">
        <v>266</v>
      </c>
      <c r="B1138" t="s">
        <v>231</v>
      </c>
      <c r="C1138" t="s">
        <v>361</v>
      </c>
      <c r="D1138">
        <v>25</v>
      </c>
      <c r="E1138">
        <v>25</v>
      </c>
      <c r="F1138">
        <v>0</v>
      </c>
      <c r="G1138">
        <v>1.34E-4</v>
      </c>
      <c r="H1138">
        <v>50.029687500000001</v>
      </c>
      <c r="J1138">
        <v>-6248</v>
      </c>
      <c r="N1138" t="s">
        <v>188</v>
      </c>
      <c r="O1138">
        <f t="shared" si="51"/>
        <v>50.005360000000003</v>
      </c>
      <c r="P1138">
        <f t="shared" si="52"/>
        <v>3.0409374999997851E-2</v>
      </c>
      <c r="Q1138">
        <f t="shared" si="53"/>
        <v>3.0409374999997851E-2</v>
      </c>
      <c r="Y1138">
        <f>TREND(H1136:H1140,G1136:G1140,G1138)</f>
        <v>50.071437112599135</v>
      </c>
      <c r="Z1138">
        <f>ABS((Y1138-H1138)/80*100)</f>
        <v>5.2187015748916821E-2</v>
      </c>
      <c r="AD1138">
        <f>ABS(P1136-P1142)</f>
        <v>5.2781250000011326E-3</v>
      </c>
      <c r="AE1138">
        <f>ABS(P1165-P1137)</f>
        <v>1.7468749999998145E-2</v>
      </c>
      <c r="AH1138">
        <f>H1138-AG1136</f>
        <v>50.005360000000003</v>
      </c>
      <c r="AI1138">
        <f>100*(AH1138-O1138)/80</f>
        <v>0</v>
      </c>
    </row>
    <row r="1139" spans="1:41" x14ac:dyDescent="0.35">
      <c r="A1139" t="s">
        <v>266</v>
      </c>
      <c r="B1139" t="s">
        <v>231</v>
      </c>
      <c r="C1139" t="s">
        <v>397</v>
      </c>
      <c r="D1139">
        <v>25</v>
      </c>
      <c r="E1139">
        <v>25</v>
      </c>
      <c r="F1139">
        <v>0.5</v>
      </c>
      <c r="G1139">
        <v>0.50012800000000002</v>
      </c>
      <c r="H1139">
        <v>70.162499999999994</v>
      </c>
      <c r="J1139">
        <v>-6259</v>
      </c>
      <c r="N1139" t="s">
        <v>188</v>
      </c>
      <c r="O1139">
        <f t="shared" si="51"/>
        <v>70.005120000000005</v>
      </c>
      <c r="P1139">
        <f t="shared" si="52"/>
        <v>0.19672499999998649</v>
      </c>
      <c r="Q1139">
        <f t="shared" si="53"/>
        <v>0.19672499999998649</v>
      </c>
      <c r="Y1139">
        <f>TREND(H1136:H1140,G1136:G1140,G1139)</f>
        <v>70.114135542987967</v>
      </c>
      <c r="Z1139">
        <f>ABS((Y1139-H1139)/80*100)</f>
        <v>6.0455571265034529E-2</v>
      </c>
      <c r="AE1139">
        <f>ABS(P1166-P1138)</f>
        <v>1.749999999933749E-4</v>
      </c>
      <c r="AH1139">
        <f>H1139-AG1136</f>
        <v>70.138172499999996</v>
      </c>
      <c r="AI1139">
        <f>100*(AH1139-O1139)/80</f>
        <v>0.16631562499998864</v>
      </c>
    </row>
    <row r="1140" spans="1:41" x14ac:dyDescent="0.35">
      <c r="A1140" t="s">
        <v>266</v>
      </c>
      <c r="B1140" t="s">
        <v>231</v>
      </c>
      <c r="C1140" t="s">
        <v>435</v>
      </c>
      <c r="D1140">
        <v>25</v>
      </c>
      <c r="E1140">
        <v>25</v>
      </c>
      <c r="F1140">
        <v>1</v>
      </c>
      <c r="G1140">
        <v>1.0001899999999999</v>
      </c>
      <c r="H1140">
        <v>90.153125000000003</v>
      </c>
      <c r="J1140">
        <v>-6254</v>
      </c>
      <c r="N1140" t="s">
        <v>188</v>
      </c>
      <c r="O1140">
        <f t="shared" si="51"/>
        <v>90.007599999999996</v>
      </c>
      <c r="P1140">
        <f t="shared" si="52"/>
        <v>0.18190625000000793</v>
      </c>
      <c r="Q1140">
        <f t="shared" si="53"/>
        <v>0.18190625000000793</v>
      </c>
      <c r="Y1140">
        <f>TREND(H1136:H1140,G1136:G1140,G1140)</f>
        <v>90.1595598130734</v>
      </c>
      <c r="Z1140">
        <f>ABS((Y1140-H1140)/80*100)</f>
        <v>8.0435163417469369E-3</v>
      </c>
      <c r="AE1140">
        <f>ABS(P1167-P1139)</f>
        <v>4.9618750000028911E-2</v>
      </c>
      <c r="AH1140">
        <f>H1140-AG1136</f>
        <v>90.128797500000005</v>
      </c>
      <c r="AI1140">
        <f>100*(AH1140-O1140)/80</f>
        <v>0.15149687500001008</v>
      </c>
    </row>
    <row r="1141" spans="1:41" x14ac:dyDescent="0.35">
      <c r="A1141" t="s">
        <v>266</v>
      </c>
      <c r="B1141" t="s">
        <v>231</v>
      </c>
      <c r="C1141" t="s">
        <v>471</v>
      </c>
      <c r="D1141">
        <v>25</v>
      </c>
      <c r="E1141">
        <v>25</v>
      </c>
      <c r="F1141">
        <v>0</v>
      </c>
      <c r="G1141">
        <v>2.3000000000000001E-4</v>
      </c>
      <c r="H1141">
        <v>49.993749999999999</v>
      </c>
      <c r="J1141">
        <v>-6253</v>
      </c>
      <c r="N1141" t="s">
        <v>188</v>
      </c>
      <c r="O1141">
        <f t="shared" si="51"/>
        <v>50.0092</v>
      </c>
      <c r="P1141">
        <f t="shared" si="52"/>
        <v>-1.931250000000162E-2</v>
      </c>
      <c r="Q1141">
        <f t="shared" si="53"/>
        <v>1.931250000000162E-2</v>
      </c>
      <c r="Y1141">
        <f>TREND(H1136:H1140,G1136:G1140,G1141)</f>
        <v>50.075285356876705</v>
      </c>
      <c r="Z1141">
        <f>ABS((Y1141-H1141)/80*100)</f>
        <v>0.10191919609588318</v>
      </c>
      <c r="AE1141">
        <f>ABS(P1168-P1140)</f>
        <v>9.5537500000002495E-2</v>
      </c>
      <c r="AH1141">
        <f>H1141-AG1136</f>
        <v>49.9694225</v>
      </c>
      <c r="AI1141">
        <f>100*(AH1141-O1141)/80</f>
        <v>-4.9721874999999471E-2</v>
      </c>
    </row>
    <row r="1142" spans="1:41" x14ac:dyDescent="0.35">
      <c r="A1142" t="s">
        <v>266</v>
      </c>
      <c r="B1142" t="s">
        <v>231</v>
      </c>
      <c r="C1142" t="s">
        <v>509</v>
      </c>
      <c r="D1142">
        <v>25</v>
      </c>
      <c r="E1142">
        <v>25</v>
      </c>
      <c r="F1142">
        <v>-1</v>
      </c>
      <c r="G1142">
        <v>-0.99991600000000003</v>
      </c>
      <c r="H1142">
        <v>10.0234375</v>
      </c>
      <c r="J1142">
        <v>-6259</v>
      </c>
      <c r="N1142" t="s">
        <v>188</v>
      </c>
      <c r="O1142">
        <f t="shared" si="51"/>
        <v>10.003359999999999</v>
      </c>
      <c r="P1142">
        <f t="shared" si="52"/>
        <v>2.5096875000001351E-2</v>
      </c>
      <c r="Q1142">
        <f t="shared" si="53"/>
        <v>2.5096875000001351E-2</v>
      </c>
      <c r="Y1142">
        <f>TREND(H1136:H1140,G1136:G1140,G1142)</f>
        <v>9.9835549273922126</v>
      </c>
      <c r="Z1142">
        <f>ABS((Y1142-H1142)/80*100)</f>
        <v>4.9853215759734226E-2</v>
      </c>
      <c r="AE1142">
        <f>ABS(P1169-P1141)</f>
        <v>1.4168750000003172E-2</v>
      </c>
      <c r="AH1142">
        <f>H1142-AG1136</f>
        <v>9.9991100000000017</v>
      </c>
      <c r="AI1142">
        <f>100*(AH1142-O1142)/80</f>
        <v>-5.3124999999965006E-3</v>
      </c>
    </row>
    <row r="1143" spans="1:41" x14ac:dyDescent="0.35">
      <c r="A1143" t="s">
        <v>266</v>
      </c>
      <c r="B1143" t="s">
        <v>231</v>
      </c>
      <c r="C1143" t="s">
        <v>546</v>
      </c>
      <c r="D1143">
        <v>-20</v>
      </c>
      <c r="E1143">
        <v>-20.2</v>
      </c>
      <c r="F1143">
        <v>-1</v>
      </c>
      <c r="G1143">
        <v>-1.0001610000000001</v>
      </c>
      <c r="H1143">
        <v>10.528124999999999</v>
      </c>
      <c r="J1143">
        <v>-24505</v>
      </c>
      <c r="N1143" t="s">
        <v>188</v>
      </c>
      <c r="O1143">
        <f t="shared" si="51"/>
        <v>9.9935599999999969</v>
      </c>
      <c r="P1143">
        <f t="shared" si="52"/>
        <v>0.668206250000003</v>
      </c>
      <c r="Q1143">
        <f t="shared" si="53"/>
        <v>0.668206250000003</v>
      </c>
      <c r="S1143">
        <v>50.489062500000003</v>
      </c>
      <c r="T1143">
        <v>0.62512812500000514</v>
      </c>
      <c r="U1143">
        <v>90.578125</v>
      </c>
      <c r="V1143">
        <v>0.71985624999999942</v>
      </c>
      <c r="W1143">
        <v>80.05</v>
      </c>
      <c r="X1143">
        <f>(W1143-80)/80*100</f>
        <v>6.2499999999996447E-2</v>
      </c>
      <c r="Y1143">
        <f>TREND(H1143:H1147,G1143:G1147,G1143)</f>
        <v>10.417670637374023</v>
      </c>
      <c r="Z1143">
        <f>ABS((Y1143-H1143)/80*100)</f>
        <v>0.13806795328247023</v>
      </c>
      <c r="AA1143">
        <f>MAX(Z1143:Z1147)</f>
        <v>0.18817475310630716</v>
      </c>
      <c r="AB1143">
        <f>IF(ABS(MAX(P1143:P1149)) &gt; ABS(MIN(P1143:P1149)),MAX(P1143:P1149), MIN(P1143:P1149))</f>
        <v>0.71985624999999942</v>
      </c>
      <c r="AC1143">
        <f>IF(ABS(AB1144)&gt;ABS(AB1143),AB1144,AB1143)</f>
        <v>0.71985624999999942</v>
      </c>
      <c r="AE1143">
        <f>ABS(P1170-P1142)</f>
        <v>1.774687500000649E-2</v>
      </c>
      <c r="AH1143">
        <f>H1143-AG1136</f>
        <v>10.503797500000001</v>
      </c>
      <c r="AI1143">
        <f>100*(AH1143-O1143)/80</f>
        <v>0.63779687500000515</v>
      </c>
      <c r="AJ1143">
        <v>50.464735000000005</v>
      </c>
      <c r="AK1143">
        <v>0.59471875000000729</v>
      </c>
      <c r="AL1143">
        <v>90.553797500000002</v>
      </c>
      <c r="AM1143">
        <v>0.68944687500000157</v>
      </c>
      <c r="AN1143">
        <f>IF(ABS(MAX(AI1143:AI1149)) &gt; ABS(MIN(AI1143:AI1149)),MAX(AI1143:AI1149), MIN(AI1143:AI1149))</f>
        <v>0.68944687500000157</v>
      </c>
      <c r="AO1143">
        <f>IF(ABS(AN1144)&gt;ABS(AN1143),AN1144,AN1143)</f>
        <v>0.68944687500000157</v>
      </c>
    </row>
    <row r="1144" spans="1:41" x14ac:dyDescent="0.35">
      <c r="A1144" t="s">
        <v>266</v>
      </c>
      <c r="B1144" t="s">
        <v>231</v>
      </c>
      <c r="C1144" t="s">
        <v>583</v>
      </c>
      <c r="D1144">
        <v>-20</v>
      </c>
      <c r="E1144">
        <v>-19.899999999999999</v>
      </c>
      <c r="F1144">
        <v>-0.5</v>
      </c>
      <c r="G1144">
        <v>-0.50002500000000005</v>
      </c>
      <c r="H1144">
        <v>30.295312500000001</v>
      </c>
      <c r="J1144">
        <v>-24555</v>
      </c>
      <c r="N1144" t="s">
        <v>188</v>
      </c>
      <c r="O1144">
        <f t="shared" si="51"/>
        <v>29.998999999999999</v>
      </c>
      <c r="P1144">
        <f t="shared" si="52"/>
        <v>0.3703906250000033</v>
      </c>
      <c r="Q1144">
        <f t="shared" si="53"/>
        <v>0.3703906250000033</v>
      </c>
      <c r="Y1144">
        <f>TREND(H1143:H1147,G1143:G1147,G1144)</f>
        <v>30.445852302485047</v>
      </c>
      <c r="Z1144">
        <f>ABS((Y1144-H1144)/80*100)</f>
        <v>0.18817475310630716</v>
      </c>
      <c r="AB1144">
        <f>IF(ABS(T1143) &gt; ABS(V1143),T1143,V1143)</f>
        <v>0.71985624999999942</v>
      </c>
      <c r="AE1144">
        <f>ABS(P1192-P1136)</f>
        <v>0.18834999999999713</v>
      </c>
      <c r="AH1144">
        <f>H1144-AG1136</f>
        <v>30.270985000000003</v>
      </c>
      <c r="AI1144">
        <f>100*(AH1144-O1144)/80</f>
        <v>0.33998125000000545</v>
      </c>
      <c r="AN1144">
        <f>IF(ABS(AK1143) &gt; ABS(AM1143),AK1143,AM1143)</f>
        <v>0.68944687500000157</v>
      </c>
    </row>
    <row r="1145" spans="1:41" x14ac:dyDescent="0.35">
      <c r="A1145" t="s">
        <v>266</v>
      </c>
      <c r="B1145" t="s">
        <v>231</v>
      </c>
      <c r="C1145" t="s">
        <v>619</v>
      </c>
      <c r="D1145">
        <v>-20</v>
      </c>
      <c r="E1145">
        <v>-20.100000000000001</v>
      </c>
      <c r="F1145">
        <v>0</v>
      </c>
      <c r="G1145">
        <v>-2.7599999999999999E-4</v>
      </c>
      <c r="H1145">
        <v>50.489062500000003</v>
      </c>
      <c r="J1145">
        <v>-24598</v>
      </c>
      <c r="N1145" t="s">
        <v>188</v>
      </c>
      <c r="O1145">
        <f t="shared" si="51"/>
        <v>49.988959999999999</v>
      </c>
      <c r="P1145">
        <f t="shared" si="52"/>
        <v>0.62512812500000514</v>
      </c>
      <c r="Q1145">
        <f t="shared" si="53"/>
        <v>0.62512812500000514</v>
      </c>
      <c r="Y1145">
        <f>TREND(H1143:H1147,G1143:G1147,G1145)</f>
        <v>50.458536370333732</v>
      </c>
      <c r="Z1145">
        <f>ABS((Y1145-H1145)/80*100)</f>
        <v>3.8157662082838328E-2</v>
      </c>
      <c r="AE1145">
        <f>ABS(P1193-P1137)</f>
        <v>0.11757499999999865</v>
      </c>
      <c r="AH1145">
        <f>H1145-AG1136</f>
        <v>50.464735000000005</v>
      </c>
      <c r="AI1145">
        <f>100*(AH1145-O1145)/80</f>
        <v>0.59471875000000729</v>
      </c>
    </row>
    <row r="1146" spans="1:41" x14ac:dyDescent="0.35">
      <c r="A1146" t="s">
        <v>266</v>
      </c>
      <c r="B1146" t="s">
        <v>231</v>
      </c>
      <c r="C1146" t="s">
        <v>655</v>
      </c>
      <c r="D1146">
        <v>-20</v>
      </c>
      <c r="E1146">
        <v>-19.899999999999999</v>
      </c>
      <c r="F1146">
        <v>0.5</v>
      </c>
      <c r="G1146">
        <v>0.499755</v>
      </c>
      <c r="H1146">
        <v>70.431250000000006</v>
      </c>
      <c r="J1146">
        <v>-24631</v>
      </c>
      <c r="N1146" t="s">
        <v>188</v>
      </c>
      <c r="O1146">
        <f t="shared" si="51"/>
        <v>69.990200000000002</v>
      </c>
      <c r="P1146">
        <f t="shared" si="52"/>
        <v>0.5513125000000052</v>
      </c>
      <c r="Q1146">
        <f t="shared" si="53"/>
        <v>0.5513125000000052</v>
      </c>
      <c r="Y1146">
        <f>TREND(H1143:H1147,G1143:G1147,G1146)</f>
        <v>70.482513260993727</v>
      </c>
      <c r="Z1146">
        <f>ABS((Y1146-H1146)/80*100)</f>
        <v>6.40790762421517E-2</v>
      </c>
      <c r="AE1146">
        <f>ABS(P1194-P1138)</f>
        <v>4.8496874999992556E-2</v>
      </c>
      <c r="AH1146">
        <f>H1146-AG1136</f>
        <v>70.406922500000007</v>
      </c>
      <c r="AI1146">
        <f>100*(AH1146-O1146)/80</f>
        <v>0.52090312500000735</v>
      </c>
    </row>
    <row r="1147" spans="1:41" x14ac:dyDescent="0.35">
      <c r="A1147" t="s">
        <v>266</v>
      </c>
      <c r="B1147" t="s">
        <v>231</v>
      </c>
      <c r="C1147" t="s">
        <v>691</v>
      </c>
      <c r="D1147">
        <v>-20</v>
      </c>
      <c r="E1147">
        <v>-19.899999999999999</v>
      </c>
      <c r="F1147">
        <v>1</v>
      </c>
      <c r="G1147">
        <v>1.0000560000000001</v>
      </c>
      <c r="H1147">
        <v>90.578125</v>
      </c>
      <c r="J1147">
        <v>-24656</v>
      </c>
      <c r="N1147" t="s">
        <v>188</v>
      </c>
      <c r="O1147">
        <f t="shared" si="51"/>
        <v>90.00224</v>
      </c>
      <c r="P1147">
        <f t="shared" si="52"/>
        <v>0.71985624999999942</v>
      </c>
      <c r="Q1147">
        <f t="shared" si="53"/>
        <v>0.71985624999999942</v>
      </c>
      <c r="Y1147">
        <f>TREND(H1143:H1147,G1143:G1147,G1147)</f>
        <v>90.517302428813508</v>
      </c>
      <c r="Z1147">
        <f>ABS((Y1147-H1147)/80*100)</f>
        <v>7.6028213983114767E-2</v>
      </c>
      <c r="AE1147">
        <f>ABS(P1195-P1139)</f>
        <v>4.5378125000006264E-2</v>
      </c>
      <c r="AH1147">
        <f>H1147-AG1136</f>
        <v>90.553797500000002</v>
      </c>
      <c r="AI1147">
        <f>100*(AH1147-O1147)/80</f>
        <v>0.68944687500000157</v>
      </c>
    </row>
    <row r="1148" spans="1:41" x14ac:dyDescent="0.35">
      <c r="A1148" t="s">
        <v>266</v>
      </c>
      <c r="B1148" t="s">
        <v>231</v>
      </c>
      <c r="C1148" t="s">
        <v>728</v>
      </c>
      <c r="D1148">
        <v>-20</v>
      </c>
      <c r="E1148">
        <v>-20</v>
      </c>
      <c r="F1148">
        <v>0</v>
      </c>
      <c r="G1148">
        <v>1.5200000000000001E-4</v>
      </c>
      <c r="H1148">
        <v>50.434375000000003</v>
      </c>
      <c r="J1148">
        <v>-24684</v>
      </c>
      <c r="N1148" t="s">
        <v>188</v>
      </c>
      <c r="O1148">
        <f t="shared" si="51"/>
        <v>50.006079999999997</v>
      </c>
      <c r="P1148">
        <f t="shared" si="52"/>
        <v>0.53536875000000705</v>
      </c>
      <c r="Q1148">
        <f t="shared" si="53"/>
        <v>0.53536875000000705</v>
      </c>
      <c r="Y1148">
        <f>TREND(H1143:H1147,G1143:G1147,G1148)</f>
        <v>50.475675831905519</v>
      </c>
      <c r="Z1148">
        <f>ABS((Y1148-H1148)/80*100)</f>
        <v>5.1626039881895743E-2</v>
      </c>
      <c r="AE1148">
        <f>ABS(P1196-P1140)</f>
        <v>0.12529999999998154</v>
      </c>
      <c r="AH1148">
        <f>H1148-AG1136</f>
        <v>50.410047500000005</v>
      </c>
      <c r="AI1148">
        <f>100*(AH1148-O1148)/80</f>
        <v>0.5049593750000092</v>
      </c>
    </row>
    <row r="1149" spans="1:41" x14ac:dyDescent="0.35">
      <c r="A1149" t="s">
        <v>266</v>
      </c>
      <c r="B1149" t="s">
        <v>231</v>
      </c>
      <c r="C1149" t="s">
        <v>764</v>
      </c>
      <c r="D1149">
        <v>-20</v>
      </c>
      <c r="E1149">
        <v>-20.100000000000001</v>
      </c>
      <c r="F1149">
        <v>-1</v>
      </c>
      <c r="G1149">
        <v>-0.99998399999999998</v>
      </c>
      <c r="H1149">
        <v>10.4703125</v>
      </c>
      <c r="J1149">
        <v>-24708</v>
      </c>
      <c r="N1149" t="s">
        <v>188</v>
      </c>
      <c r="O1149">
        <f t="shared" si="51"/>
        <v>10.000640000000001</v>
      </c>
      <c r="P1149">
        <f t="shared" si="52"/>
        <v>0.58709062499999964</v>
      </c>
      <c r="Q1149">
        <f t="shared" si="53"/>
        <v>0.58709062499999964</v>
      </c>
      <c r="Y1149">
        <f>TREND(H1143:H1147,G1143:G1147,G1149)</f>
        <v>10.424758685734325</v>
      </c>
      <c r="Z1149">
        <f>ABS((Y1149-H1149)/80*100)</f>
        <v>5.6942267832094107E-2</v>
      </c>
      <c r="AE1149">
        <f>ABS(P1197-P1141)</f>
        <v>5.3312500000046725E-3</v>
      </c>
      <c r="AH1149">
        <f>H1149-AG1136</f>
        <v>10.445985000000002</v>
      </c>
      <c r="AI1149">
        <f>100*(AH1149-O1149)/80</f>
        <v>0.55668125000000179</v>
      </c>
    </row>
    <row r="1150" spans="1:41" x14ac:dyDescent="0.35">
      <c r="A1150" t="s">
        <v>266</v>
      </c>
      <c r="B1150" t="s">
        <v>231</v>
      </c>
      <c r="C1150" t="s">
        <v>801</v>
      </c>
      <c r="D1150">
        <v>0</v>
      </c>
      <c r="E1150">
        <v>0</v>
      </c>
      <c r="F1150">
        <v>-1</v>
      </c>
      <c r="G1150">
        <v>-0.999892</v>
      </c>
      <c r="H1150">
        <v>10.073437500000001</v>
      </c>
      <c r="J1150">
        <v>-17092</v>
      </c>
      <c r="N1150" t="s">
        <v>188</v>
      </c>
      <c r="O1150">
        <f t="shared" si="51"/>
        <v>10.00432</v>
      </c>
      <c r="P1150">
        <f t="shared" si="52"/>
        <v>8.6396875000001039E-2</v>
      </c>
      <c r="Q1150">
        <f t="shared" si="53"/>
        <v>8.6396875000001039E-2</v>
      </c>
      <c r="S1150">
        <v>50.131250000000001</v>
      </c>
      <c r="T1150">
        <v>0.1674124999999993</v>
      </c>
      <c r="U1150">
        <v>90.306250000000006</v>
      </c>
      <c r="V1150">
        <v>0.39551250000000593</v>
      </c>
      <c r="W1150">
        <v>80.232814025878909</v>
      </c>
      <c r="X1150">
        <f>(W1150-80)/80*100</f>
        <v>0.29101753234863637</v>
      </c>
      <c r="Y1150">
        <f>TREND(H1150:H1154,G1150:G1154,G1150)</f>
        <v>10.004358500037199</v>
      </c>
      <c r="Z1150">
        <f>ABS((Y1150-H1150)/80*100)</f>
        <v>8.6348749953502058E-2</v>
      </c>
      <c r="AA1150">
        <f>MAX(Z1150:Z1154)</f>
        <v>0.11717564171102701</v>
      </c>
      <c r="AB1150">
        <f>IF(ABS(MAX(P1150:P1156)) &gt; ABS(MIN(P1150:P1156)),MAX(P1150:P1156), MIN(P1150:P1156))</f>
        <v>0.39551250000000593</v>
      </c>
      <c r="AC1150">
        <f>IF(ABS(AB1151)&gt;ABS(AB1150),AB1151,AB1150)</f>
        <v>0.39551250000000593</v>
      </c>
      <c r="AE1150">
        <f>ABS(P1198-P1142)</f>
        <v>0.20424687500000038</v>
      </c>
      <c r="AH1150">
        <f>H1150-AG1136</f>
        <v>10.049110000000002</v>
      </c>
      <c r="AI1150">
        <f>100*(AH1150-O1150)/80</f>
        <v>5.5987500000003187E-2</v>
      </c>
      <c r="AJ1150">
        <v>50.106922500000003</v>
      </c>
      <c r="AK1150">
        <v>0.13700312500000145</v>
      </c>
      <c r="AL1150">
        <v>90.281922500000007</v>
      </c>
      <c r="AM1150">
        <v>0.36510312500000808</v>
      </c>
      <c r="AN1150">
        <f>IF(ABS(MAX(AI1150:AI1156)) &gt; ABS(MIN(AI1150:AI1156)),MAX(AI1150:AI1156), MIN(AI1150:AI1156))</f>
        <v>0.36510312500000808</v>
      </c>
      <c r="AO1150">
        <f>IF(ABS(AN1151)&gt;ABS(AN1150),AN1151,AN1150)</f>
        <v>0.36510312500000808</v>
      </c>
    </row>
    <row r="1151" spans="1:41" x14ac:dyDescent="0.35">
      <c r="A1151" t="s">
        <v>266</v>
      </c>
      <c r="B1151" t="s">
        <v>231</v>
      </c>
      <c r="C1151" t="s">
        <v>837</v>
      </c>
      <c r="D1151">
        <v>0</v>
      </c>
      <c r="E1151">
        <v>0.1</v>
      </c>
      <c r="F1151">
        <v>-0.5</v>
      </c>
      <c r="G1151">
        <v>-0.49976999999999999</v>
      </c>
      <c r="H1151">
        <v>29.996874999999999</v>
      </c>
      <c r="J1151">
        <v>-17096</v>
      </c>
      <c r="N1151" t="s">
        <v>188</v>
      </c>
      <c r="O1151">
        <f t="shared" si="51"/>
        <v>30.0092</v>
      </c>
      <c r="P1151">
        <f t="shared" si="52"/>
        <v>-1.5406250000000732E-2</v>
      </c>
      <c r="Q1151">
        <f t="shared" si="53"/>
        <v>1.5406250000000732E-2</v>
      </c>
      <c r="Y1151">
        <f>TREND(H1150:H1154,G1150:G1154,G1151)</f>
        <v>30.090615513368821</v>
      </c>
      <c r="Z1151">
        <f>ABS((Y1151-H1151)/80*100)</f>
        <v>0.11717564171102701</v>
      </c>
      <c r="AB1151">
        <f>IF(ABS(T1150) &gt; ABS(V1150),T1150,V1150)</f>
        <v>0.39551250000000593</v>
      </c>
      <c r="AE1151">
        <f>ABS(P1192-P1164)</f>
        <v>0.22461874999999187</v>
      </c>
      <c r="AH1151">
        <f>H1151-AG1136</f>
        <v>29.972547500000001</v>
      </c>
      <c r="AI1151">
        <f>100*(AH1151-O1151)/80</f>
        <v>-4.5815624999998583E-2</v>
      </c>
      <c r="AN1151">
        <f>IF(ABS(AK1150) &gt; ABS(AM1150),AK1150,AM1150)</f>
        <v>0.36510312500000808</v>
      </c>
    </row>
    <row r="1152" spans="1:41" x14ac:dyDescent="0.35">
      <c r="A1152" t="s">
        <v>266</v>
      </c>
      <c r="B1152" t="s">
        <v>231</v>
      </c>
      <c r="C1152" t="s">
        <v>873</v>
      </c>
      <c r="D1152">
        <v>0</v>
      </c>
      <c r="E1152">
        <v>0</v>
      </c>
      <c r="F1152">
        <v>0</v>
      </c>
      <c r="G1152">
        <v>-6.7000000000000002E-5</v>
      </c>
      <c r="H1152">
        <v>50.131250000000001</v>
      </c>
      <c r="J1152">
        <v>-17096</v>
      </c>
      <c r="N1152" t="s">
        <v>188</v>
      </c>
      <c r="O1152">
        <f t="shared" si="51"/>
        <v>49.997320000000002</v>
      </c>
      <c r="P1152">
        <f t="shared" si="52"/>
        <v>0.1674124999999993</v>
      </c>
      <c r="Q1152">
        <f t="shared" si="53"/>
        <v>0.1674124999999993</v>
      </c>
      <c r="Y1152">
        <f>TREND(H1150:H1154,G1150:G1154,G1152)</f>
        <v>50.16004434939854</v>
      </c>
      <c r="Z1152">
        <f>ABS((Y1152-H1152)/80*100)</f>
        <v>3.599293674817261E-2</v>
      </c>
      <c r="AE1152">
        <f>ABS(P1193-P1165)</f>
        <v>0.10010625000000051</v>
      </c>
      <c r="AH1152">
        <f>H1152-AG1136</f>
        <v>50.106922500000003</v>
      </c>
      <c r="AI1152">
        <f>100*(AH1152-O1152)/80</f>
        <v>0.13700312500000145</v>
      </c>
    </row>
    <row r="1153" spans="1:41" x14ac:dyDescent="0.35">
      <c r="A1153" t="s">
        <v>266</v>
      </c>
      <c r="B1153" t="s">
        <v>231</v>
      </c>
      <c r="C1153" t="s">
        <v>910</v>
      </c>
      <c r="D1153">
        <v>0</v>
      </c>
      <c r="E1153">
        <v>0</v>
      </c>
      <c r="F1153">
        <v>0.5</v>
      </c>
      <c r="G1153">
        <v>0.49983699999999998</v>
      </c>
      <c r="H1153">
        <v>70.3</v>
      </c>
      <c r="J1153">
        <v>-17092</v>
      </c>
      <c r="N1153" t="s">
        <v>188</v>
      </c>
      <c r="O1153">
        <f t="shared" si="51"/>
        <v>69.993479999999991</v>
      </c>
      <c r="P1153">
        <f t="shared" si="52"/>
        <v>0.38315000000000765</v>
      </c>
      <c r="Q1153">
        <f t="shared" si="53"/>
        <v>0.38315000000000765</v>
      </c>
      <c r="Y1153">
        <f>TREND(H1150:H1154,G1150:G1154,G1153)</f>
        <v>70.237545891007443</v>
      </c>
      <c r="Z1153">
        <f>ABS((Y1153-H1153)/80*100)</f>
        <v>7.8067636240692906E-2</v>
      </c>
      <c r="AE1153">
        <f>ABS(P1194-P1166)</f>
        <v>4.8321874999999181E-2</v>
      </c>
      <c r="AH1153">
        <f>H1153-AG1136</f>
        <v>70.275672499999999</v>
      </c>
      <c r="AI1153">
        <f>100*(AH1153-O1153)/80</f>
        <v>0.3527406250000098</v>
      </c>
    </row>
    <row r="1154" spans="1:41" x14ac:dyDescent="0.35">
      <c r="A1154" t="s">
        <v>266</v>
      </c>
      <c r="B1154" t="s">
        <v>231</v>
      </c>
      <c r="C1154" t="s">
        <v>947</v>
      </c>
      <c r="D1154">
        <v>0</v>
      </c>
      <c r="E1154">
        <v>0.1</v>
      </c>
      <c r="F1154">
        <v>1</v>
      </c>
      <c r="G1154">
        <v>0.99974600000000002</v>
      </c>
      <c r="H1154">
        <v>90.306250000000006</v>
      </c>
      <c r="J1154">
        <v>-17114</v>
      </c>
      <c r="N1154" t="s">
        <v>188</v>
      </c>
      <c r="O1154">
        <f t="shared" si="51"/>
        <v>89.989840000000001</v>
      </c>
      <c r="P1154">
        <f t="shared" si="52"/>
        <v>0.39551250000000593</v>
      </c>
      <c r="Q1154">
        <f t="shared" si="53"/>
        <v>0.39551250000000593</v>
      </c>
      <c r="Y1154">
        <f>TREND(H1150:H1154,G1150:G1154,G1154)</f>
        <v>90.315248246187991</v>
      </c>
      <c r="Z1154">
        <f>ABS((Y1154-H1154)/80*100)</f>
        <v>1.1247807734982018E-2</v>
      </c>
      <c r="AE1154">
        <f>ABS(P1195-P1167)</f>
        <v>9.4996875000035175E-2</v>
      </c>
      <c r="AH1154">
        <f>H1154-AG1136</f>
        <v>90.281922500000007</v>
      </c>
      <c r="AI1154">
        <f>100*(AH1154-O1154)/80</f>
        <v>0.36510312500000808</v>
      </c>
    </row>
    <row r="1155" spans="1:41" x14ac:dyDescent="0.35">
      <c r="A1155" t="s">
        <v>266</v>
      </c>
      <c r="B1155" t="s">
        <v>231</v>
      </c>
      <c r="C1155" t="s">
        <v>983</v>
      </c>
      <c r="D1155">
        <v>0</v>
      </c>
      <c r="E1155">
        <v>0</v>
      </c>
      <c r="F1155">
        <v>0</v>
      </c>
      <c r="G1155">
        <v>1.4899999999999999E-4</v>
      </c>
      <c r="H1155">
        <v>50.1484375</v>
      </c>
      <c r="J1155">
        <v>-17118</v>
      </c>
      <c r="N1155" t="s">
        <v>188</v>
      </c>
      <c r="O1155">
        <f t="shared" si="51"/>
        <v>50.005960000000002</v>
      </c>
      <c r="P1155">
        <f t="shared" si="52"/>
        <v>0.17809687499999782</v>
      </c>
      <c r="Q1155">
        <f t="shared" si="53"/>
        <v>0.17809687499999782</v>
      </c>
      <c r="Y1155">
        <f>TREND(H1150:H1154,G1150:G1154,G1155)</f>
        <v>50.168719495692599</v>
      </c>
      <c r="Z1155">
        <f>ABS((Y1155-H1155)/80*100)</f>
        <v>2.5352494615749066E-2</v>
      </c>
      <c r="AE1155">
        <f>ABS(P1196-P1168)</f>
        <v>2.9762499999979042E-2</v>
      </c>
      <c r="AH1155">
        <f>H1155-AG1136</f>
        <v>50.124110000000002</v>
      </c>
      <c r="AI1155">
        <f>100*(AH1155-O1155)/80</f>
        <v>0.14768749999999997</v>
      </c>
    </row>
    <row r="1156" spans="1:41" x14ac:dyDescent="0.35">
      <c r="A1156" t="s">
        <v>266</v>
      </c>
      <c r="B1156" t="s">
        <v>231</v>
      </c>
      <c r="C1156" t="s">
        <v>1019</v>
      </c>
      <c r="D1156">
        <v>0</v>
      </c>
      <c r="E1156">
        <v>0</v>
      </c>
      <c r="F1156">
        <v>-1</v>
      </c>
      <c r="G1156">
        <v>-1.000224</v>
      </c>
      <c r="H1156">
        <v>10.2171875</v>
      </c>
      <c r="J1156">
        <v>-17129</v>
      </c>
      <c r="N1156" t="s">
        <v>188</v>
      </c>
      <c r="O1156">
        <f t="shared" si="51"/>
        <v>9.9910399999999999</v>
      </c>
      <c r="P1156">
        <f t="shared" si="52"/>
        <v>0.28268437499999965</v>
      </c>
      <c r="Q1156">
        <f t="shared" si="53"/>
        <v>0.28268437499999965</v>
      </c>
      <c r="Y1156">
        <f>TREND(H1150:H1154,G1150:G1154,G1156)</f>
        <v>9.9910244788815064</v>
      </c>
      <c r="Z1156">
        <f>ABS((Y1156-H1156)/80*100)</f>
        <v>0.28270377639811661</v>
      </c>
      <c r="AE1156">
        <f>ABS(P1197-P1169)</f>
        <v>8.8374999999984993E-3</v>
      </c>
      <c r="AH1156">
        <f>H1156-AG1136</f>
        <v>10.192860000000001</v>
      </c>
      <c r="AI1156">
        <f>100*(AH1156-O1156)/80</f>
        <v>0.2522750000000018</v>
      </c>
    </row>
    <row r="1157" spans="1:41" x14ac:dyDescent="0.35">
      <c r="A1157" t="s">
        <v>266</v>
      </c>
      <c r="B1157" t="s">
        <v>231</v>
      </c>
      <c r="C1157" t="s">
        <v>1055</v>
      </c>
      <c r="D1157">
        <v>10</v>
      </c>
      <c r="E1157">
        <v>10</v>
      </c>
      <c r="F1157">
        <v>-1</v>
      </c>
      <c r="G1157">
        <v>-0.99986399999999998</v>
      </c>
      <c r="H1157">
        <v>10.03125</v>
      </c>
      <c r="J1157">
        <v>-12840</v>
      </c>
      <c r="N1157" t="s">
        <v>188</v>
      </c>
      <c r="O1157">
        <f t="shared" si="51"/>
        <v>10.00544</v>
      </c>
      <c r="P1157">
        <f t="shared" si="52"/>
        <v>3.2262499999999861E-2</v>
      </c>
      <c r="Q1157">
        <f t="shared" si="53"/>
        <v>3.2262499999999861E-2</v>
      </c>
      <c r="S1157">
        <v>50.060937500000001</v>
      </c>
      <c r="T1157">
        <v>8.0221874999999443E-2</v>
      </c>
      <c r="U1157">
        <v>90.234375</v>
      </c>
      <c r="V1157">
        <v>0.28861875000000481</v>
      </c>
      <c r="W1157">
        <v>80.203125</v>
      </c>
      <c r="X1157">
        <f>(W1157-80)/80*100</f>
        <v>0.25390625</v>
      </c>
      <c r="Y1157">
        <f>TREND(H1157:H1161,G1157:G1161,G1157)</f>
        <v>9.9834727021730032</v>
      </c>
      <c r="Z1157">
        <f>ABS((Y1157-H1157)/80*100)</f>
        <v>5.9721622283746001E-2</v>
      </c>
      <c r="AA1157">
        <f>MAX(Z1157:Z1161)</f>
        <v>6.4081051971576208E-2</v>
      </c>
      <c r="AB1157">
        <f>IF(ABS(MAX(P1157:P1163)) &gt; ABS(MIN(P1157:P1163)),MAX(P1157:P1163), MIN(P1157:P1163))</f>
        <v>0.28861875000000481</v>
      </c>
      <c r="AC1157">
        <f>IF(ABS(AB1158)&gt;ABS(AB1157),AB1158,AB1157)</f>
        <v>0.28861875000000481</v>
      </c>
      <c r="AE1157">
        <f>ABS(P1198-P1170)</f>
        <v>0.18649999999999389</v>
      </c>
      <c r="AH1157">
        <f>H1157-AG1136</f>
        <v>10.006922500000002</v>
      </c>
      <c r="AI1157">
        <f>100*(AH1157-O1157)/80</f>
        <v>1.8531250000020094E-3</v>
      </c>
      <c r="AJ1157">
        <v>50.036610000000003</v>
      </c>
      <c r="AK1157">
        <v>4.9812500000001592E-2</v>
      </c>
      <c r="AL1157">
        <v>90.210047500000002</v>
      </c>
      <c r="AM1157">
        <v>0.25820937500000696</v>
      </c>
      <c r="AN1157">
        <f>IF(ABS(MAX(AI1157:AI1163)) &gt; ABS(MIN(AI1157:AI1163)),MAX(AI1157:AI1163), MIN(AI1157:AI1163))</f>
        <v>0.25820937500000696</v>
      </c>
      <c r="AO1157">
        <f>IF(ABS(AN1158)&gt;ABS(AN1157),AN1158,AN1157)</f>
        <v>0.25820937500000696</v>
      </c>
    </row>
    <row r="1158" spans="1:41" x14ac:dyDescent="0.35">
      <c r="A1158" t="s">
        <v>266</v>
      </c>
      <c r="B1158" t="s">
        <v>231</v>
      </c>
      <c r="C1158" t="s">
        <v>1091</v>
      </c>
      <c r="D1158">
        <v>10</v>
      </c>
      <c r="E1158">
        <v>10</v>
      </c>
      <c r="F1158">
        <v>-0.5</v>
      </c>
      <c r="G1158">
        <v>-0.50024999999999997</v>
      </c>
      <c r="H1158">
        <v>29.979687500000001</v>
      </c>
      <c r="J1158">
        <v>-12805</v>
      </c>
      <c r="N1158" t="s">
        <v>188</v>
      </c>
      <c r="O1158">
        <f t="shared" si="51"/>
        <v>29.990000000000002</v>
      </c>
      <c r="P1158">
        <f t="shared" si="52"/>
        <v>-1.2890625000001599E-2</v>
      </c>
      <c r="Q1158">
        <f t="shared" si="53"/>
        <v>1.2890625000001599E-2</v>
      </c>
      <c r="Y1158">
        <f>TREND(H1157:H1161,G1157:G1161,G1158)</f>
        <v>30.030952341577262</v>
      </c>
      <c r="Z1158">
        <f>ABS((Y1158-H1158)/80*100)</f>
        <v>6.4081051971576208E-2</v>
      </c>
      <c r="AB1158">
        <f>IF(ABS(T1157) &gt; ABS(V1157),T1157,V1157)</f>
        <v>0.28861875000000481</v>
      </c>
      <c r="AH1158">
        <f>H1158-AG1136</f>
        <v>29.955360000000002</v>
      </c>
      <c r="AI1158">
        <f>100*(AH1158-O1158)/80</f>
        <v>-4.329999999999945E-2</v>
      </c>
      <c r="AN1158">
        <f>IF(ABS(AK1157) &gt; ABS(AM1157),AK1157,AM1157)</f>
        <v>0.25820937500000696</v>
      </c>
    </row>
    <row r="1159" spans="1:41" x14ac:dyDescent="0.35">
      <c r="A1159" t="s">
        <v>266</v>
      </c>
      <c r="B1159" t="s">
        <v>1111</v>
      </c>
      <c r="C1159" t="s">
        <v>1128</v>
      </c>
      <c r="D1159">
        <v>10</v>
      </c>
      <c r="E1159">
        <v>10</v>
      </c>
      <c r="F1159">
        <v>0</v>
      </c>
      <c r="G1159">
        <v>-8.1000000000000004E-5</v>
      </c>
      <c r="H1159">
        <v>50.060937500000001</v>
      </c>
      <c r="J1159">
        <v>-12778</v>
      </c>
      <c r="N1159" t="s">
        <v>188</v>
      </c>
      <c r="O1159">
        <f t="shared" si="51"/>
        <v>49.996760000000002</v>
      </c>
      <c r="P1159">
        <f t="shared" si="52"/>
        <v>8.0221874999999443E-2</v>
      </c>
      <c r="Q1159">
        <f t="shared" si="53"/>
        <v>8.0221874999999443E-2</v>
      </c>
      <c r="Y1159">
        <f>TREND(H1157:H1161,G1157:G1161,G1159)</f>
        <v>50.100701875740008</v>
      </c>
      <c r="Z1159">
        <f>ABS((Y1159-H1159)/80*100)</f>
        <v>4.9705469675007663E-2</v>
      </c>
      <c r="AH1159">
        <f>H1159-AG1136</f>
        <v>50.036610000000003</v>
      </c>
      <c r="AI1159">
        <f>100*(AH1159-O1159)/80</f>
        <v>4.9812500000001592E-2</v>
      </c>
    </row>
    <row r="1160" spans="1:41" x14ac:dyDescent="0.35">
      <c r="A1160" t="s">
        <v>266</v>
      </c>
      <c r="B1160" t="s">
        <v>1111</v>
      </c>
      <c r="C1160" t="s">
        <v>1165</v>
      </c>
      <c r="D1160">
        <v>10</v>
      </c>
      <c r="E1160">
        <v>10</v>
      </c>
      <c r="F1160">
        <v>0.5</v>
      </c>
      <c r="G1160">
        <v>0.49996600000000002</v>
      </c>
      <c r="H1160">
        <v>70.207812500000003</v>
      </c>
      <c r="J1160">
        <v>-12745</v>
      </c>
      <c r="N1160" t="s">
        <v>188</v>
      </c>
      <c r="O1160">
        <f t="shared" si="51"/>
        <v>69.998640000000009</v>
      </c>
      <c r="P1160">
        <f t="shared" si="52"/>
        <v>0.26146562499999249</v>
      </c>
      <c r="Q1160">
        <f t="shared" si="53"/>
        <v>0.26146562499999249</v>
      </c>
      <c r="Y1160">
        <f>TREND(H1157:H1161,G1157:G1161,G1160)</f>
        <v>70.165556045649538</v>
      </c>
      <c r="Z1160">
        <f>ABS((Y1160-H1160)/80*100)</f>
        <v>5.2820567938081098E-2</v>
      </c>
      <c r="AH1160">
        <f>H1160-AG1136</f>
        <v>70.183485000000005</v>
      </c>
      <c r="AI1160">
        <f>100*(AH1160-O1160)/80</f>
        <v>0.23105624999999463</v>
      </c>
    </row>
    <row r="1161" spans="1:41" x14ac:dyDescent="0.35">
      <c r="A1161" t="s">
        <v>266</v>
      </c>
      <c r="B1161" t="s">
        <v>1111</v>
      </c>
      <c r="C1161" t="s">
        <v>1203</v>
      </c>
      <c r="D1161">
        <v>10</v>
      </c>
      <c r="E1161">
        <v>10</v>
      </c>
      <c r="F1161">
        <v>1</v>
      </c>
      <c r="G1161">
        <v>1.0000869999999999</v>
      </c>
      <c r="H1161">
        <v>90.234375</v>
      </c>
      <c r="J1161">
        <v>-12719</v>
      </c>
      <c r="N1161" t="s">
        <v>188</v>
      </c>
      <c r="O1161">
        <f t="shared" ref="O1161:O1224" si="54">(((G1161--1)*(40))+10)</f>
        <v>90.003479999999996</v>
      </c>
      <c r="P1161">
        <f t="shared" ref="P1161:P1224" si="55">100*(H1161-O1161)/80</f>
        <v>0.28861875000000481</v>
      </c>
      <c r="Q1161">
        <f t="shared" ref="Q1161:Q1224" si="56">ABS(P1161)</f>
        <v>0.28861875000000481</v>
      </c>
      <c r="Y1161">
        <f>TREND(H1157:H1161,G1157:G1161,G1161)</f>
        <v>90.233379534860205</v>
      </c>
      <c r="Z1161">
        <f>ABS((Y1161-H1161)/80*100)</f>
        <v>1.24433142474345E-3</v>
      </c>
      <c r="AH1161">
        <f>H1161-AG1136</f>
        <v>90.210047500000002</v>
      </c>
      <c r="AI1161">
        <f>100*(AH1161-O1161)/80</f>
        <v>0.25820937500000696</v>
      </c>
    </row>
    <row r="1162" spans="1:41" x14ac:dyDescent="0.35">
      <c r="A1162" t="s">
        <v>266</v>
      </c>
      <c r="B1162" t="s">
        <v>1111</v>
      </c>
      <c r="C1162" t="s">
        <v>1239</v>
      </c>
      <c r="D1162">
        <v>10</v>
      </c>
      <c r="E1162">
        <v>10</v>
      </c>
      <c r="F1162">
        <v>0</v>
      </c>
      <c r="G1162">
        <v>-1.34E-4</v>
      </c>
      <c r="H1162">
        <v>50.064062499999999</v>
      </c>
      <c r="J1162">
        <v>-12697</v>
      </c>
      <c r="N1162" t="s">
        <v>188</v>
      </c>
      <c r="O1162">
        <f t="shared" si="54"/>
        <v>49.994640000000004</v>
      </c>
      <c r="P1162">
        <f t="shared" si="55"/>
        <v>8.6778124999993267E-2</v>
      </c>
      <c r="Q1162">
        <f t="shared" si="56"/>
        <v>8.6778124999993267E-2</v>
      </c>
      <c r="Y1162">
        <f>TREND(H1157:H1161,G1157:G1161,G1162)</f>
        <v>50.098575201105419</v>
      </c>
      <c r="Z1162">
        <f>ABS((Y1162-H1162)/80*100)</f>
        <v>4.3140876381775328E-2</v>
      </c>
      <c r="AH1162">
        <f>H1162-AG1136</f>
        <v>50.039735</v>
      </c>
      <c r="AI1162">
        <f>100*(AH1162-O1162)/80</f>
        <v>5.6368749999995416E-2</v>
      </c>
    </row>
    <row r="1163" spans="1:41" x14ac:dyDescent="0.35">
      <c r="A1163" t="s">
        <v>266</v>
      </c>
      <c r="B1163" t="s">
        <v>1111</v>
      </c>
      <c r="C1163" t="s">
        <v>1275</v>
      </c>
      <c r="D1163">
        <v>10</v>
      </c>
      <c r="E1163">
        <v>10</v>
      </c>
      <c r="F1163">
        <v>-1</v>
      </c>
      <c r="G1163">
        <v>-1.0003120000000001</v>
      </c>
      <c r="H1163">
        <v>10.067187499999999</v>
      </c>
      <c r="J1163">
        <v>-12674</v>
      </c>
      <c r="N1163" t="s">
        <v>188</v>
      </c>
      <c r="O1163">
        <f t="shared" si="54"/>
        <v>9.9875199999999964</v>
      </c>
      <c r="P1163">
        <f t="shared" si="55"/>
        <v>9.9584375000003611E-2</v>
      </c>
      <c r="Q1163">
        <f t="shared" si="56"/>
        <v>9.9584375000003611E-2</v>
      </c>
      <c r="Y1163">
        <f>TREND(H1157:H1161,G1157:G1161,G1163)</f>
        <v>9.9654962826201938</v>
      </c>
      <c r="Z1163">
        <f>ABS((Y1163-H1163)/80*100)</f>
        <v>0.12711402172475683</v>
      </c>
      <c r="AH1163">
        <f>H1163-AG1136</f>
        <v>10.042860000000001</v>
      </c>
      <c r="AI1163">
        <f>100*(AH1163-O1163)/80</f>
        <v>6.917500000000576E-2</v>
      </c>
    </row>
    <row r="1164" spans="1:41" x14ac:dyDescent="0.35">
      <c r="A1164" t="s">
        <v>266</v>
      </c>
      <c r="B1164" t="s">
        <v>1111</v>
      </c>
      <c r="C1164" t="s">
        <v>1312</v>
      </c>
      <c r="D1164">
        <v>25</v>
      </c>
      <c r="E1164">
        <v>25</v>
      </c>
      <c r="F1164">
        <v>-1</v>
      </c>
      <c r="G1164">
        <v>-1.0000279999999999</v>
      </c>
      <c r="H1164">
        <v>10.043749999999999</v>
      </c>
      <c r="J1164">
        <v>-6561</v>
      </c>
      <c r="N1164" t="s">
        <v>188</v>
      </c>
      <c r="O1164">
        <f t="shared" si="54"/>
        <v>9.9988800000000033</v>
      </c>
      <c r="P1164">
        <f t="shared" si="55"/>
        <v>5.6087499999994961E-2</v>
      </c>
      <c r="Q1164">
        <f t="shared" si="56"/>
        <v>5.6087499999994961E-2</v>
      </c>
      <c r="S1164">
        <v>50.017187499999999</v>
      </c>
      <c r="T1164">
        <v>3.0234375000004476E-2</v>
      </c>
      <c r="U1164">
        <v>90.196875000000006</v>
      </c>
      <c r="V1164">
        <v>0.27744375000001043</v>
      </c>
      <c r="W1164">
        <v>80.153126525878903</v>
      </c>
      <c r="X1164">
        <f>(W1164-80)/80*100</f>
        <v>0.19140815734862926</v>
      </c>
      <c r="Y1164">
        <f>TREND(H1164:H1168,G1164:G1168,G1164)</f>
        <v>9.9755466923021316</v>
      </c>
      <c r="Z1164">
        <f>ABS((Y1164-H1164)/80*100)</f>
        <v>8.5254134622334554E-2</v>
      </c>
      <c r="AA1164">
        <f>MAX(Z1164:Z1168)</f>
        <v>8.5254134622334554E-2</v>
      </c>
      <c r="AB1164">
        <f>IF(ABS(MAX(P1164:P1170)) &gt; ABS(MIN(P1164:P1170)),MAX(P1164:P1170), MIN(P1164:P1170))</f>
        <v>0.27744375000001043</v>
      </c>
      <c r="AC1164">
        <f>IF(ABS(AB1165)&gt;ABS(AB1164),AB1165,AB1164)</f>
        <v>0.27744375000001043</v>
      </c>
      <c r="AH1164">
        <f>H1164-AG1136</f>
        <v>10.019422500000001</v>
      </c>
      <c r="AI1164">
        <f>100*(AH1164-O1164)/80</f>
        <v>2.567812499999711E-2</v>
      </c>
      <c r="AJ1164">
        <v>49.99286</v>
      </c>
      <c r="AK1164">
        <v>-1.749999999933749E-4</v>
      </c>
      <c r="AL1164">
        <v>90.172547500000007</v>
      </c>
      <c r="AM1164">
        <v>0.24703437500001257</v>
      </c>
      <c r="AN1164">
        <f>IF(ABS(MAX(AI1164:AI1170)) &gt; ABS(MIN(AI1164:AI1170)),MAX(AI1164:AI1170), MIN(AI1164:AI1170))</f>
        <v>0.24703437500001257</v>
      </c>
      <c r="AO1164">
        <f>IF(ABS(AN1165)&gt;ABS(AN1164),AN1165,AN1164)</f>
        <v>0.24703437500001257</v>
      </c>
    </row>
    <row r="1165" spans="1:41" x14ac:dyDescent="0.35">
      <c r="A1165" t="s">
        <v>266</v>
      </c>
      <c r="B1165" t="s">
        <v>1111</v>
      </c>
      <c r="C1165" t="s">
        <v>1348</v>
      </c>
      <c r="D1165">
        <v>25</v>
      </c>
      <c r="E1165">
        <v>25</v>
      </c>
      <c r="F1165">
        <v>-0.5</v>
      </c>
      <c r="G1165">
        <v>-0.50015200000000004</v>
      </c>
      <c r="H1165">
        <v>29.967187500000001</v>
      </c>
      <c r="J1165">
        <v>-6535</v>
      </c>
      <c r="N1165" t="s">
        <v>188</v>
      </c>
      <c r="O1165">
        <f t="shared" si="54"/>
        <v>29.993919999999999</v>
      </c>
      <c r="P1165">
        <f t="shared" si="55"/>
        <v>-3.3415624999997284E-2</v>
      </c>
      <c r="Q1165">
        <f t="shared" si="56"/>
        <v>3.3415624999997284E-2</v>
      </c>
      <c r="Y1165">
        <f>TREND(H1164:H1168,G1164:G1168,G1165)</f>
        <v>30.028384302132014</v>
      </c>
      <c r="Z1165">
        <f>ABS((Y1165-H1165)/80*100)</f>
        <v>7.6496002665016327E-2</v>
      </c>
      <c r="AB1165">
        <f>IF(ABS(T1164) &gt; ABS(V1164),T1164,V1164)</f>
        <v>0.27744375000001043</v>
      </c>
      <c r="AH1165">
        <f>H1165-AG1136</f>
        <v>29.942860000000003</v>
      </c>
      <c r="AI1165">
        <f>100*(AH1165-O1165)/80</f>
        <v>-6.3824999999995136E-2</v>
      </c>
      <c r="AN1165">
        <f>IF(ABS(AK1164) &gt; ABS(AM1164),AK1164,AM1164)</f>
        <v>0.24703437500001257</v>
      </c>
    </row>
    <row r="1166" spans="1:41" x14ac:dyDescent="0.35">
      <c r="A1166" t="s">
        <v>266</v>
      </c>
      <c r="B1166" t="s">
        <v>1111</v>
      </c>
      <c r="C1166" t="s">
        <v>1384</v>
      </c>
      <c r="D1166">
        <v>25</v>
      </c>
      <c r="E1166">
        <v>25</v>
      </c>
      <c r="F1166">
        <v>0</v>
      </c>
      <c r="G1166">
        <v>-1.75E-4</v>
      </c>
      <c r="H1166">
        <v>50.017187499999999</v>
      </c>
      <c r="J1166">
        <v>-6514</v>
      </c>
      <c r="N1166" t="s">
        <v>188</v>
      </c>
      <c r="O1166">
        <f t="shared" si="54"/>
        <v>49.992999999999995</v>
      </c>
      <c r="P1166">
        <f t="shared" si="55"/>
        <v>3.0234375000004476E-2</v>
      </c>
      <c r="Q1166">
        <f t="shared" si="56"/>
        <v>3.0234375000004476E-2</v>
      </c>
      <c r="Y1166">
        <f>TREND(H1164:H1168,G1164:G1168,G1166)</f>
        <v>50.085273589975237</v>
      </c>
      <c r="Z1166">
        <f>ABS((Y1166-H1166)/80*100)</f>
        <v>8.5107612469048632E-2</v>
      </c>
      <c r="AH1166">
        <f>H1166-AG1136</f>
        <v>49.99286</v>
      </c>
      <c r="AI1166">
        <f>100*(AH1166-O1166)/80</f>
        <v>-1.749999999933749E-4</v>
      </c>
    </row>
    <row r="1167" spans="1:41" x14ac:dyDescent="0.35">
      <c r="A1167" t="s">
        <v>266</v>
      </c>
      <c r="B1167" t="s">
        <v>1111</v>
      </c>
      <c r="C1167" t="s">
        <v>1422</v>
      </c>
      <c r="D1167">
        <v>25</v>
      </c>
      <c r="E1167">
        <v>25</v>
      </c>
      <c r="F1167">
        <v>0.5</v>
      </c>
      <c r="G1167">
        <v>0.49999500000000002</v>
      </c>
      <c r="H1167">
        <v>70.196875000000006</v>
      </c>
      <c r="J1167">
        <v>-6499</v>
      </c>
      <c r="N1167" t="s">
        <v>188</v>
      </c>
      <c r="O1167">
        <f t="shared" si="54"/>
        <v>69.999799999999993</v>
      </c>
      <c r="P1167">
        <f t="shared" si="55"/>
        <v>0.2463437500000154</v>
      </c>
      <c r="Q1167">
        <f t="shared" si="56"/>
        <v>0.2463437500000154</v>
      </c>
      <c r="Y1167">
        <f>TREND(H1164:H1168,G1164:G1168,G1167)</f>
        <v>70.149905193230069</v>
      </c>
      <c r="Z1167">
        <f>ABS((Y1167-H1167)/80*100)</f>
        <v>5.8712258462421119E-2</v>
      </c>
      <c r="AH1167">
        <f>H1167-AG1136</f>
        <v>70.172547500000007</v>
      </c>
      <c r="AI1167">
        <f>100*(AH1167-O1167)/80</f>
        <v>0.21593437500001755</v>
      </c>
    </row>
    <row r="1168" spans="1:41" x14ac:dyDescent="0.35">
      <c r="A1168" t="s">
        <v>266</v>
      </c>
      <c r="B1168" t="s">
        <v>1111</v>
      </c>
      <c r="C1168" t="s">
        <v>1458</v>
      </c>
      <c r="D1168">
        <v>25</v>
      </c>
      <c r="E1168">
        <v>25</v>
      </c>
      <c r="F1168">
        <v>1</v>
      </c>
      <c r="G1168">
        <v>0.99937299999999996</v>
      </c>
      <c r="H1168">
        <v>90.196875000000006</v>
      </c>
      <c r="J1168">
        <v>-6469</v>
      </c>
      <c r="N1168" t="s">
        <v>188</v>
      </c>
      <c r="O1168">
        <f t="shared" si="54"/>
        <v>89.974919999999997</v>
      </c>
      <c r="P1168">
        <f t="shared" si="55"/>
        <v>0.27744375000001043</v>
      </c>
      <c r="Q1168">
        <f t="shared" si="56"/>
        <v>0.27744375000001043</v>
      </c>
      <c r="Y1168">
        <f>TREND(H1164:H1168,G1164:G1168,G1168)</f>
        <v>90.182765222360558</v>
      </c>
      <c r="Z1168">
        <f>ABS((Y1168-H1168)/80*100)</f>
        <v>1.7637222049309287E-2</v>
      </c>
      <c r="AH1168">
        <f>H1168-AG1136</f>
        <v>90.172547500000007</v>
      </c>
      <c r="AI1168">
        <f>100*(AH1168-O1168)/80</f>
        <v>0.24703437500001257</v>
      </c>
    </row>
    <row r="1169" spans="1:41" x14ac:dyDescent="0.35">
      <c r="A1169" t="s">
        <v>266</v>
      </c>
      <c r="B1169" t="s">
        <v>1111</v>
      </c>
      <c r="C1169" t="s">
        <v>1495</v>
      </c>
      <c r="D1169">
        <v>25</v>
      </c>
      <c r="E1169">
        <v>25</v>
      </c>
      <c r="F1169">
        <v>0</v>
      </c>
      <c r="G1169">
        <v>1.8100000000000001E-4</v>
      </c>
      <c r="H1169">
        <v>50.003124999999997</v>
      </c>
      <c r="J1169">
        <v>-6453</v>
      </c>
      <c r="N1169" t="s">
        <v>188</v>
      </c>
      <c r="O1169">
        <f t="shared" si="54"/>
        <v>50.007239999999996</v>
      </c>
      <c r="P1169">
        <f t="shared" si="55"/>
        <v>-5.1437499999984482E-3</v>
      </c>
      <c r="Q1169">
        <f t="shared" si="56"/>
        <v>5.1437499999984482E-3</v>
      </c>
      <c r="Y1169">
        <f>TREND(H1164:H1168,G1164:G1168,G1169)</f>
        <v>50.099554752081637</v>
      </c>
      <c r="Z1169">
        <f>ABS((Y1169-H1169)/80*100)</f>
        <v>0.12053719010205022</v>
      </c>
      <c r="AH1169">
        <f>H1169-AG1136</f>
        <v>49.978797499999999</v>
      </c>
      <c r="AI1169">
        <f>100*(AH1169-O1169)/80</f>
        <v>-3.5553124999996299E-2</v>
      </c>
    </row>
    <row r="1170" spans="1:41" x14ac:dyDescent="0.35">
      <c r="A1170" t="s">
        <v>266</v>
      </c>
      <c r="B1170" t="s">
        <v>1111</v>
      </c>
      <c r="C1170" t="s">
        <v>1531</v>
      </c>
      <c r="D1170">
        <v>25</v>
      </c>
      <c r="E1170">
        <v>25</v>
      </c>
      <c r="F1170">
        <v>-1</v>
      </c>
      <c r="G1170">
        <v>-1.0001469999999999</v>
      </c>
      <c r="H1170">
        <v>10</v>
      </c>
      <c r="J1170">
        <v>-6445</v>
      </c>
      <c r="N1170" t="s">
        <v>188</v>
      </c>
      <c r="O1170">
        <f t="shared" si="54"/>
        <v>9.9941200000000041</v>
      </c>
      <c r="P1170">
        <f t="shared" si="55"/>
        <v>7.3499999999948606E-3</v>
      </c>
      <c r="Q1170">
        <f t="shared" si="56"/>
        <v>7.3499999999948606E-3</v>
      </c>
      <c r="Y1170">
        <f>TREND(H1164:H1168,G1164:G1168,G1170)</f>
        <v>9.9707729330586972</v>
      </c>
      <c r="Z1170">
        <f>ABS((Y1170-H1170)/80*100)</f>
        <v>3.6533833676628547E-2</v>
      </c>
      <c r="AH1170">
        <f>H1170-AG1136</f>
        <v>9.9756725000000017</v>
      </c>
      <c r="AI1170">
        <f>100*(AH1170-O1170)/80</f>
        <v>-2.3059375000002991E-2</v>
      </c>
    </row>
    <row r="1171" spans="1:41" x14ac:dyDescent="0.35">
      <c r="A1171" t="s">
        <v>266</v>
      </c>
      <c r="B1171" t="s">
        <v>1111</v>
      </c>
      <c r="C1171" t="s">
        <v>1568</v>
      </c>
      <c r="D1171">
        <v>50</v>
      </c>
      <c r="E1171">
        <v>50</v>
      </c>
      <c r="F1171">
        <v>-1</v>
      </c>
      <c r="G1171">
        <v>-1.0004139999999999</v>
      </c>
      <c r="H1171">
        <v>10.128125000000001</v>
      </c>
      <c r="J1171">
        <v>3460</v>
      </c>
      <c r="N1171" t="s">
        <v>188</v>
      </c>
      <c r="O1171">
        <f t="shared" si="54"/>
        <v>9.9834400000000034</v>
      </c>
      <c r="P1171">
        <f t="shared" si="55"/>
        <v>0.18085624999999661</v>
      </c>
      <c r="Q1171">
        <f t="shared" si="56"/>
        <v>0.18085624999999661</v>
      </c>
      <c r="S1171">
        <v>50.135937499999997</v>
      </c>
      <c r="T1171">
        <v>0.16587187499999878</v>
      </c>
      <c r="U1171">
        <v>90.278125000000003</v>
      </c>
      <c r="V1171">
        <v>0.34480625000000487</v>
      </c>
      <c r="W1171">
        <v>80.14999694824219</v>
      </c>
      <c r="X1171">
        <f>(W1171-80)/80*100</f>
        <v>0.18749618530273793</v>
      </c>
      <c r="Y1171">
        <f>TREND(H1171:H1175,G1171:G1175,G1171)</f>
        <v>10.056934343802546</v>
      </c>
      <c r="Z1171">
        <f>ABS((Y1171-H1171)/80*100)</f>
        <v>8.8988320246818908E-2</v>
      </c>
      <c r="AA1171">
        <f>MAX(Z1171:Z1175)</f>
        <v>0.10414679928485437</v>
      </c>
      <c r="AB1171">
        <f>IF(ABS(MAX(P1171:P1177)) &gt; ABS(MIN(P1171:P1177)),MAX(P1171:P1177), MIN(P1171:P1177))</f>
        <v>0.34480625000000487</v>
      </c>
      <c r="AC1171">
        <f>IF(ABS(AB1172)&gt;ABS(AB1171),AB1172,AB1171)</f>
        <v>0.34480625000000487</v>
      </c>
      <c r="AH1171">
        <f>H1171-AG1136</f>
        <v>10.103797500000002</v>
      </c>
      <c r="AI1171">
        <f>100*(AH1171-O1171)/80</f>
        <v>0.15044687499999876</v>
      </c>
      <c r="AJ1171">
        <v>50.111609999999999</v>
      </c>
      <c r="AK1171">
        <v>0.13546250000000093</v>
      </c>
      <c r="AL1171">
        <v>90.253797500000005</v>
      </c>
      <c r="AM1171">
        <v>0.31439687500000701</v>
      </c>
      <c r="AN1171">
        <f>IF(ABS(MAX(AI1171:AI1177)) &gt; ABS(MIN(AI1171:AI1177)),MAX(AI1171:AI1177), MIN(AI1171:AI1177))</f>
        <v>0.31439687500000701</v>
      </c>
      <c r="AO1171">
        <f>IF(ABS(AN1172)&gt;ABS(AN1171),AN1172,AN1171)</f>
        <v>0.31439687500000701</v>
      </c>
    </row>
    <row r="1172" spans="1:41" x14ac:dyDescent="0.35">
      <c r="A1172" t="s">
        <v>266</v>
      </c>
      <c r="B1172" t="s">
        <v>1111</v>
      </c>
      <c r="C1172" t="s">
        <v>1604</v>
      </c>
      <c r="D1172">
        <v>50</v>
      </c>
      <c r="E1172">
        <v>50</v>
      </c>
      <c r="F1172">
        <v>-0.5</v>
      </c>
      <c r="G1172">
        <v>-0.500332</v>
      </c>
      <c r="H1172">
        <v>30.024999999999999</v>
      </c>
      <c r="J1172">
        <v>3500</v>
      </c>
      <c r="N1172" t="s">
        <v>188</v>
      </c>
      <c r="O1172">
        <f t="shared" si="54"/>
        <v>29.986719999999998</v>
      </c>
      <c r="P1172">
        <f t="shared" si="55"/>
        <v>4.7850000000000392E-2</v>
      </c>
      <c r="Q1172">
        <f t="shared" si="56"/>
        <v>4.7850000000000392E-2</v>
      </c>
      <c r="Y1172">
        <f>TREND(H1171:H1175,G1171:G1175,G1172)</f>
        <v>30.108317439427882</v>
      </c>
      <c r="Z1172">
        <f>ABS((Y1172-H1172)/80*100)</f>
        <v>0.10414679928485437</v>
      </c>
      <c r="AB1172">
        <f>IF(ABS(T1171) &gt; ABS(V1171),T1171,V1171)</f>
        <v>0.34480625000000487</v>
      </c>
      <c r="AH1172">
        <f>H1172-AG1136</f>
        <v>30.0006725</v>
      </c>
      <c r="AI1172">
        <f>100*(AH1172-O1172)/80</f>
        <v>1.7440625000002541E-2</v>
      </c>
      <c r="AN1172">
        <f>IF(ABS(AK1171) &gt; ABS(AM1171),AK1171,AM1171)</f>
        <v>0.31439687500000701</v>
      </c>
    </row>
    <row r="1173" spans="1:41" x14ac:dyDescent="0.35">
      <c r="A1173" t="s">
        <v>266</v>
      </c>
      <c r="B1173" t="s">
        <v>1111</v>
      </c>
      <c r="C1173" t="s">
        <v>1642</v>
      </c>
      <c r="D1173">
        <v>50</v>
      </c>
      <c r="E1173">
        <v>50</v>
      </c>
      <c r="F1173">
        <v>0</v>
      </c>
      <c r="G1173">
        <v>8.1000000000000004E-5</v>
      </c>
      <c r="H1173">
        <v>50.135937499999997</v>
      </c>
      <c r="J1173">
        <v>3539</v>
      </c>
      <c r="N1173" t="s">
        <v>188</v>
      </c>
      <c r="O1173">
        <f t="shared" si="54"/>
        <v>50.003239999999998</v>
      </c>
      <c r="P1173">
        <f t="shared" si="55"/>
        <v>0.16587187499999878</v>
      </c>
      <c r="Q1173">
        <f t="shared" si="56"/>
        <v>0.16587187499999878</v>
      </c>
      <c r="Y1173">
        <f>TREND(H1171:H1175,G1171:G1175,G1173)</f>
        <v>50.172972374080928</v>
      </c>
      <c r="Z1173">
        <f>ABS((Y1173-H1173)/80*100)</f>
        <v>4.6293592601163169E-2</v>
      </c>
      <c r="AH1173">
        <f>H1173-AG1136</f>
        <v>50.111609999999999</v>
      </c>
      <c r="AI1173">
        <f>100*(AH1173-O1173)/80</f>
        <v>0.13546250000000093</v>
      </c>
    </row>
    <row r="1174" spans="1:41" x14ac:dyDescent="0.35">
      <c r="A1174" t="s">
        <v>266</v>
      </c>
      <c r="B1174" t="s">
        <v>1111</v>
      </c>
      <c r="C1174" t="s">
        <v>1678</v>
      </c>
      <c r="D1174">
        <v>50</v>
      </c>
      <c r="E1174">
        <v>50</v>
      </c>
      <c r="F1174">
        <v>0.5</v>
      </c>
      <c r="G1174">
        <v>0.49982399999999999</v>
      </c>
      <c r="H1174">
        <v>70.25</v>
      </c>
      <c r="J1174">
        <v>3570</v>
      </c>
      <c r="N1174" t="s">
        <v>188</v>
      </c>
      <c r="O1174">
        <f t="shared" si="54"/>
        <v>69.992960000000011</v>
      </c>
      <c r="P1174">
        <f t="shared" si="55"/>
        <v>0.3212999999999866</v>
      </c>
      <c r="Q1174">
        <f t="shared" si="56"/>
        <v>0.3212999999999866</v>
      </c>
      <c r="Y1174">
        <f>TREND(H1171:H1175,G1171:G1175,G1174)</f>
        <v>70.210762861155246</v>
      </c>
      <c r="Z1174">
        <f>ABS((Y1174-H1174)/80*100)</f>
        <v>4.9046423555942908E-2</v>
      </c>
      <c r="AH1174">
        <f>H1174-AG1136</f>
        <v>70.225672500000002</v>
      </c>
      <c r="AI1174">
        <f>100*(AH1174-O1174)/80</f>
        <v>0.29089062499998875</v>
      </c>
    </row>
    <row r="1175" spans="1:41" x14ac:dyDescent="0.35">
      <c r="A1175" t="s">
        <v>266</v>
      </c>
      <c r="B1175" t="s">
        <v>1111</v>
      </c>
      <c r="C1175" t="s">
        <v>1715</v>
      </c>
      <c r="D1175">
        <v>50</v>
      </c>
      <c r="E1175">
        <v>50</v>
      </c>
      <c r="F1175">
        <v>1</v>
      </c>
      <c r="G1175">
        <v>1.000057</v>
      </c>
      <c r="H1175">
        <v>90.278125000000003</v>
      </c>
      <c r="J1175">
        <v>3602</v>
      </c>
      <c r="N1175" t="s">
        <v>188</v>
      </c>
      <c r="O1175">
        <f t="shared" si="54"/>
        <v>90.002279999999999</v>
      </c>
      <c r="P1175">
        <f t="shared" si="55"/>
        <v>0.34480625000000487</v>
      </c>
      <c r="Q1175">
        <f t="shared" si="56"/>
        <v>0.34480625000000487</v>
      </c>
      <c r="Y1175">
        <f>TREND(H1171:H1175,G1171:G1175,G1175)</f>
        <v>90.268200481533398</v>
      </c>
      <c r="Z1175">
        <f>ABS((Y1175-H1175)/80*100)</f>
        <v>1.2405648083255727E-2</v>
      </c>
      <c r="AH1175">
        <f>H1175-AG1136</f>
        <v>90.253797500000005</v>
      </c>
      <c r="AI1175">
        <f>100*(AH1175-O1175)/80</f>
        <v>0.31439687500000701</v>
      </c>
    </row>
    <row r="1176" spans="1:41" x14ac:dyDescent="0.35">
      <c r="A1176" t="s">
        <v>266</v>
      </c>
      <c r="B1176" t="s">
        <v>1111</v>
      </c>
      <c r="C1176" t="s">
        <v>1752</v>
      </c>
      <c r="D1176">
        <v>50</v>
      </c>
      <c r="E1176">
        <v>50</v>
      </c>
      <c r="F1176">
        <v>0</v>
      </c>
      <c r="G1176">
        <v>3.1999999999999999E-5</v>
      </c>
      <c r="H1176">
        <v>50.107812500000001</v>
      </c>
      <c r="J1176">
        <v>3632</v>
      </c>
      <c r="N1176" t="s">
        <v>188</v>
      </c>
      <c r="O1176">
        <f t="shared" si="54"/>
        <v>50.001280000000001</v>
      </c>
      <c r="P1176">
        <f t="shared" si="55"/>
        <v>0.13316562500000018</v>
      </c>
      <c r="Q1176">
        <f t="shared" si="56"/>
        <v>0.13316562500000018</v>
      </c>
      <c r="Y1176">
        <f>TREND(H1171:H1175,G1171:G1175,G1176)</f>
        <v>50.171007660750547</v>
      </c>
      <c r="Z1176">
        <f>ABS((Y1176-H1176)/80*100)</f>
        <v>7.8993950938182067E-2</v>
      </c>
      <c r="AH1176">
        <f>H1176-AG1136</f>
        <v>50.083485000000003</v>
      </c>
      <c r="AI1176">
        <f>100*(AH1176-O1176)/80</f>
        <v>0.10275625000000232</v>
      </c>
    </row>
    <row r="1177" spans="1:41" x14ac:dyDescent="0.35">
      <c r="A1177" t="s">
        <v>266</v>
      </c>
      <c r="B1177" t="s">
        <v>1111</v>
      </c>
      <c r="C1177" t="s">
        <v>1788</v>
      </c>
      <c r="D1177">
        <v>50</v>
      </c>
      <c r="E1177">
        <v>50</v>
      </c>
      <c r="F1177">
        <v>-1</v>
      </c>
      <c r="G1177">
        <v>-0.99998900000000002</v>
      </c>
      <c r="H1177">
        <v>10.0609375</v>
      </c>
      <c r="J1177">
        <v>3658</v>
      </c>
      <c r="N1177" t="s">
        <v>188</v>
      </c>
      <c r="O1177">
        <f t="shared" si="54"/>
        <v>10.000439999999999</v>
      </c>
      <c r="P1177">
        <f t="shared" si="55"/>
        <v>7.5621875000000394E-2</v>
      </c>
      <c r="Q1177">
        <f t="shared" si="56"/>
        <v>7.5621875000000394E-2</v>
      </c>
      <c r="Y1177">
        <f>TREND(H1171:H1175,G1171:G1175,G1177)</f>
        <v>10.073975224729345</v>
      </c>
      <c r="Z1177">
        <f>ABS((Y1177-H1177)/80*100)</f>
        <v>1.6297155911682015E-2</v>
      </c>
      <c r="AH1177">
        <f>H1177-AG1136</f>
        <v>10.036610000000001</v>
      </c>
      <c r="AI1177">
        <f>100*(AH1177-O1177)/80</f>
        <v>4.5212500000002542E-2</v>
      </c>
    </row>
    <row r="1178" spans="1:41" x14ac:dyDescent="0.35">
      <c r="A1178" t="s">
        <v>266</v>
      </c>
      <c r="B1178" t="s">
        <v>1111</v>
      </c>
      <c r="C1178" t="s">
        <v>1826</v>
      </c>
      <c r="D1178">
        <v>70</v>
      </c>
      <c r="E1178">
        <v>70</v>
      </c>
      <c r="F1178">
        <v>-1</v>
      </c>
      <c r="G1178">
        <v>-0.99957300000000004</v>
      </c>
      <c r="H1178">
        <v>10.15625</v>
      </c>
      <c r="J1178">
        <v>11706</v>
      </c>
      <c r="N1178" t="s">
        <v>188</v>
      </c>
      <c r="O1178">
        <f t="shared" si="54"/>
        <v>10.017079999999998</v>
      </c>
      <c r="P1178">
        <f t="shared" si="55"/>
        <v>0.17396250000000224</v>
      </c>
      <c r="Q1178">
        <f t="shared" si="56"/>
        <v>0.17396250000000224</v>
      </c>
      <c r="S1178">
        <v>50.237499999999997</v>
      </c>
      <c r="T1178">
        <v>0.29962499999999892</v>
      </c>
      <c r="U1178">
        <v>90.285937500000003</v>
      </c>
      <c r="V1178">
        <v>0.34612187500000502</v>
      </c>
      <c r="W1178">
        <v>80.129684448242188</v>
      </c>
      <c r="X1178">
        <f>(W1178-80)/80*100</f>
        <v>0.16210556030273438</v>
      </c>
      <c r="Y1178">
        <f>TREND(H1178:H1182,G1178:G1182,G1178)</f>
        <v>10.139195935852591</v>
      </c>
      <c r="Z1178">
        <f>ABS((Y1178-H1178)/80*100)</f>
        <v>2.1317580184261331E-2</v>
      </c>
      <c r="AA1178">
        <f>MAX(Z1178:Z1182)</f>
        <v>8.4220244894819274E-2</v>
      </c>
      <c r="AB1178">
        <f>IF(ABS(MAX(P1178:P1184)) &gt; ABS(MIN(P1178:P1184)),MAX(P1178:P1184), MIN(P1178:P1184))</f>
        <v>0.42421562500001286</v>
      </c>
      <c r="AC1178">
        <f>IF(ABS(AB1179)&gt;ABS(AB1178),AB1179,AB1178)</f>
        <v>0.42421562500001286</v>
      </c>
      <c r="AH1178">
        <f>H1178-AG1136</f>
        <v>10.131922500000002</v>
      </c>
      <c r="AI1178">
        <f>100*(AH1178-O1178)/80</f>
        <v>0.14355312500000439</v>
      </c>
      <c r="AJ1178">
        <v>50.213172499999999</v>
      </c>
      <c r="AK1178">
        <v>0.26921562500000107</v>
      </c>
      <c r="AL1178">
        <v>90.261610000000005</v>
      </c>
      <c r="AM1178">
        <v>0.31571250000000717</v>
      </c>
      <c r="AN1178">
        <f>IF(ABS(MAX(AI1178:AI1184)) &gt; ABS(MIN(AI1178:AI1184)),MAX(AI1178:AI1184), MIN(AI1178:AI1184))</f>
        <v>0.39380625000001501</v>
      </c>
      <c r="AO1178">
        <f>IF(ABS(AN1179)&gt;ABS(AN1178),AN1179,AN1178)</f>
        <v>0.39380625000001501</v>
      </c>
    </row>
    <row r="1179" spans="1:41" x14ac:dyDescent="0.35">
      <c r="A1179" t="s">
        <v>266</v>
      </c>
      <c r="B1179" t="s">
        <v>1111</v>
      </c>
      <c r="C1179" t="s">
        <v>1863</v>
      </c>
      <c r="D1179">
        <v>70</v>
      </c>
      <c r="E1179">
        <v>70</v>
      </c>
      <c r="F1179">
        <v>-0.5</v>
      </c>
      <c r="G1179">
        <v>-0.50010299999999996</v>
      </c>
      <c r="H1179">
        <v>30.110937499999999</v>
      </c>
      <c r="J1179">
        <v>11745</v>
      </c>
      <c r="N1179" t="s">
        <v>188</v>
      </c>
      <c r="O1179">
        <f t="shared" si="54"/>
        <v>29.99588</v>
      </c>
      <c r="P1179">
        <f t="shared" si="55"/>
        <v>0.14382187499999866</v>
      </c>
      <c r="Q1179">
        <f t="shared" si="56"/>
        <v>0.14382187499999866</v>
      </c>
      <c r="Y1179">
        <f>TREND(H1178:H1182,G1178:G1182,G1179)</f>
        <v>30.167922772039791</v>
      </c>
      <c r="Z1179">
        <f>ABS((Y1179-H1179)/80*100)</f>
        <v>7.1231590049740667E-2</v>
      </c>
      <c r="AB1179">
        <f>IF(ABS(T1178) &gt; ABS(V1178),T1178,V1178)</f>
        <v>0.34612187500000502</v>
      </c>
      <c r="AH1179">
        <f>H1179-AG1136</f>
        <v>30.08661</v>
      </c>
      <c r="AI1179">
        <f>100*(AH1179-O1179)/80</f>
        <v>0.1134125000000008</v>
      </c>
      <c r="AN1179">
        <f>IF(ABS(AK1178) &gt; ABS(AM1178),AK1178,AM1178)</f>
        <v>0.31571250000000717</v>
      </c>
    </row>
    <row r="1180" spans="1:41" x14ac:dyDescent="0.35">
      <c r="A1180" t="s">
        <v>266</v>
      </c>
      <c r="B1180" t="s">
        <v>1111</v>
      </c>
      <c r="C1180" t="s">
        <v>1899</v>
      </c>
      <c r="D1180">
        <v>70</v>
      </c>
      <c r="E1180">
        <v>70</v>
      </c>
      <c r="F1180">
        <v>0</v>
      </c>
      <c r="G1180">
        <v>-5.5000000000000002E-5</v>
      </c>
      <c r="H1180">
        <v>50.237499999999997</v>
      </c>
      <c r="J1180">
        <v>11776</v>
      </c>
      <c r="N1180" t="s">
        <v>188</v>
      </c>
      <c r="O1180">
        <f t="shared" si="54"/>
        <v>49.997799999999998</v>
      </c>
      <c r="P1180">
        <f t="shared" si="55"/>
        <v>0.29962499999999892</v>
      </c>
      <c r="Q1180">
        <f t="shared" si="56"/>
        <v>0.29962499999999892</v>
      </c>
      <c r="Y1180">
        <f>TREND(H1178:H1182,G1178:G1182,G1180)</f>
        <v>50.219827384892888</v>
      </c>
      <c r="Z1180">
        <f>ABS((Y1180-H1180)/80*100)</f>
        <v>2.2090768883886724E-2</v>
      </c>
      <c r="AH1180">
        <f>H1180-AG1136</f>
        <v>50.213172499999999</v>
      </c>
      <c r="AI1180">
        <f>100*(AH1180-O1180)/80</f>
        <v>0.26921562500000107</v>
      </c>
    </row>
    <row r="1181" spans="1:41" x14ac:dyDescent="0.35">
      <c r="A1181" t="s">
        <v>266</v>
      </c>
      <c r="B1181" t="s">
        <v>1111</v>
      </c>
      <c r="C1181" t="s">
        <v>1936</v>
      </c>
      <c r="D1181">
        <v>70</v>
      </c>
      <c r="E1181">
        <v>70</v>
      </c>
      <c r="F1181">
        <v>0.5</v>
      </c>
      <c r="G1181">
        <v>0.499836</v>
      </c>
      <c r="H1181">
        <v>70.332812500000003</v>
      </c>
      <c r="J1181">
        <v>11812</v>
      </c>
      <c r="N1181" t="s">
        <v>188</v>
      </c>
      <c r="O1181">
        <f t="shared" si="54"/>
        <v>69.993439999999993</v>
      </c>
      <c r="P1181">
        <f t="shared" si="55"/>
        <v>0.42421562500001286</v>
      </c>
      <c r="Q1181">
        <f t="shared" si="56"/>
        <v>0.42421562500001286</v>
      </c>
      <c r="Y1181">
        <f>TREND(H1178:H1182,G1178:G1182,G1181)</f>
        <v>70.265436304084147</v>
      </c>
      <c r="Z1181">
        <f>ABS((Y1181-H1181)/80*100)</f>
        <v>8.4220244894819274E-2</v>
      </c>
      <c r="AH1181">
        <f>H1181-AG1136</f>
        <v>70.308485000000005</v>
      </c>
      <c r="AI1181">
        <f>100*(AH1181-O1181)/80</f>
        <v>0.39380625000001501</v>
      </c>
    </row>
    <row r="1182" spans="1:41" x14ac:dyDescent="0.35">
      <c r="A1182" t="s">
        <v>266</v>
      </c>
      <c r="B1182" t="s">
        <v>1111</v>
      </c>
      <c r="C1182" t="s">
        <v>1972</v>
      </c>
      <c r="D1182">
        <v>70</v>
      </c>
      <c r="E1182">
        <v>70</v>
      </c>
      <c r="F1182">
        <v>1</v>
      </c>
      <c r="G1182">
        <v>1.0002260000000001</v>
      </c>
      <c r="H1182">
        <v>90.285937500000003</v>
      </c>
      <c r="J1182">
        <v>11840</v>
      </c>
      <c r="N1182" t="s">
        <v>188</v>
      </c>
      <c r="O1182">
        <f t="shared" si="54"/>
        <v>90.009039999999999</v>
      </c>
      <c r="P1182">
        <f t="shared" si="55"/>
        <v>0.34612187500000502</v>
      </c>
      <c r="Q1182">
        <f t="shared" si="56"/>
        <v>0.34612187500000502</v>
      </c>
      <c r="Y1182">
        <f>TREND(H1178:H1182,G1178:G1182,G1182)</f>
        <v>90.331055103130552</v>
      </c>
      <c r="Z1182">
        <f>ABS((Y1182-H1182)/80*100)</f>
        <v>5.6397003913186694E-2</v>
      </c>
      <c r="AH1182">
        <f>H1182-AG1136</f>
        <v>90.261610000000005</v>
      </c>
      <c r="AI1182">
        <f>100*(AH1182-O1182)/80</f>
        <v>0.31571250000000717</v>
      </c>
    </row>
    <row r="1183" spans="1:41" x14ac:dyDescent="0.35">
      <c r="A1183" t="s">
        <v>266</v>
      </c>
      <c r="B1183" t="s">
        <v>1111</v>
      </c>
      <c r="C1183" t="s">
        <v>2008</v>
      </c>
      <c r="D1183">
        <v>70</v>
      </c>
      <c r="E1183">
        <v>70</v>
      </c>
      <c r="F1183">
        <v>0</v>
      </c>
      <c r="G1183">
        <v>-4.6E-5</v>
      </c>
      <c r="H1183">
        <v>50.240625000000001</v>
      </c>
      <c r="J1183">
        <v>11866</v>
      </c>
      <c r="N1183" t="s">
        <v>188</v>
      </c>
      <c r="O1183">
        <f t="shared" si="54"/>
        <v>49.998159999999999</v>
      </c>
      <c r="P1183">
        <f t="shared" si="55"/>
        <v>0.30308125000000352</v>
      </c>
      <c r="Q1183">
        <f t="shared" si="56"/>
        <v>0.30308125000000352</v>
      </c>
      <c r="Y1183">
        <f>TREND(H1178:H1182,G1178:G1182,G1183)</f>
        <v>50.220188284529556</v>
      </c>
      <c r="Z1183">
        <f>ABS((Y1183-H1183)/80*100)</f>
        <v>2.5545894338057096E-2</v>
      </c>
      <c r="AH1183">
        <f>H1183-AG1136</f>
        <v>50.216297500000003</v>
      </c>
      <c r="AI1183">
        <f>100*(AH1183-O1183)/80</f>
        <v>0.27267187500000567</v>
      </c>
    </row>
    <row r="1184" spans="1:41" x14ac:dyDescent="0.35">
      <c r="A1184" t="s">
        <v>266</v>
      </c>
      <c r="B1184" t="s">
        <v>1111</v>
      </c>
      <c r="C1184" t="s">
        <v>2045</v>
      </c>
      <c r="D1184">
        <v>70</v>
      </c>
      <c r="E1184">
        <v>70</v>
      </c>
      <c r="F1184">
        <v>-1</v>
      </c>
      <c r="G1184">
        <v>-1.000011</v>
      </c>
      <c r="H1184">
        <v>10.237500000000001</v>
      </c>
      <c r="J1184">
        <v>11888</v>
      </c>
      <c r="N1184" t="s">
        <v>188</v>
      </c>
      <c r="O1184">
        <f t="shared" si="54"/>
        <v>9.9995600000000007</v>
      </c>
      <c r="P1184">
        <f t="shared" si="55"/>
        <v>0.29742500000000005</v>
      </c>
      <c r="Q1184">
        <f t="shared" si="56"/>
        <v>0.29742500000000005</v>
      </c>
      <c r="Y1184">
        <f>TREND(H1178:H1182,G1178:G1182,G1184)</f>
        <v>10.12163215353484</v>
      </c>
      <c r="Z1184">
        <f>ABS((Y1184-H1184)/80*100)</f>
        <v>0.14483480808145099</v>
      </c>
      <c r="AH1184">
        <f>H1184-AG1136</f>
        <v>10.213172500000002</v>
      </c>
      <c r="AI1184">
        <f>100*(AH1184-O1184)/80</f>
        <v>0.2670156250000022</v>
      </c>
    </row>
    <row r="1185" spans="1:41" x14ac:dyDescent="0.35">
      <c r="A1185" t="s">
        <v>266</v>
      </c>
      <c r="B1185" t="s">
        <v>1111</v>
      </c>
      <c r="C1185" t="s">
        <v>2081</v>
      </c>
      <c r="D1185">
        <v>85</v>
      </c>
      <c r="E1185">
        <v>85</v>
      </c>
      <c r="F1185">
        <v>-1</v>
      </c>
      <c r="G1185">
        <v>-1.000021</v>
      </c>
      <c r="H1185">
        <v>10.362500000000001</v>
      </c>
      <c r="J1185">
        <v>17927</v>
      </c>
      <c r="N1185" t="s">
        <v>188</v>
      </c>
      <c r="O1185">
        <f t="shared" si="54"/>
        <v>9.999159999999998</v>
      </c>
      <c r="P1185">
        <f t="shared" si="55"/>
        <v>0.45417500000000333</v>
      </c>
      <c r="Q1185">
        <f t="shared" si="56"/>
        <v>0.45417500000000333</v>
      </c>
      <c r="S1185">
        <v>50.375</v>
      </c>
      <c r="T1185">
        <v>0.46949999999999825</v>
      </c>
      <c r="U1185">
        <v>90.3125</v>
      </c>
      <c r="V1185">
        <v>0.3854249999999837</v>
      </c>
      <c r="W1185">
        <v>79.95</v>
      </c>
      <c r="X1185">
        <f>(W1185-80)/80*100</f>
        <v>-6.2499999999996447E-2</v>
      </c>
      <c r="Y1185">
        <f>TREND(H1185:H1189,G1185:G1189,G1185)</f>
        <v>10.325572656937268</v>
      </c>
      <c r="Z1185">
        <f>ABS((Y1185-H1185)/80*100)</f>
        <v>4.615917882841547E-2</v>
      </c>
      <c r="AA1185">
        <f>MAX(Z1185:Z1189)</f>
        <v>0.11355561557987669</v>
      </c>
      <c r="AB1185">
        <f>IF(ABS(MAX(P1185:P1191)) &gt; ABS(MIN(P1185:P1191)),MAX(P1185:P1191), MIN(P1185:P1191))</f>
        <v>0.46949999999999825</v>
      </c>
      <c r="AC1185">
        <f>IF(ABS(AB1186)&gt;ABS(AB1185),AB1186,AB1185)</f>
        <v>0.46949999999999825</v>
      </c>
      <c r="AH1185">
        <f>H1185-AG1136</f>
        <v>10.338172500000002</v>
      </c>
      <c r="AI1185">
        <f>100*(AH1185-O1185)/80</f>
        <v>0.42376562500000547</v>
      </c>
      <c r="AJ1185">
        <v>50.350672500000002</v>
      </c>
      <c r="AK1185">
        <v>0.4390906250000004</v>
      </c>
      <c r="AL1185">
        <v>90.288172500000002</v>
      </c>
      <c r="AM1185">
        <v>0.35501562499998585</v>
      </c>
      <c r="AN1185">
        <f>IF(ABS(MAX(AI1185:AI1191)) &gt; ABS(MIN(AI1185:AI1191)),MAX(AI1185:AI1191), MIN(AI1185:AI1191))</f>
        <v>0.4390906250000004</v>
      </c>
      <c r="AO1185">
        <f>IF(ABS(AN1186)&gt;ABS(AN1185),AN1186,AN1185)</f>
        <v>0.4390906250000004</v>
      </c>
    </row>
    <row r="1186" spans="1:41" x14ac:dyDescent="0.35">
      <c r="A1186" t="s">
        <v>266</v>
      </c>
      <c r="B1186" t="s">
        <v>1111</v>
      </c>
      <c r="C1186" t="s">
        <v>2117</v>
      </c>
      <c r="D1186">
        <v>85</v>
      </c>
      <c r="E1186">
        <v>85</v>
      </c>
      <c r="F1186">
        <v>-0.5</v>
      </c>
      <c r="G1186">
        <v>-0.49995800000000001</v>
      </c>
      <c r="H1186">
        <v>30.239062499999999</v>
      </c>
      <c r="J1186">
        <v>17957</v>
      </c>
      <c r="N1186" t="s">
        <v>188</v>
      </c>
      <c r="O1186">
        <f t="shared" si="54"/>
        <v>30.00168</v>
      </c>
      <c r="P1186">
        <f t="shared" si="55"/>
        <v>0.29672812499999868</v>
      </c>
      <c r="Q1186">
        <f t="shared" si="56"/>
        <v>0.29672812499999868</v>
      </c>
      <c r="Y1186">
        <f>TREND(H1185:H1189,G1185:G1189,G1186)</f>
        <v>30.329906992463901</v>
      </c>
      <c r="Z1186">
        <f>ABS((Y1186-H1186)/80*100)</f>
        <v>0.11355561557987669</v>
      </c>
      <c r="AB1186">
        <f>IF(ABS(T1185) &gt; ABS(V1185),T1185,V1185)</f>
        <v>0.46949999999999825</v>
      </c>
      <c r="AH1186">
        <f>H1186-AG1136</f>
        <v>30.214735000000001</v>
      </c>
      <c r="AI1186">
        <f>100*(AH1186-O1186)/80</f>
        <v>0.26631875000000083</v>
      </c>
      <c r="AN1186">
        <f>IF(ABS(AK1185) &gt; ABS(AM1185),AK1185,AM1185)</f>
        <v>0.4390906250000004</v>
      </c>
    </row>
    <row r="1187" spans="1:41" x14ac:dyDescent="0.35">
      <c r="A1187" t="s">
        <v>266</v>
      </c>
      <c r="B1187" t="s">
        <v>1111</v>
      </c>
      <c r="C1187" t="s">
        <v>2153</v>
      </c>
      <c r="D1187">
        <v>85</v>
      </c>
      <c r="E1187">
        <v>85</v>
      </c>
      <c r="F1187">
        <v>0</v>
      </c>
      <c r="G1187">
        <v>-1.5E-5</v>
      </c>
      <c r="H1187">
        <v>50.375</v>
      </c>
      <c r="J1187">
        <v>17981</v>
      </c>
      <c r="N1187" t="s">
        <v>188</v>
      </c>
      <c r="O1187">
        <f t="shared" si="54"/>
        <v>49.999400000000001</v>
      </c>
      <c r="P1187">
        <f t="shared" si="55"/>
        <v>0.46949999999999825</v>
      </c>
      <c r="Q1187">
        <f t="shared" si="56"/>
        <v>0.46949999999999825</v>
      </c>
      <c r="Y1187">
        <f>TREND(H1185:H1189,G1185:G1189,G1187)</f>
        <v>50.329440892604865</v>
      </c>
      <c r="Z1187">
        <f>ABS((Y1187-H1187)/80*100)</f>
        <v>5.6948884243919189E-2</v>
      </c>
      <c r="AH1187">
        <f>H1187-AG1136</f>
        <v>50.350672500000002</v>
      </c>
      <c r="AI1187">
        <f>100*(AH1187-O1187)/80</f>
        <v>0.4390906250000004</v>
      </c>
    </row>
    <row r="1188" spans="1:41" x14ac:dyDescent="0.35">
      <c r="A1188" t="s">
        <v>266</v>
      </c>
      <c r="B1188" t="s">
        <v>1111</v>
      </c>
      <c r="C1188" t="s">
        <v>2191</v>
      </c>
      <c r="D1188">
        <v>85</v>
      </c>
      <c r="E1188">
        <v>85</v>
      </c>
      <c r="F1188">
        <v>0.5</v>
      </c>
      <c r="G1188">
        <v>0.49996299999999999</v>
      </c>
      <c r="H1188">
        <v>70.364062500000003</v>
      </c>
      <c r="J1188">
        <v>18013</v>
      </c>
      <c r="N1188" t="s">
        <v>188</v>
      </c>
      <c r="O1188">
        <f t="shared" si="54"/>
        <v>69.998519999999999</v>
      </c>
      <c r="P1188">
        <f t="shared" si="55"/>
        <v>0.45692812500000457</v>
      </c>
      <c r="Q1188">
        <f t="shared" si="56"/>
        <v>0.45692812500000457</v>
      </c>
      <c r="Y1188">
        <f>TREND(H1185:H1189,G1185:G1189,G1188)</f>
        <v>70.330374919733316</v>
      </c>
      <c r="Z1188">
        <f>ABS((Y1188-H1188)/80*100)</f>
        <v>4.2109475333358404E-2</v>
      </c>
      <c r="AH1188">
        <f>H1188-AG1136</f>
        <v>70.339735000000005</v>
      </c>
      <c r="AI1188">
        <f>100*(AH1188-O1188)/80</f>
        <v>0.42651875000000672</v>
      </c>
    </row>
    <row r="1189" spans="1:41" x14ac:dyDescent="0.35">
      <c r="A1189" t="s">
        <v>266</v>
      </c>
      <c r="B1189" t="s">
        <v>1111</v>
      </c>
      <c r="C1189" t="s">
        <v>2227</v>
      </c>
      <c r="D1189">
        <v>85</v>
      </c>
      <c r="E1189">
        <v>85</v>
      </c>
      <c r="F1189">
        <v>1</v>
      </c>
      <c r="G1189">
        <v>1.0001040000000001</v>
      </c>
      <c r="H1189">
        <v>90.3125</v>
      </c>
      <c r="J1189">
        <v>18044</v>
      </c>
      <c r="N1189" t="s">
        <v>188</v>
      </c>
      <c r="O1189">
        <f t="shared" si="54"/>
        <v>90.004160000000013</v>
      </c>
      <c r="P1189">
        <f t="shared" si="55"/>
        <v>0.3854249999999837</v>
      </c>
      <c r="Q1189">
        <f t="shared" si="56"/>
        <v>0.3854249999999837</v>
      </c>
      <c r="Y1189">
        <f>TREND(H1185:H1189,G1185:G1189,G1189)</f>
        <v>90.337829538260635</v>
      </c>
      <c r="Z1189">
        <f>ABS((Y1189-H1189)/80*100)</f>
        <v>3.1661922825794164E-2</v>
      </c>
      <c r="AH1189">
        <f>H1189-AG1136</f>
        <v>90.288172500000002</v>
      </c>
      <c r="AI1189">
        <f>100*(AH1189-O1189)/80</f>
        <v>0.35501562499998585</v>
      </c>
    </row>
    <row r="1190" spans="1:41" x14ac:dyDescent="0.35">
      <c r="A1190" t="s">
        <v>266</v>
      </c>
      <c r="B1190" t="s">
        <v>1111</v>
      </c>
      <c r="C1190" t="s">
        <v>2263</v>
      </c>
      <c r="D1190">
        <v>85</v>
      </c>
      <c r="E1190">
        <v>85</v>
      </c>
      <c r="F1190">
        <v>0</v>
      </c>
      <c r="G1190">
        <v>-5.3000000000000001E-5</v>
      </c>
      <c r="H1190">
        <v>50.309375000000003</v>
      </c>
      <c r="J1190">
        <v>18052</v>
      </c>
      <c r="N1190" t="s">
        <v>188</v>
      </c>
      <c r="O1190">
        <f t="shared" si="54"/>
        <v>49.997880000000002</v>
      </c>
      <c r="P1190">
        <f t="shared" si="55"/>
        <v>0.38936875000000093</v>
      </c>
      <c r="Q1190">
        <f t="shared" si="56"/>
        <v>0.38936875000000093</v>
      </c>
      <c r="Y1190">
        <f>TREND(H1185:H1189,G1185:G1189,G1190)</f>
        <v>50.327920754732737</v>
      </c>
      <c r="Z1190">
        <f>ABS((Y1190-H1190)/80*100)</f>
        <v>2.3182193415918206E-2</v>
      </c>
      <c r="AH1190">
        <f>H1190-AG1136</f>
        <v>50.285047500000005</v>
      </c>
      <c r="AI1190">
        <f>100*(AH1190-O1190)/80</f>
        <v>0.35895937500000308</v>
      </c>
    </row>
    <row r="1191" spans="1:41" x14ac:dyDescent="0.35">
      <c r="A1191" t="s">
        <v>266</v>
      </c>
      <c r="B1191" t="s">
        <v>1111</v>
      </c>
      <c r="C1191" t="s">
        <v>2300</v>
      </c>
      <c r="D1191">
        <v>85</v>
      </c>
      <c r="E1191">
        <v>85</v>
      </c>
      <c r="F1191">
        <v>-1</v>
      </c>
      <c r="G1191">
        <v>-1.0005599999999999</v>
      </c>
      <c r="H1191">
        <v>10.290625</v>
      </c>
      <c r="J1191">
        <v>18076</v>
      </c>
      <c r="N1191" t="s">
        <v>188</v>
      </c>
      <c r="O1191">
        <f t="shared" si="54"/>
        <v>9.9776000000000042</v>
      </c>
      <c r="P1191">
        <f t="shared" si="55"/>
        <v>0.39128124999999514</v>
      </c>
      <c r="Q1191">
        <f t="shared" si="56"/>
        <v>0.39128124999999514</v>
      </c>
      <c r="Y1191">
        <f>TREND(H1185:H1189,G1185:G1189,G1191)</f>
        <v>10.304010701329986</v>
      </c>
      <c r="Z1191">
        <f>ABS((Y1191-H1191)/80*100)</f>
        <v>1.6732126662482028E-2</v>
      </c>
      <c r="AH1191">
        <f>H1191-AG1136</f>
        <v>10.266297500000002</v>
      </c>
      <c r="AI1191">
        <f>100*(AH1191-O1191)/80</f>
        <v>0.36087187499999729</v>
      </c>
    </row>
    <row r="1192" spans="1:41" x14ac:dyDescent="0.35">
      <c r="A1192" t="s">
        <v>266</v>
      </c>
      <c r="B1192" t="s">
        <v>1111</v>
      </c>
      <c r="C1192" t="s">
        <v>2338</v>
      </c>
      <c r="D1192">
        <v>25</v>
      </c>
      <c r="E1192">
        <v>25</v>
      </c>
      <c r="F1192">
        <v>-1</v>
      </c>
      <c r="G1192">
        <v>-1.0001450000000001</v>
      </c>
      <c r="H1192">
        <v>9.859375</v>
      </c>
      <c r="J1192">
        <v>-5468</v>
      </c>
      <c r="N1192" t="s">
        <v>188</v>
      </c>
      <c r="O1192">
        <f t="shared" si="54"/>
        <v>9.9941999999999975</v>
      </c>
      <c r="P1192">
        <f t="shared" si="55"/>
        <v>-0.16853124999999691</v>
      </c>
      <c r="Q1192">
        <f t="shared" si="56"/>
        <v>0.16853124999999691</v>
      </c>
      <c r="S1192">
        <v>49.981250000000003</v>
      </c>
      <c r="T1192">
        <v>-1.8087499999994705E-2</v>
      </c>
      <c r="U1192">
        <v>90.253124999999997</v>
      </c>
      <c r="V1192">
        <v>0.30720624999998947</v>
      </c>
      <c r="W1192">
        <v>80.393753051757813</v>
      </c>
      <c r="X1192">
        <f>(W1192-80)/80*100</f>
        <v>0.49219131469726563</v>
      </c>
      <c r="Y1192">
        <f>TREND(H1192:H1196,G1192:G1196,G1192)</f>
        <v>9.818536853261179</v>
      </c>
      <c r="Z1192">
        <f>ABS((Y1192-H1192)/80*100)</f>
        <v>5.1047683423526287E-2</v>
      </c>
      <c r="AA1192">
        <f>MAX(Z1192:Z1196)</f>
        <v>5.1047683423526287E-2</v>
      </c>
      <c r="AB1192">
        <f>IF(ABS(MAX(P1192:P1198)) &gt; ABS(MIN(P1192:P1198)),MAX(P1192:P1198), MIN(P1192:P1198))</f>
        <v>0.30720624999998947</v>
      </c>
      <c r="AC1192">
        <f>IF(ABS(AB1193)&gt;ABS(AB1192),AB1193,AB1192)</f>
        <v>0.30720624999998947</v>
      </c>
      <c r="AH1192">
        <f>H1192-AG1136</f>
        <v>9.8350475000000017</v>
      </c>
      <c r="AI1192">
        <f>100*(AH1192-O1192)/80</f>
        <v>-0.19894062499999476</v>
      </c>
      <c r="AJ1192">
        <v>49.956922500000005</v>
      </c>
      <c r="AK1192">
        <v>-4.8496874999992556E-2</v>
      </c>
      <c r="AL1192">
        <v>90.228797499999999</v>
      </c>
      <c r="AM1192">
        <v>0.27679687499999162</v>
      </c>
      <c r="AN1192">
        <f>IF(ABS(MAX(AI1192:AI1198)) &gt; ABS(MIN(AI1192:AI1198)),MAX(AI1192:AI1198), MIN(AI1192:AI1198))</f>
        <v>0.27679687499999162</v>
      </c>
      <c r="AO1192">
        <f>IF(ABS(AN1193)&gt;ABS(AN1192),AN1193,AN1192)</f>
        <v>0.27679687499999162</v>
      </c>
    </row>
    <row r="1193" spans="1:41" x14ac:dyDescent="0.35">
      <c r="A1193" t="s">
        <v>266</v>
      </c>
      <c r="B1193" t="s">
        <v>1111</v>
      </c>
      <c r="C1193" t="s">
        <v>2374</v>
      </c>
      <c r="D1193">
        <v>25</v>
      </c>
      <c r="E1193">
        <v>25</v>
      </c>
      <c r="F1193">
        <v>-0.5</v>
      </c>
      <c r="G1193">
        <v>-0.50010299999999996</v>
      </c>
      <c r="H1193">
        <v>29.889062500000001</v>
      </c>
      <c r="J1193">
        <v>-5548</v>
      </c>
      <c r="N1193" t="s">
        <v>188</v>
      </c>
      <c r="O1193">
        <f t="shared" si="54"/>
        <v>29.99588</v>
      </c>
      <c r="P1193">
        <f t="shared" si="55"/>
        <v>-0.13352187499999779</v>
      </c>
      <c r="Q1193">
        <f t="shared" si="56"/>
        <v>0.13352187499999779</v>
      </c>
      <c r="Y1193">
        <f>TREND(H1192:H1196,G1192:G1196,G1193)</f>
        <v>29.919117609382056</v>
      </c>
      <c r="Z1193">
        <f>ABS((Y1193-H1193)/80*100)</f>
        <v>3.7568886727568085E-2</v>
      </c>
      <c r="AB1193">
        <f>IF(ABS(T1192) &gt; ABS(V1192),T1192,V1192)</f>
        <v>0.30720624999998947</v>
      </c>
      <c r="AH1193">
        <f>H1193-AG1136</f>
        <v>29.864735000000003</v>
      </c>
      <c r="AI1193">
        <f>100*(AH1193-O1193)/80</f>
        <v>-0.16393124999999564</v>
      </c>
      <c r="AN1193">
        <f>IF(ABS(AK1192) &gt; ABS(AM1192),AK1192,AM1192)</f>
        <v>0.27679687499999162</v>
      </c>
    </row>
    <row r="1194" spans="1:41" x14ac:dyDescent="0.35">
      <c r="A1194" t="s">
        <v>266</v>
      </c>
      <c r="B1194" t="s">
        <v>1111</v>
      </c>
      <c r="C1194" t="s">
        <v>2411</v>
      </c>
      <c r="D1194">
        <v>25</v>
      </c>
      <c r="E1194">
        <v>25</v>
      </c>
      <c r="F1194">
        <v>0</v>
      </c>
      <c r="G1194">
        <v>-1.07E-4</v>
      </c>
      <c r="H1194">
        <v>49.981250000000003</v>
      </c>
      <c r="J1194">
        <v>-5604</v>
      </c>
      <c r="N1194" t="s">
        <v>188</v>
      </c>
      <c r="O1194">
        <f t="shared" si="54"/>
        <v>49.995719999999999</v>
      </c>
      <c r="P1194">
        <f t="shared" si="55"/>
        <v>-1.8087499999994705E-2</v>
      </c>
      <c r="Q1194">
        <f t="shared" si="56"/>
        <v>1.8087499999994705E-2</v>
      </c>
      <c r="Y1194">
        <f>TREND(H1192:H1196,G1192:G1196,G1194)</f>
        <v>50.017849267397601</v>
      </c>
      <c r="Z1194">
        <f>ABS((Y1194-H1194)/80*100)</f>
        <v>4.574908424699764E-2</v>
      </c>
      <c r="AH1194">
        <f>H1194-AG1136</f>
        <v>49.956922500000005</v>
      </c>
      <c r="AI1194">
        <f>100*(AH1194-O1194)/80</f>
        <v>-4.8496874999992556E-2</v>
      </c>
    </row>
    <row r="1195" spans="1:41" x14ac:dyDescent="0.35">
      <c r="A1195" t="s">
        <v>266</v>
      </c>
      <c r="B1195" t="s">
        <v>1111</v>
      </c>
      <c r="C1195" t="s">
        <v>2447</v>
      </c>
      <c r="D1195">
        <v>25</v>
      </c>
      <c r="E1195">
        <v>25</v>
      </c>
      <c r="F1195">
        <v>0.5</v>
      </c>
      <c r="G1195">
        <v>0.50005900000000003</v>
      </c>
      <c r="H1195">
        <v>70.123437499999994</v>
      </c>
      <c r="J1195">
        <v>-5667</v>
      </c>
      <c r="N1195" t="s">
        <v>188</v>
      </c>
      <c r="O1195">
        <f t="shared" si="54"/>
        <v>70.00236000000001</v>
      </c>
      <c r="P1195">
        <f t="shared" si="55"/>
        <v>0.15134687499998023</v>
      </c>
      <c r="Q1195">
        <f t="shared" si="56"/>
        <v>0.15134687499998023</v>
      </c>
      <c r="Y1195">
        <f>TREND(H1192:H1196,G1192:G1196,G1195)</f>
        <v>70.123414548845858</v>
      </c>
      <c r="Z1195">
        <f>ABS((Y1195-H1195)/80*100)</f>
        <v>2.8688942670385131E-5</v>
      </c>
      <c r="AH1195">
        <f>H1195-AG1136</f>
        <v>70.099109999999996</v>
      </c>
      <c r="AI1195">
        <f>100*(AH1195-O1195)/80</f>
        <v>0.12093749999998238</v>
      </c>
    </row>
    <row r="1196" spans="1:41" x14ac:dyDescent="0.35">
      <c r="A1196" t="s">
        <v>266</v>
      </c>
      <c r="B1196" t="s">
        <v>1111</v>
      </c>
      <c r="C1196" t="s">
        <v>2485</v>
      </c>
      <c r="D1196">
        <v>25</v>
      </c>
      <c r="E1196">
        <v>25</v>
      </c>
      <c r="F1196">
        <v>1</v>
      </c>
      <c r="G1196">
        <v>1.000184</v>
      </c>
      <c r="H1196">
        <v>90.253124999999997</v>
      </c>
      <c r="J1196">
        <v>-5712</v>
      </c>
      <c r="N1196" t="s">
        <v>188</v>
      </c>
      <c r="O1196">
        <f t="shared" si="54"/>
        <v>90.007360000000006</v>
      </c>
      <c r="P1196">
        <f t="shared" si="55"/>
        <v>0.30720624999998947</v>
      </c>
      <c r="Q1196">
        <f t="shared" si="56"/>
        <v>0.30720624999998947</v>
      </c>
      <c r="Y1196">
        <f>TREND(H1192:H1196,G1192:G1196,G1196)</f>
        <v>90.227331721113288</v>
      </c>
      <c r="Z1196">
        <f>ABS((Y1196-H1196)/80*100)</f>
        <v>3.2241598608386823E-2</v>
      </c>
      <c r="AH1196">
        <f>H1196-AG1136</f>
        <v>90.228797499999999</v>
      </c>
      <c r="AI1196">
        <f>100*(AH1196-O1196)/80</f>
        <v>0.27679687499999162</v>
      </c>
    </row>
    <row r="1197" spans="1:41" x14ac:dyDescent="0.35">
      <c r="A1197" t="s">
        <v>266</v>
      </c>
      <c r="B1197" t="s">
        <v>1111</v>
      </c>
      <c r="C1197" t="s">
        <v>2521</v>
      </c>
      <c r="D1197">
        <v>25</v>
      </c>
      <c r="E1197">
        <v>25</v>
      </c>
      <c r="F1197">
        <v>0</v>
      </c>
      <c r="G1197">
        <v>-1.11E-4</v>
      </c>
      <c r="H1197">
        <v>49.984375</v>
      </c>
      <c r="J1197">
        <v>-5766</v>
      </c>
      <c r="N1197" t="s">
        <v>188</v>
      </c>
      <c r="O1197">
        <f t="shared" si="54"/>
        <v>49.995559999999998</v>
      </c>
      <c r="P1197">
        <f t="shared" si="55"/>
        <v>-1.3981249999996948E-2</v>
      </c>
      <c r="Q1197">
        <f t="shared" si="56"/>
        <v>1.3981249999996948E-2</v>
      </c>
      <c r="Y1197">
        <f>TREND(H1192:H1196,G1192:G1196,G1197)</f>
        <v>50.017688476258009</v>
      </c>
      <c r="Z1197">
        <f>ABS((Y1197-H1197)/80*100)</f>
        <v>4.1641845322510918E-2</v>
      </c>
      <c r="AH1197">
        <f>H1197-AG1136</f>
        <v>49.960047500000002</v>
      </c>
      <c r="AI1197">
        <f>100*(AH1197-O1197)/80</f>
        <v>-4.4390624999994799E-2</v>
      </c>
    </row>
    <row r="1198" spans="1:41" x14ac:dyDescent="0.35">
      <c r="A1198" t="s">
        <v>266</v>
      </c>
      <c r="B1198" t="s">
        <v>1111</v>
      </c>
      <c r="C1198" t="s">
        <v>2556</v>
      </c>
      <c r="D1198">
        <v>25</v>
      </c>
      <c r="E1198">
        <v>25</v>
      </c>
      <c r="F1198">
        <v>-1</v>
      </c>
      <c r="G1198">
        <v>-1.000167</v>
      </c>
      <c r="H1198">
        <v>9.85</v>
      </c>
      <c r="J1198">
        <v>-5816</v>
      </c>
      <c r="N1198" t="s">
        <v>188</v>
      </c>
      <c r="O1198">
        <f t="shared" si="54"/>
        <v>9.9933199999999989</v>
      </c>
      <c r="P1198">
        <f t="shared" si="55"/>
        <v>-0.17914999999999903</v>
      </c>
      <c r="Q1198">
        <f t="shared" si="56"/>
        <v>0.17914999999999903</v>
      </c>
      <c r="Y1198">
        <f>TREND(H1192:H1196,G1192:G1196,G1198)</f>
        <v>9.8176525019934218</v>
      </c>
      <c r="Z1198">
        <f>ABS((Y1198-H1198)/80*100)</f>
        <v>4.0434372508222349E-2</v>
      </c>
      <c r="AH1198">
        <f>H1198-AG1136</f>
        <v>9.8256725000000014</v>
      </c>
      <c r="AI1198">
        <f>100*(AH1198-O1198)/80</f>
        <v>-0.20955937499999688</v>
      </c>
    </row>
    <row r="1199" spans="1:41" x14ac:dyDescent="0.35">
      <c r="A1199" t="s">
        <v>268</v>
      </c>
      <c r="B1199" t="s">
        <v>231</v>
      </c>
      <c r="C1199" t="s">
        <v>269</v>
      </c>
      <c r="D1199">
        <v>25</v>
      </c>
      <c r="E1199">
        <v>25</v>
      </c>
      <c r="F1199">
        <v>-1</v>
      </c>
      <c r="G1199">
        <v>-1.0001070000000001</v>
      </c>
      <c r="H1199">
        <v>10.2265625</v>
      </c>
      <c r="J1199">
        <v>-6273</v>
      </c>
      <c r="N1199" t="s">
        <v>189</v>
      </c>
      <c r="O1199">
        <f t="shared" si="54"/>
        <v>9.9957199999999968</v>
      </c>
      <c r="P1199">
        <f t="shared" si="55"/>
        <v>0.28855312500000396</v>
      </c>
      <c r="Q1199">
        <f t="shared" si="56"/>
        <v>0.28855312500000396</v>
      </c>
      <c r="S1199">
        <v>50.1953125</v>
      </c>
      <c r="T1199">
        <v>0.23689062499999913</v>
      </c>
      <c r="U1199">
        <v>90.387500000000003</v>
      </c>
      <c r="V1199">
        <v>0.47637499999998667</v>
      </c>
      <c r="W1199">
        <v>80.160934448242188</v>
      </c>
      <c r="X1199">
        <f>(W1199-80)/80*100</f>
        <v>0.20116806030273438</v>
      </c>
      <c r="Y1199">
        <f>TREND(H1199:H1203,G1199:G1203,G1199)</f>
        <v>10.159096127293978</v>
      </c>
      <c r="Z1199">
        <f>ABS((Y1199-H1199)/80*100)</f>
        <v>8.4332965882527589E-2</v>
      </c>
      <c r="AA1199">
        <f>MAX(Z1199:Z1203)</f>
        <v>9.5930113840729803E-2</v>
      </c>
      <c r="AB1199">
        <f>IF(ABS(MAX(P1199:P1205)) &gt; ABS(MIN(P1199:P1205)),MAX(P1199:P1205), MIN(P1199:P1205))</f>
        <v>0.47637499999998667</v>
      </c>
      <c r="AC1199">
        <f>IF(ABS(AB1200)&gt;ABS(AB1199),AB1200,AB1199)</f>
        <v>0.47637499999998667</v>
      </c>
      <c r="AD1199">
        <f>MAX(AD1200:AD1201)</f>
        <v>0.11311875000000304</v>
      </c>
      <c r="AE1199">
        <f>MAX(AE1200:AE1220)</f>
        <v>0.26673437499999064</v>
      </c>
      <c r="AF1199">
        <f>MAX(AD1199,AA1199)</f>
        <v>0.11311875000000304</v>
      </c>
      <c r="AG1199">
        <f>H1201-O1201</f>
        <v>0.18951249999999931</v>
      </c>
      <c r="AH1199">
        <f>H1199-AG1199</f>
        <v>10.037050000000001</v>
      </c>
      <c r="AI1199">
        <f>100*(AH1199-O1199)/80</f>
        <v>5.166250000000483E-2</v>
      </c>
      <c r="AJ1199">
        <v>50.005800000000001</v>
      </c>
      <c r="AK1199">
        <v>0</v>
      </c>
      <c r="AL1199">
        <v>90.197987500000011</v>
      </c>
      <c r="AM1199">
        <v>0.23948437499999642</v>
      </c>
      <c r="AN1199">
        <f>IF(ABS(MAX(AI1199:AI1205)) &gt; ABS(MIN(AI1199:AI1205)),MAX(AI1199:AI1205), MIN(AI1199:AI1205))</f>
        <v>0.23948437499999642</v>
      </c>
      <c r="AO1199">
        <f>IF(ABS(AN1200)&gt;ABS(AN1199),AN1200,AN1199)</f>
        <v>0.23948437499999642</v>
      </c>
    </row>
    <row r="1200" spans="1:41" x14ac:dyDescent="0.35">
      <c r="A1200" t="s">
        <v>268</v>
      </c>
      <c r="B1200" t="s">
        <v>231</v>
      </c>
      <c r="C1200" t="s">
        <v>325</v>
      </c>
      <c r="D1200">
        <v>25</v>
      </c>
      <c r="E1200">
        <v>25</v>
      </c>
      <c r="F1200">
        <v>-0.5</v>
      </c>
      <c r="G1200">
        <v>-0.50023799999999996</v>
      </c>
      <c r="H1200">
        <v>30.1484375</v>
      </c>
      <c r="J1200">
        <v>-6280</v>
      </c>
      <c r="N1200" t="s">
        <v>189</v>
      </c>
      <c r="O1200">
        <f t="shared" si="54"/>
        <v>29.990480000000002</v>
      </c>
      <c r="P1200">
        <f t="shared" si="55"/>
        <v>0.19744687499999802</v>
      </c>
      <c r="Q1200">
        <f t="shared" si="56"/>
        <v>0.19744687499999802</v>
      </c>
      <c r="Y1200">
        <f>TREND(H1199:H1203,G1199:G1203,G1200)</f>
        <v>30.205269925565364</v>
      </c>
      <c r="Z1200">
        <f>ABS((Y1200-H1200)/80*100)</f>
        <v>7.1040531956705344E-2</v>
      </c>
      <c r="AB1200">
        <f>IF(ABS(T1199) &gt; ABS(V1199),T1199,V1199)</f>
        <v>0.47637499999998667</v>
      </c>
      <c r="AD1200">
        <f>ABS(P1201-P1204)</f>
        <v>2.2987499999986838E-2</v>
      </c>
      <c r="AE1200">
        <f>ABS(P1227-P1199)</f>
        <v>2.4596874999998075E-2</v>
      </c>
      <c r="AH1200">
        <f>H1200-AG1199</f>
        <v>29.958925000000001</v>
      </c>
      <c r="AI1200">
        <f>100*(AH1200-O1200)/80</f>
        <v>-3.944375000000111E-2</v>
      </c>
      <c r="AN1200">
        <f>IF(ABS(AK1199) &gt; ABS(AM1199),AK1199,AM1199)</f>
        <v>0.23948437499999642</v>
      </c>
    </row>
    <row r="1201" spans="1:41" x14ac:dyDescent="0.35">
      <c r="A1201" t="s">
        <v>268</v>
      </c>
      <c r="B1201" t="s">
        <v>231</v>
      </c>
      <c r="C1201" t="s">
        <v>362</v>
      </c>
      <c r="D1201">
        <v>25</v>
      </c>
      <c r="E1201">
        <v>25</v>
      </c>
      <c r="F1201">
        <v>0</v>
      </c>
      <c r="G1201">
        <v>1.45E-4</v>
      </c>
      <c r="H1201">
        <v>50.1953125</v>
      </c>
      <c r="J1201">
        <v>-6280</v>
      </c>
      <c r="N1201" t="s">
        <v>189</v>
      </c>
      <c r="O1201">
        <f t="shared" si="54"/>
        <v>50.005800000000001</v>
      </c>
      <c r="P1201">
        <f t="shared" si="55"/>
        <v>0.23689062499999913</v>
      </c>
      <c r="Q1201">
        <f t="shared" si="56"/>
        <v>0.23689062499999913</v>
      </c>
      <c r="Y1201">
        <f>TREND(H1199:H1203,G1199:G1203,G1201)</f>
        <v>50.272056591072584</v>
      </c>
      <c r="Z1201">
        <f>ABS((Y1201-H1201)/80*100)</f>
        <v>9.5930113840729803E-2</v>
      </c>
      <c r="AD1201">
        <f>ABS(P1199-P1205)</f>
        <v>0.11311875000000304</v>
      </c>
      <c r="AE1201">
        <f>ABS(P1228-P1200)</f>
        <v>7.3428125000001288E-2</v>
      </c>
      <c r="AH1201">
        <f>H1201-AG1199</f>
        <v>50.005800000000001</v>
      </c>
      <c r="AI1201">
        <f>100*(AH1201-O1201)/80</f>
        <v>0</v>
      </c>
    </row>
    <row r="1202" spans="1:41" x14ac:dyDescent="0.35">
      <c r="A1202" t="s">
        <v>268</v>
      </c>
      <c r="B1202" t="s">
        <v>231</v>
      </c>
      <c r="C1202" t="s">
        <v>398</v>
      </c>
      <c r="D1202">
        <v>25</v>
      </c>
      <c r="E1202">
        <v>25</v>
      </c>
      <c r="F1202">
        <v>0.5</v>
      </c>
      <c r="G1202">
        <v>0.50007999999999997</v>
      </c>
      <c r="H1202">
        <v>70.375</v>
      </c>
      <c r="J1202">
        <v>-6269</v>
      </c>
      <c r="N1202" t="s">
        <v>189</v>
      </c>
      <c r="O1202">
        <f t="shared" si="54"/>
        <v>70.003200000000007</v>
      </c>
      <c r="P1202">
        <f t="shared" si="55"/>
        <v>0.46474999999999156</v>
      </c>
      <c r="Q1202">
        <f t="shared" si="56"/>
        <v>0.46474999999999156</v>
      </c>
      <c r="Y1202">
        <f>TREND(H1199:H1203,G1199:G1203,G1202)</f>
        <v>70.320877177743895</v>
      </c>
      <c r="Z1202">
        <f>ABS((Y1202-H1202)/80*100)</f>
        <v>6.7653527820130677E-2</v>
      </c>
      <c r="AE1202">
        <f>ABS(P1229-P1201)</f>
        <v>7.608750000000164E-2</v>
      </c>
      <c r="AH1202">
        <f>H1202-AG1199</f>
        <v>70.185487499999994</v>
      </c>
      <c r="AI1202">
        <f>100*(AH1202-O1202)/80</f>
        <v>0.22785937499998354</v>
      </c>
    </row>
    <row r="1203" spans="1:41" x14ac:dyDescent="0.35">
      <c r="A1203" t="s">
        <v>268</v>
      </c>
      <c r="B1203" t="s">
        <v>231</v>
      </c>
      <c r="C1203" t="s">
        <v>436</v>
      </c>
      <c r="D1203">
        <v>25</v>
      </c>
      <c r="E1203">
        <v>25</v>
      </c>
      <c r="F1203">
        <v>1</v>
      </c>
      <c r="G1203">
        <v>1.0001599999999999</v>
      </c>
      <c r="H1203">
        <v>90.387500000000003</v>
      </c>
      <c r="J1203">
        <v>-6280</v>
      </c>
      <c r="N1203" t="s">
        <v>189</v>
      </c>
      <c r="O1203">
        <f t="shared" si="54"/>
        <v>90.006400000000014</v>
      </c>
      <c r="P1203">
        <f t="shared" si="55"/>
        <v>0.47637499999998667</v>
      </c>
      <c r="Q1203">
        <f t="shared" si="56"/>
        <v>0.47637499999998667</v>
      </c>
      <c r="Y1203">
        <f>TREND(H1199:H1203,G1199:G1203,G1203)</f>
        <v>90.375512678324156</v>
      </c>
      <c r="Z1203">
        <f>ABS((Y1203-H1203)/80*100)</f>
        <v>1.4984152094807968E-2</v>
      </c>
      <c r="AE1203">
        <f>ABS(P1230-P1202)</f>
        <v>5.5328125000002615E-2</v>
      </c>
      <c r="AH1203">
        <f>H1203-AG1199</f>
        <v>90.197987500000011</v>
      </c>
      <c r="AI1203">
        <f>100*(AH1203-O1203)/80</f>
        <v>0.23948437499999642</v>
      </c>
    </row>
    <row r="1204" spans="1:41" x14ac:dyDescent="0.35">
      <c r="A1204" t="s">
        <v>268</v>
      </c>
      <c r="B1204" t="s">
        <v>231</v>
      </c>
      <c r="C1204" t="s">
        <v>472</v>
      </c>
      <c r="D1204">
        <v>25</v>
      </c>
      <c r="E1204">
        <v>25</v>
      </c>
      <c r="F1204">
        <v>0</v>
      </c>
      <c r="G1204">
        <v>1.36E-4</v>
      </c>
      <c r="H1204">
        <v>50.176562500000003</v>
      </c>
      <c r="J1204">
        <v>-6275</v>
      </c>
      <c r="N1204" t="s">
        <v>189</v>
      </c>
      <c r="O1204">
        <f t="shared" si="54"/>
        <v>50.005439999999993</v>
      </c>
      <c r="P1204">
        <f t="shared" si="55"/>
        <v>0.2139031250000123</v>
      </c>
      <c r="Q1204">
        <f t="shared" si="56"/>
        <v>0.2139031250000123</v>
      </c>
      <c r="Y1204">
        <f>TREND(H1199:H1203,G1199:G1203,G1204)</f>
        <v>50.271695665381685</v>
      </c>
      <c r="Z1204">
        <f>ABS((Y1204-H1204)/80*100)</f>
        <v>0.11891645672710283</v>
      </c>
      <c r="AE1204">
        <f>ABS(P1231-P1203)</f>
        <v>0.10650312500002812</v>
      </c>
      <c r="AH1204">
        <f>H1204-AG1199</f>
        <v>49.987050000000004</v>
      </c>
      <c r="AI1204">
        <f>100*(AH1204-O1204)/80</f>
        <v>-2.2987499999986838E-2</v>
      </c>
    </row>
    <row r="1205" spans="1:41" x14ac:dyDescent="0.35">
      <c r="A1205" t="s">
        <v>268</v>
      </c>
      <c r="B1205" t="s">
        <v>231</v>
      </c>
      <c r="C1205" t="s">
        <v>510</v>
      </c>
      <c r="D1205">
        <v>25</v>
      </c>
      <c r="E1205">
        <v>25</v>
      </c>
      <c r="F1205">
        <v>-1</v>
      </c>
      <c r="G1205">
        <v>-0.99995400000000001</v>
      </c>
      <c r="H1205">
        <v>10.1421875</v>
      </c>
      <c r="J1205">
        <v>-6271</v>
      </c>
      <c r="N1205" t="s">
        <v>189</v>
      </c>
      <c r="O1205">
        <f t="shared" si="54"/>
        <v>10.00184</v>
      </c>
      <c r="P1205">
        <f t="shared" si="55"/>
        <v>0.17543437500000092</v>
      </c>
      <c r="Q1205">
        <f t="shared" si="56"/>
        <v>0.17543437500000092</v>
      </c>
      <c r="Y1205">
        <f>TREND(H1199:H1203,G1199:G1203,G1205)</f>
        <v>10.165231864039278</v>
      </c>
      <c r="Z1205">
        <f>ABS((Y1205-H1205)/80*100)</f>
        <v>2.8805455049096818E-2</v>
      </c>
      <c r="AE1205">
        <f>ABS(P1232-P1204)</f>
        <v>1.1681250000004084E-2</v>
      </c>
      <c r="AH1205">
        <f>H1205-AG1199</f>
        <v>9.952675000000001</v>
      </c>
      <c r="AI1205">
        <f>100*(AH1205-O1205)/80</f>
        <v>-6.1456249999998214E-2</v>
      </c>
    </row>
    <row r="1206" spans="1:41" x14ac:dyDescent="0.35">
      <c r="A1206" t="s">
        <v>268</v>
      </c>
      <c r="B1206" t="s">
        <v>231</v>
      </c>
      <c r="C1206" t="s">
        <v>547</v>
      </c>
      <c r="D1206">
        <v>-20</v>
      </c>
      <c r="E1206">
        <v>-20.2</v>
      </c>
      <c r="F1206">
        <v>-1</v>
      </c>
      <c r="G1206">
        <v>-1.0001469999999999</v>
      </c>
      <c r="H1206">
        <v>10.421875</v>
      </c>
      <c r="J1206">
        <v>-24328</v>
      </c>
      <c r="N1206" t="s">
        <v>189</v>
      </c>
      <c r="O1206">
        <f t="shared" si="54"/>
        <v>9.9941200000000041</v>
      </c>
      <c r="P1206">
        <f t="shared" si="55"/>
        <v>0.53469374999999486</v>
      </c>
      <c r="Q1206">
        <f t="shared" si="56"/>
        <v>0.53469374999999486</v>
      </c>
      <c r="S1206">
        <v>50.409374999999997</v>
      </c>
      <c r="T1206">
        <v>0.52391874999999644</v>
      </c>
      <c r="U1206">
        <v>90.564062500000006</v>
      </c>
      <c r="V1206">
        <v>0.70397812500001322</v>
      </c>
      <c r="W1206">
        <v>80.142189025878906</v>
      </c>
      <c r="X1206">
        <f>(W1206-80)/80*100</f>
        <v>0.17773628234863281</v>
      </c>
      <c r="Y1206">
        <f>TREND(H1206:H1210,G1206:G1210,G1206)</f>
        <v>10.352701663174912</v>
      </c>
      <c r="Z1206">
        <f>ABS((Y1206-H1206)/80*100)</f>
        <v>8.6466671031359965E-2</v>
      </c>
      <c r="AA1206">
        <f>MAX(Z1206:Z1210)</f>
        <v>9.7436216546391563E-2</v>
      </c>
      <c r="AB1206">
        <f>IF(ABS(MAX(P1206:P1212)) &gt; ABS(MIN(P1206:P1212)),MAX(P1206:P1212), MIN(P1206:P1212))</f>
        <v>0.70397812500001322</v>
      </c>
      <c r="AC1206">
        <f>IF(ABS(AB1207)&gt;ABS(AB1206),AB1207,AB1206)</f>
        <v>0.70397812500001322</v>
      </c>
      <c r="AE1206">
        <f>ABS(P1233-P1205)</f>
        <v>0.19654062499999458</v>
      </c>
      <c r="AH1206">
        <f>H1206-AG1199</f>
        <v>10.232362500000001</v>
      </c>
      <c r="AI1206">
        <f>100*(AH1206-O1206)/80</f>
        <v>0.29780312499999573</v>
      </c>
      <c r="AJ1206">
        <v>50.219862499999998</v>
      </c>
      <c r="AK1206">
        <v>0.2870281249999973</v>
      </c>
      <c r="AL1206">
        <v>90.374549999999999</v>
      </c>
      <c r="AM1206">
        <v>0.46708750000000521</v>
      </c>
      <c r="AN1206">
        <f>IF(ABS(MAX(AI1206:AI1212)) &gt; ABS(MIN(AI1206:AI1212)),MAX(AI1206:AI1212), MIN(AI1206:AI1212))</f>
        <v>0.46708750000000521</v>
      </c>
      <c r="AO1206">
        <f>IF(ABS(AN1207)&gt;ABS(AN1206),AN1207,AN1206)</f>
        <v>0.46708750000000521</v>
      </c>
    </row>
    <row r="1207" spans="1:41" x14ac:dyDescent="0.35">
      <c r="A1207" t="s">
        <v>268</v>
      </c>
      <c r="B1207" t="s">
        <v>231</v>
      </c>
      <c r="C1207" t="s">
        <v>584</v>
      </c>
      <c r="D1207">
        <v>-20</v>
      </c>
      <c r="E1207">
        <v>-19.899999999999999</v>
      </c>
      <c r="F1207">
        <v>-0.5</v>
      </c>
      <c r="G1207">
        <v>-0.50020200000000004</v>
      </c>
      <c r="H1207">
        <v>30.318750000000001</v>
      </c>
      <c r="J1207">
        <v>-24363</v>
      </c>
      <c r="N1207" t="s">
        <v>189</v>
      </c>
      <c r="O1207">
        <f t="shared" si="54"/>
        <v>29.99192</v>
      </c>
      <c r="P1207">
        <f t="shared" si="55"/>
        <v>0.40853750000000133</v>
      </c>
      <c r="Q1207">
        <f t="shared" si="56"/>
        <v>0.40853750000000133</v>
      </c>
      <c r="Y1207">
        <f>TREND(H1206:H1210,G1206:G1210,G1207)</f>
        <v>30.396698973237115</v>
      </c>
      <c r="Z1207">
        <f>ABS((Y1207-H1207)/80*100)</f>
        <v>9.7436216546391563E-2</v>
      </c>
      <c r="AB1207">
        <f>IF(ABS(T1206) &gt; ABS(V1206),T1206,V1206)</f>
        <v>0.70397812500001322</v>
      </c>
      <c r="AE1207">
        <f>ABS(P1255-P1199)</f>
        <v>0.19777187500000126</v>
      </c>
      <c r="AH1207">
        <f>H1207-AG1199</f>
        <v>30.129237500000002</v>
      </c>
      <c r="AI1207">
        <f>100*(AH1207-O1207)/80</f>
        <v>0.1716468750000022</v>
      </c>
      <c r="AN1207">
        <f>IF(ABS(AK1206) &gt; ABS(AM1206),AK1206,AM1206)</f>
        <v>0.46708750000000521</v>
      </c>
    </row>
    <row r="1208" spans="1:41" x14ac:dyDescent="0.35">
      <c r="A1208" t="s">
        <v>268</v>
      </c>
      <c r="B1208" t="s">
        <v>231</v>
      </c>
      <c r="C1208" t="s">
        <v>620</v>
      </c>
      <c r="D1208">
        <v>-20</v>
      </c>
      <c r="E1208">
        <v>-20.100000000000001</v>
      </c>
      <c r="F1208">
        <v>0</v>
      </c>
      <c r="G1208">
        <v>-2.4399999999999999E-4</v>
      </c>
      <c r="H1208">
        <v>50.409374999999997</v>
      </c>
      <c r="J1208">
        <v>-24415</v>
      </c>
      <c r="N1208" t="s">
        <v>189</v>
      </c>
      <c r="O1208">
        <f t="shared" si="54"/>
        <v>49.99024</v>
      </c>
      <c r="P1208">
        <f t="shared" si="55"/>
        <v>0.52391874999999644</v>
      </c>
      <c r="Q1208">
        <f t="shared" si="56"/>
        <v>0.52391874999999644</v>
      </c>
      <c r="Y1208">
        <f>TREND(H1206:H1210,G1206:G1210,G1208)</f>
        <v>50.441217484561527</v>
      </c>
      <c r="Z1208">
        <f>ABS((Y1208-H1208)/80*100)</f>
        <v>3.9803105701912145E-2</v>
      </c>
      <c r="AE1208">
        <f>ABS(P1256-P1200)</f>
        <v>4.9349999999996896E-2</v>
      </c>
      <c r="AH1208">
        <f>H1208-AG1199</f>
        <v>50.219862499999998</v>
      </c>
      <c r="AI1208">
        <f>100*(AH1208-O1208)/80</f>
        <v>0.2870281249999973</v>
      </c>
    </row>
    <row r="1209" spans="1:41" x14ac:dyDescent="0.35">
      <c r="A1209" t="s">
        <v>268</v>
      </c>
      <c r="B1209" t="s">
        <v>231</v>
      </c>
      <c r="C1209" t="s">
        <v>656</v>
      </c>
      <c r="D1209">
        <v>-20</v>
      </c>
      <c r="E1209">
        <v>-19.899999999999999</v>
      </c>
      <c r="F1209">
        <v>0.5</v>
      </c>
      <c r="G1209">
        <v>0.49943300000000002</v>
      </c>
      <c r="H1209">
        <v>70.495312499999997</v>
      </c>
      <c r="J1209">
        <v>-24434</v>
      </c>
      <c r="N1209" t="s">
        <v>189</v>
      </c>
      <c r="O1209">
        <f t="shared" si="54"/>
        <v>69.977319999999992</v>
      </c>
      <c r="P1209">
        <f t="shared" si="55"/>
        <v>0.64749062500000676</v>
      </c>
      <c r="Q1209">
        <f t="shared" si="56"/>
        <v>0.64749062500000676</v>
      </c>
      <c r="Y1209">
        <f>TREND(H1206:H1210,G1206:G1210,G1209)</f>
        <v>70.474470030141447</v>
      </c>
      <c r="Z1209">
        <f>ABS((Y1209-H1209)/80*100)</f>
        <v>2.6053087323187899E-2</v>
      </c>
      <c r="AE1209">
        <f>ABS(P1257-P1201)</f>
        <v>7.7696874999988452E-2</v>
      </c>
      <c r="AH1209">
        <f>H1209-AG1199</f>
        <v>70.305800000000005</v>
      </c>
      <c r="AI1209">
        <f>100*(AH1209-O1209)/80</f>
        <v>0.41060000000001651</v>
      </c>
    </row>
    <row r="1210" spans="1:41" x14ac:dyDescent="0.35">
      <c r="A1210" t="s">
        <v>268</v>
      </c>
      <c r="B1210" t="s">
        <v>231</v>
      </c>
      <c r="C1210" t="s">
        <v>692</v>
      </c>
      <c r="D1210">
        <v>-20</v>
      </c>
      <c r="E1210">
        <v>-19.899999999999999</v>
      </c>
      <c r="F1210">
        <v>1</v>
      </c>
      <c r="G1210">
        <v>1.000022</v>
      </c>
      <c r="H1210">
        <v>90.564062500000006</v>
      </c>
      <c r="J1210">
        <v>-24476</v>
      </c>
      <c r="N1210" t="s">
        <v>189</v>
      </c>
      <c r="O1210">
        <f t="shared" si="54"/>
        <v>90.000879999999995</v>
      </c>
      <c r="P1210">
        <f t="shared" si="55"/>
        <v>0.70397812500001322</v>
      </c>
      <c r="Q1210">
        <f t="shared" si="56"/>
        <v>0.70397812500001322</v>
      </c>
      <c r="Y1210">
        <f>TREND(H1206:H1210,G1206:G1210,G1210)</f>
        <v>90.54428684888498</v>
      </c>
      <c r="Z1210">
        <f>ABS((Y1210-H1210)/80*100)</f>
        <v>2.4719563893782492E-2</v>
      </c>
      <c r="AE1210">
        <f>ABS(P1258-P1202)</f>
        <v>0.10672500000000085</v>
      </c>
      <c r="AH1210">
        <f>H1210-AG1199</f>
        <v>90.374549999999999</v>
      </c>
      <c r="AI1210">
        <f>100*(AH1210-O1210)/80</f>
        <v>0.46708750000000521</v>
      </c>
    </row>
    <row r="1211" spans="1:41" x14ac:dyDescent="0.35">
      <c r="A1211" t="s">
        <v>268</v>
      </c>
      <c r="B1211" t="s">
        <v>231</v>
      </c>
      <c r="C1211" t="s">
        <v>729</v>
      </c>
      <c r="D1211">
        <v>-20</v>
      </c>
      <c r="E1211">
        <v>-20</v>
      </c>
      <c r="F1211">
        <v>0</v>
      </c>
      <c r="G1211">
        <v>3.8299999999999999E-4</v>
      </c>
      <c r="H1211">
        <v>50.4765625</v>
      </c>
      <c r="J1211">
        <v>-24495</v>
      </c>
      <c r="N1211" t="s">
        <v>189</v>
      </c>
      <c r="O1211">
        <f t="shared" si="54"/>
        <v>50.015320000000003</v>
      </c>
      <c r="P1211">
        <f t="shared" si="55"/>
        <v>0.57655312499999667</v>
      </c>
      <c r="Q1211">
        <f t="shared" si="56"/>
        <v>0.57655312499999667</v>
      </c>
      <c r="Y1211">
        <f>TREND(H1206:H1210,G1206:G1210,G1211)</f>
        <v>50.466355422361502</v>
      </c>
      <c r="Z1211">
        <f>ABS((Y1211-H1211)/80*100)</f>
        <v>1.2758847048122135E-2</v>
      </c>
      <c r="AE1211">
        <f>ABS(P1259-P1203)</f>
        <v>6.5343749999975387E-2</v>
      </c>
      <c r="AH1211">
        <f>H1211-AG1199</f>
        <v>50.287050000000001</v>
      </c>
      <c r="AI1211">
        <f>100*(AH1211-O1211)/80</f>
        <v>0.33966249999999754</v>
      </c>
    </row>
    <row r="1212" spans="1:41" x14ac:dyDescent="0.35">
      <c r="A1212" t="s">
        <v>268</v>
      </c>
      <c r="B1212" t="s">
        <v>231</v>
      </c>
      <c r="C1212" t="s">
        <v>765</v>
      </c>
      <c r="D1212">
        <v>-20</v>
      </c>
      <c r="E1212">
        <v>-20.100000000000001</v>
      </c>
      <c r="F1212">
        <v>-1</v>
      </c>
      <c r="G1212">
        <v>-0.99995100000000003</v>
      </c>
      <c r="H1212">
        <v>10.417187500000001</v>
      </c>
      <c r="J1212">
        <v>-24528</v>
      </c>
      <c r="N1212" t="s">
        <v>189</v>
      </c>
      <c r="O1212">
        <f t="shared" si="54"/>
        <v>10.001959999999999</v>
      </c>
      <c r="P1212">
        <f t="shared" si="55"/>
        <v>0.5190343750000026</v>
      </c>
      <c r="Q1212">
        <f t="shared" si="56"/>
        <v>0.5190343750000026</v>
      </c>
      <c r="Y1212">
        <f>TREND(H1206:H1210,G1206:G1210,G1212)</f>
        <v>10.360559774512694</v>
      </c>
      <c r="Z1212">
        <f>ABS((Y1212-H1212)/80*100)</f>
        <v>7.0784656859133044E-2</v>
      </c>
      <c r="AE1212">
        <f>ABS(P1260-P1204)</f>
        <v>1.0340625000013759E-2</v>
      </c>
      <c r="AH1212">
        <f>H1212-AG1199</f>
        <v>10.227675000000001</v>
      </c>
      <c r="AI1212">
        <f>100*(AH1212-O1212)/80</f>
        <v>0.28214375000000347</v>
      </c>
    </row>
    <row r="1213" spans="1:41" x14ac:dyDescent="0.35">
      <c r="A1213" t="s">
        <v>268</v>
      </c>
      <c r="B1213" t="s">
        <v>231</v>
      </c>
      <c r="C1213" t="s">
        <v>802</v>
      </c>
      <c r="D1213">
        <v>0</v>
      </c>
      <c r="E1213">
        <v>0</v>
      </c>
      <c r="F1213">
        <v>-1</v>
      </c>
      <c r="G1213">
        <v>-0.99998299999999996</v>
      </c>
      <c r="H1213">
        <v>10.2890625</v>
      </c>
      <c r="J1213">
        <v>-17001</v>
      </c>
      <c r="N1213" t="s">
        <v>189</v>
      </c>
      <c r="O1213">
        <f t="shared" si="54"/>
        <v>10.000680000000003</v>
      </c>
      <c r="P1213">
        <f t="shared" si="55"/>
        <v>0.36047812499999665</v>
      </c>
      <c r="Q1213">
        <f t="shared" si="56"/>
        <v>0.36047812499999665</v>
      </c>
      <c r="S1213">
        <v>50.376562499999999</v>
      </c>
      <c r="T1213">
        <v>0.47110312500000084</v>
      </c>
      <c r="U1213">
        <v>90.517187500000006</v>
      </c>
      <c r="V1213">
        <v>0.65793437500001772</v>
      </c>
      <c r="W1213">
        <v>80.228126525878906</v>
      </c>
      <c r="X1213">
        <f>(W1213-80)/80*100</f>
        <v>0.28515815734863281</v>
      </c>
      <c r="Y1213">
        <f>TREND(H1213:H1217,G1213:G1217,G1213)</f>
        <v>10.210847241493589</v>
      </c>
      <c r="Z1213">
        <f>ABS((Y1213-H1213)/80*100)</f>
        <v>9.7769073133013862E-2</v>
      </c>
      <c r="AA1213">
        <f>MAX(Z1213:Z1217)</f>
        <v>0.14759651411843322</v>
      </c>
      <c r="AB1213">
        <f>IF(ABS(MAX(P1213:P1219)) &gt; ABS(MIN(P1213:P1219)),MAX(P1213:P1219), MIN(P1213:P1219))</f>
        <v>0.65793437500001772</v>
      </c>
      <c r="AC1213">
        <f>IF(ABS(AB1214)&gt;ABS(AB1213),AB1214,AB1213)</f>
        <v>0.65793437500001772</v>
      </c>
      <c r="AE1213">
        <f>ABS(P1261-P1205)</f>
        <v>7.0193749999996058E-2</v>
      </c>
      <c r="AH1213">
        <f>H1213-AG1199</f>
        <v>10.099550000000001</v>
      </c>
      <c r="AI1213">
        <f>100*(AH1213-O1213)/80</f>
        <v>0.12358749999999752</v>
      </c>
      <c r="AJ1213">
        <v>50.187049999999999</v>
      </c>
      <c r="AK1213">
        <v>0.23421250000000171</v>
      </c>
      <c r="AL1213">
        <v>90.327674999999999</v>
      </c>
      <c r="AM1213">
        <v>0.42104375000000971</v>
      </c>
      <c r="AN1213">
        <f>IF(ABS(MAX(AI1213:AI1219)) &gt; ABS(MIN(AI1213:AI1219)),MAX(AI1213:AI1219), MIN(AI1213:AI1219))</f>
        <v>0.42104375000000971</v>
      </c>
      <c r="AO1213">
        <f>IF(ABS(AN1214)&gt;ABS(AN1213),AN1214,AN1213)</f>
        <v>0.42104375000000971</v>
      </c>
    </row>
    <row r="1214" spans="1:41" x14ac:dyDescent="0.35">
      <c r="A1214" t="s">
        <v>268</v>
      </c>
      <c r="B1214" t="s">
        <v>231</v>
      </c>
      <c r="C1214" t="s">
        <v>838</v>
      </c>
      <c r="D1214">
        <v>0</v>
      </c>
      <c r="E1214">
        <v>0.1</v>
      </c>
      <c r="F1214">
        <v>-0.5</v>
      </c>
      <c r="G1214">
        <v>-0.50000999999999995</v>
      </c>
      <c r="H1214">
        <v>30.167187500000001</v>
      </c>
      <c r="J1214">
        <v>-17005</v>
      </c>
      <c r="N1214" t="s">
        <v>189</v>
      </c>
      <c r="O1214">
        <f t="shared" si="54"/>
        <v>29.999600000000001</v>
      </c>
      <c r="P1214">
        <f t="shared" si="55"/>
        <v>0.20948437499999972</v>
      </c>
      <c r="Q1214">
        <f t="shared" si="56"/>
        <v>0.20948437499999972</v>
      </c>
      <c r="Y1214">
        <f>TREND(H1213:H1217,G1213:G1217,G1214)</f>
        <v>30.285264711294747</v>
      </c>
      <c r="Z1214">
        <f>ABS((Y1214-H1214)/80*100)</f>
        <v>0.14759651411843322</v>
      </c>
      <c r="AB1214">
        <f>IF(ABS(T1213) &gt; ABS(V1213),T1213,V1213)</f>
        <v>0.65793437500001772</v>
      </c>
      <c r="AE1214">
        <f>ABS(P1255-P1227)</f>
        <v>0.22236874999999934</v>
      </c>
      <c r="AH1214">
        <f>H1214-AG1199</f>
        <v>29.977675000000001</v>
      </c>
      <c r="AI1214">
        <f>100*(AH1214-O1214)/80</f>
        <v>-2.740624999999941E-2</v>
      </c>
      <c r="AN1214">
        <f>IF(ABS(AK1213) &gt; ABS(AM1213),AK1213,AM1213)</f>
        <v>0.42104375000000971</v>
      </c>
    </row>
    <row r="1215" spans="1:41" x14ac:dyDescent="0.35">
      <c r="A1215" t="s">
        <v>268</v>
      </c>
      <c r="B1215" t="s">
        <v>231</v>
      </c>
      <c r="C1215" t="s">
        <v>874</v>
      </c>
      <c r="D1215">
        <v>0</v>
      </c>
      <c r="E1215">
        <v>0</v>
      </c>
      <c r="F1215">
        <v>0</v>
      </c>
      <c r="G1215">
        <v>-7.9999999999999996E-6</v>
      </c>
      <c r="H1215">
        <v>50.376562499999999</v>
      </c>
      <c r="J1215">
        <v>-17005</v>
      </c>
      <c r="N1215" t="s">
        <v>189</v>
      </c>
      <c r="O1215">
        <f t="shared" si="54"/>
        <v>49.999679999999998</v>
      </c>
      <c r="P1215">
        <f t="shared" si="55"/>
        <v>0.47110312500000084</v>
      </c>
      <c r="Q1215">
        <f t="shared" si="56"/>
        <v>0.47110312500000084</v>
      </c>
      <c r="Y1215">
        <f>TREND(H1213:H1217,G1213:G1217,G1215)</f>
        <v>50.360846560185621</v>
      </c>
      <c r="Z1215">
        <f>ABS((Y1215-H1215)/80*100)</f>
        <v>1.9644924767971972E-2</v>
      </c>
      <c r="AE1215">
        <f>ABS(P1256-P1228)</f>
        <v>0.12277812499999818</v>
      </c>
      <c r="AH1215">
        <f>H1215-AG1199</f>
        <v>50.187049999999999</v>
      </c>
      <c r="AI1215">
        <f>100*(AH1215-O1215)/80</f>
        <v>0.23421250000000171</v>
      </c>
    </row>
    <row r="1216" spans="1:41" x14ac:dyDescent="0.35">
      <c r="A1216" t="s">
        <v>268</v>
      </c>
      <c r="B1216" t="s">
        <v>231</v>
      </c>
      <c r="C1216" t="s">
        <v>911</v>
      </c>
      <c r="D1216">
        <v>0</v>
      </c>
      <c r="E1216">
        <v>0</v>
      </c>
      <c r="F1216">
        <v>0.5</v>
      </c>
      <c r="G1216">
        <v>0.49989</v>
      </c>
      <c r="H1216">
        <v>70.442187500000003</v>
      </c>
      <c r="J1216">
        <v>-17005</v>
      </c>
      <c r="N1216" t="s">
        <v>189</v>
      </c>
      <c r="O1216">
        <f t="shared" si="54"/>
        <v>69.995599999999996</v>
      </c>
      <c r="P1216">
        <f t="shared" si="55"/>
        <v>0.5582343750000085</v>
      </c>
      <c r="Q1216">
        <f t="shared" si="56"/>
        <v>0.5582343750000085</v>
      </c>
      <c r="Y1216">
        <f>TREND(H1213:H1217,G1213:G1217,G1216)</f>
        <v>70.432252704754745</v>
      </c>
      <c r="Z1216">
        <f>ABS((Y1216-H1216)/80*100)</f>
        <v>1.2418494056571918E-2</v>
      </c>
      <c r="AE1216">
        <f>ABS(P1257-P1229)</f>
        <v>0.15378437499999009</v>
      </c>
      <c r="AH1216">
        <f>H1216-AG1199</f>
        <v>70.252675000000011</v>
      </c>
      <c r="AI1216">
        <f>100*(AH1216-O1216)/80</f>
        <v>0.32134375000001825</v>
      </c>
    </row>
    <row r="1217" spans="1:41" x14ac:dyDescent="0.35">
      <c r="A1217" t="s">
        <v>268</v>
      </c>
      <c r="B1217" t="s">
        <v>231</v>
      </c>
      <c r="C1217" t="s">
        <v>948</v>
      </c>
      <c r="D1217">
        <v>0</v>
      </c>
      <c r="E1217">
        <v>0.1</v>
      </c>
      <c r="F1217">
        <v>1</v>
      </c>
      <c r="G1217">
        <v>0.99977099999999997</v>
      </c>
      <c r="H1217">
        <v>90.517187500000006</v>
      </c>
      <c r="J1217">
        <v>-17014</v>
      </c>
      <c r="N1217" t="s">
        <v>189</v>
      </c>
      <c r="O1217">
        <f t="shared" si="54"/>
        <v>89.990839999999992</v>
      </c>
      <c r="P1217">
        <f t="shared" si="55"/>
        <v>0.65793437500001772</v>
      </c>
      <c r="Q1217">
        <f t="shared" si="56"/>
        <v>0.65793437500001772</v>
      </c>
      <c r="Y1217">
        <f>TREND(H1213:H1217,G1213:G1217,G1217)</f>
        <v>90.502976282271277</v>
      </c>
      <c r="Z1217">
        <f>ABS((Y1217-H1217)/80*100)</f>
        <v>1.7764022160910997E-2</v>
      </c>
      <c r="AE1217">
        <f>ABS(P1258-P1230)</f>
        <v>0.16205312500000346</v>
      </c>
      <c r="AH1217">
        <f>H1217-AG1199</f>
        <v>90.327674999999999</v>
      </c>
      <c r="AI1217">
        <f>100*(AH1217-O1217)/80</f>
        <v>0.42104375000000971</v>
      </c>
    </row>
    <row r="1218" spans="1:41" x14ac:dyDescent="0.35">
      <c r="A1218" t="s">
        <v>268</v>
      </c>
      <c r="B1218" t="s">
        <v>231</v>
      </c>
      <c r="C1218" t="s">
        <v>984</v>
      </c>
      <c r="D1218">
        <v>0</v>
      </c>
      <c r="E1218">
        <v>0</v>
      </c>
      <c r="F1218">
        <v>0</v>
      </c>
      <c r="G1218">
        <v>1.27E-4</v>
      </c>
      <c r="H1218">
        <v>50.321874999999999</v>
      </c>
      <c r="J1218">
        <v>-17016</v>
      </c>
      <c r="N1218" t="s">
        <v>189</v>
      </c>
      <c r="O1218">
        <f t="shared" si="54"/>
        <v>50.00508</v>
      </c>
      <c r="P1218">
        <f t="shared" si="55"/>
        <v>0.39599374999999881</v>
      </c>
      <c r="Q1218">
        <f t="shared" si="56"/>
        <v>0.39599374999999881</v>
      </c>
      <c r="Y1218">
        <f>TREND(H1213:H1217,G1213:G1217,G1218)</f>
        <v>50.366266945603279</v>
      </c>
      <c r="Z1218">
        <f>ABS((Y1218-H1218)/80*100)</f>
        <v>5.5489932004100233E-2</v>
      </c>
      <c r="AE1218">
        <f>ABS(P1259-P1231)</f>
        <v>0.17184687500000351</v>
      </c>
      <c r="AH1218">
        <f>H1218-AG1199</f>
        <v>50.132362499999999</v>
      </c>
      <c r="AI1218">
        <f>100*(AH1218-O1218)/80</f>
        <v>0.15910312499999968</v>
      </c>
    </row>
    <row r="1219" spans="1:41" x14ac:dyDescent="0.35">
      <c r="A1219" t="s">
        <v>268</v>
      </c>
      <c r="B1219" t="s">
        <v>231</v>
      </c>
      <c r="C1219" t="s">
        <v>1020</v>
      </c>
      <c r="D1219">
        <v>0</v>
      </c>
      <c r="E1219">
        <v>0</v>
      </c>
      <c r="F1219">
        <v>-1</v>
      </c>
      <c r="G1219">
        <v>-1.0002</v>
      </c>
      <c r="H1219">
        <v>10.331250000000001</v>
      </c>
      <c r="J1219">
        <v>-17021</v>
      </c>
      <c r="N1219" t="s">
        <v>189</v>
      </c>
      <c r="O1219">
        <f t="shared" si="54"/>
        <v>9.9920000000000009</v>
      </c>
      <c r="P1219">
        <f t="shared" si="55"/>
        <v>0.42406249999999979</v>
      </c>
      <c r="Q1219">
        <f t="shared" si="56"/>
        <v>0.42406249999999979</v>
      </c>
      <c r="Y1219">
        <f>TREND(H1213:H1217,G1213:G1217,G1219)</f>
        <v>10.202134473822241</v>
      </c>
      <c r="Z1219">
        <f>ABS((Y1219-H1219)/80*100)</f>
        <v>0.1613944077221996</v>
      </c>
      <c r="AE1219">
        <f>ABS(P1260-P1232)</f>
        <v>1.3406249999903253E-3</v>
      </c>
      <c r="AH1219">
        <f>H1219-AG1199</f>
        <v>10.141737500000001</v>
      </c>
      <c r="AI1219">
        <f>100*(AH1219-O1219)/80</f>
        <v>0.18717187500000065</v>
      </c>
    </row>
    <row r="1220" spans="1:41" x14ac:dyDescent="0.35">
      <c r="A1220" t="s">
        <v>268</v>
      </c>
      <c r="B1220" t="s">
        <v>231</v>
      </c>
      <c r="C1220" t="s">
        <v>1056</v>
      </c>
      <c r="D1220">
        <v>10</v>
      </c>
      <c r="E1220">
        <v>10</v>
      </c>
      <c r="F1220">
        <v>-1</v>
      </c>
      <c r="G1220">
        <v>-0.99995199999999995</v>
      </c>
      <c r="H1220">
        <v>10.309374999999999</v>
      </c>
      <c r="J1220">
        <v>-12784</v>
      </c>
      <c r="N1220" t="s">
        <v>189</v>
      </c>
      <c r="O1220">
        <f t="shared" si="54"/>
        <v>10.001920000000002</v>
      </c>
      <c r="P1220">
        <f t="shared" si="55"/>
        <v>0.38431874999999671</v>
      </c>
      <c r="Q1220">
        <f t="shared" si="56"/>
        <v>0.38431874999999671</v>
      </c>
      <c r="S1220">
        <v>50.231250000000003</v>
      </c>
      <c r="T1220">
        <v>0.2957624999999986</v>
      </c>
      <c r="U1220">
        <v>90.4375</v>
      </c>
      <c r="V1220">
        <v>0.54327499999999418</v>
      </c>
      <c r="W1220">
        <v>80.128124999999997</v>
      </c>
      <c r="X1220">
        <f>(W1220-80)/80*100</f>
        <v>0.16015624999999645</v>
      </c>
      <c r="Y1220">
        <f>TREND(H1220:H1224,G1220:G1224,G1220)</f>
        <v>10.234560051912062</v>
      </c>
      <c r="Z1220">
        <f>ABS((Y1220-H1220)/80*100)</f>
        <v>9.3518685109921229E-2</v>
      </c>
      <c r="AA1220">
        <f>MAX(Z1220:Z1224)</f>
        <v>0.11620224243133136</v>
      </c>
      <c r="AB1220">
        <f>IF(ABS(MAX(P1220:P1226)) &gt; ABS(MIN(P1220:P1226)),MAX(P1220:P1226), MIN(P1220:P1226))</f>
        <v>0.56224999999999525</v>
      </c>
      <c r="AC1220">
        <f>IF(ABS(AB1221)&gt;ABS(AB1220),AB1221,AB1220)</f>
        <v>0.56224999999999525</v>
      </c>
      <c r="AE1220">
        <f>ABS(P1261-P1233)</f>
        <v>0.26673437499999064</v>
      </c>
      <c r="AH1220">
        <f>H1220-AG1199</f>
        <v>10.1198625</v>
      </c>
      <c r="AI1220">
        <f>100*(AH1220-O1220)/80</f>
        <v>0.14742812499999758</v>
      </c>
      <c r="AJ1220">
        <v>50.041737500000004</v>
      </c>
      <c r="AK1220">
        <v>5.8871874999999463E-2</v>
      </c>
      <c r="AL1220">
        <v>90.247987499999994</v>
      </c>
      <c r="AM1220">
        <v>0.30638437499998616</v>
      </c>
      <c r="AN1220">
        <f>IF(ABS(MAX(AI1220:AI1226)) &gt; ABS(MIN(AI1220:AI1226)),MAX(AI1220:AI1226), MIN(AI1220:AI1226))</f>
        <v>0.325359375000005</v>
      </c>
      <c r="AO1220">
        <f>IF(ABS(AN1221)&gt;ABS(AN1220),AN1221,AN1220)</f>
        <v>0.325359375000005</v>
      </c>
    </row>
    <row r="1221" spans="1:41" x14ac:dyDescent="0.35">
      <c r="A1221" t="s">
        <v>268</v>
      </c>
      <c r="B1221" t="s">
        <v>231</v>
      </c>
      <c r="C1221" t="s">
        <v>1092</v>
      </c>
      <c r="D1221">
        <v>10</v>
      </c>
      <c r="E1221">
        <v>10</v>
      </c>
      <c r="F1221">
        <v>-0.5</v>
      </c>
      <c r="G1221">
        <v>-0.50021199999999999</v>
      </c>
      <c r="H1221">
        <v>30.2109375</v>
      </c>
      <c r="J1221">
        <v>-12745</v>
      </c>
      <c r="N1221" t="s">
        <v>189</v>
      </c>
      <c r="O1221">
        <f t="shared" si="54"/>
        <v>29.991520000000001</v>
      </c>
      <c r="P1221">
        <f t="shared" si="55"/>
        <v>0.27427187499999839</v>
      </c>
      <c r="Q1221">
        <f t="shared" si="56"/>
        <v>0.27427187499999839</v>
      </c>
      <c r="Y1221">
        <f>TREND(H1220:H1224,G1220:G1224,G1221)</f>
        <v>30.27260953848219</v>
      </c>
      <c r="Z1221">
        <f>ABS((Y1221-H1221)/80*100)</f>
        <v>7.7090048102737008E-2</v>
      </c>
      <c r="AB1221">
        <f>IF(ABS(T1220) &gt; ABS(V1220),T1220,V1220)</f>
        <v>0.54327499999999418</v>
      </c>
      <c r="AH1221">
        <f>H1221-AG1199</f>
        <v>30.021425000000001</v>
      </c>
      <c r="AI1221">
        <f>100*(AH1221-O1221)/80</f>
        <v>3.7381249999999255E-2</v>
      </c>
      <c r="AN1221">
        <f>IF(ABS(AK1220) &gt; ABS(AM1220),AK1220,AM1220)</f>
        <v>0.30638437499998616</v>
      </c>
    </row>
    <row r="1222" spans="1:41" x14ac:dyDescent="0.35">
      <c r="A1222" t="s">
        <v>268</v>
      </c>
      <c r="B1222" t="s">
        <v>1111</v>
      </c>
      <c r="C1222" t="s">
        <v>1129</v>
      </c>
      <c r="D1222">
        <v>10</v>
      </c>
      <c r="E1222">
        <v>10</v>
      </c>
      <c r="F1222">
        <v>0</v>
      </c>
      <c r="G1222">
        <v>-1.34E-4</v>
      </c>
      <c r="H1222">
        <v>50.231250000000003</v>
      </c>
      <c r="J1222">
        <v>-12716</v>
      </c>
      <c r="N1222" t="s">
        <v>189</v>
      </c>
      <c r="O1222">
        <f t="shared" si="54"/>
        <v>49.994640000000004</v>
      </c>
      <c r="P1222">
        <f t="shared" si="55"/>
        <v>0.2957624999999986</v>
      </c>
      <c r="Q1222">
        <f t="shared" si="56"/>
        <v>0.2957624999999986</v>
      </c>
      <c r="Y1222">
        <f>TREND(H1220:H1224,G1220:G1224,G1222)</f>
        <v>50.324211793945068</v>
      </c>
      <c r="Z1222">
        <f>ABS((Y1222-H1222)/80*100)</f>
        <v>0.11620224243133136</v>
      </c>
      <c r="AH1222">
        <f>H1222-AG1199</f>
        <v>50.041737500000004</v>
      </c>
      <c r="AI1222">
        <f>100*(AH1222-O1222)/80</f>
        <v>5.8871874999999463E-2</v>
      </c>
    </row>
    <row r="1223" spans="1:41" x14ac:dyDescent="0.35">
      <c r="A1223" t="s">
        <v>268</v>
      </c>
      <c r="B1223" t="s">
        <v>1111</v>
      </c>
      <c r="C1223" t="s">
        <v>1166</v>
      </c>
      <c r="D1223">
        <v>10</v>
      </c>
      <c r="E1223">
        <v>10</v>
      </c>
      <c r="F1223">
        <v>0.5</v>
      </c>
      <c r="G1223">
        <v>0.50000500000000003</v>
      </c>
      <c r="H1223">
        <v>70.45</v>
      </c>
      <c r="J1223">
        <v>-12699</v>
      </c>
      <c r="N1223" t="s">
        <v>189</v>
      </c>
      <c r="O1223">
        <f t="shared" si="54"/>
        <v>70.000200000000007</v>
      </c>
      <c r="P1223">
        <f t="shared" si="55"/>
        <v>0.56224999999999525</v>
      </c>
      <c r="Q1223">
        <f t="shared" si="56"/>
        <v>0.56224999999999525</v>
      </c>
      <c r="Y1223">
        <f>TREND(H1220:H1224,G1220:G1224,G1223)</f>
        <v>70.378259963320545</v>
      </c>
      <c r="Z1223">
        <f>ABS((Y1223-H1223)/80*100)</f>
        <v>8.9675045849322288E-2</v>
      </c>
      <c r="AH1223">
        <f>H1223-AG1199</f>
        <v>70.260487500000011</v>
      </c>
      <c r="AI1223">
        <f>100*(AH1223-O1223)/80</f>
        <v>0.325359375000005</v>
      </c>
    </row>
    <row r="1224" spans="1:41" x14ac:dyDescent="0.35">
      <c r="A1224" t="s">
        <v>268</v>
      </c>
      <c r="B1224" t="s">
        <v>1111</v>
      </c>
      <c r="C1224" t="s">
        <v>1204</v>
      </c>
      <c r="D1224">
        <v>10</v>
      </c>
      <c r="E1224">
        <v>10</v>
      </c>
      <c r="F1224">
        <v>1</v>
      </c>
      <c r="G1224">
        <v>1.0000720000000001</v>
      </c>
      <c r="H1224">
        <v>90.4375</v>
      </c>
      <c r="J1224">
        <v>-12668</v>
      </c>
      <c r="N1224" t="s">
        <v>189</v>
      </c>
      <c r="O1224">
        <f t="shared" si="54"/>
        <v>90.002880000000005</v>
      </c>
      <c r="P1224">
        <f t="shared" si="55"/>
        <v>0.54327499999999418</v>
      </c>
      <c r="Q1224">
        <f t="shared" si="56"/>
        <v>0.54327499999999418</v>
      </c>
      <c r="Y1224">
        <f>TREND(H1220:H1224,G1220:G1224,G1224)</f>
        <v>90.429421152340154</v>
      </c>
      <c r="Z1224">
        <f>ABS((Y1224-H1224)/80*100)</f>
        <v>1.0098559574807098E-2</v>
      </c>
      <c r="AH1224">
        <f>H1224-AG1199</f>
        <v>90.247987499999994</v>
      </c>
      <c r="AI1224">
        <f>100*(AH1224-O1224)/80</f>
        <v>0.30638437499998616</v>
      </c>
    </row>
    <row r="1225" spans="1:41" x14ac:dyDescent="0.35">
      <c r="A1225" t="s">
        <v>268</v>
      </c>
      <c r="B1225" t="s">
        <v>1111</v>
      </c>
      <c r="C1225" t="s">
        <v>1240</v>
      </c>
      <c r="D1225">
        <v>10</v>
      </c>
      <c r="E1225">
        <v>10</v>
      </c>
      <c r="F1225">
        <v>0</v>
      </c>
      <c r="G1225">
        <v>-1.44E-4</v>
      </c>
      <c r="H1225">
        <v>50.339062499999997</v>
      </c>
      <c r="J1225">
        <v>-12644</v>
      </c>
      <c r="N1225" t="s">
        <v>189</v>
      </c>
      <c r="O1225">
        <f t="shared" ref="O1225:O1288" si="57">(((G1225--1)*(40))+10)</f>
        <v>49.994239999999998</v>
      </c>
      <c r="P1225">
        <f t="shared" ref="P1225:P1288" si="58">100*(H1225-O1225)/80</f>
        <v>0.43102812499999921</v>
      </c>
      <c r="Q1225">
        <f t="shared" ref="Q1225:Q1288" si="59">ABS(P1225)</f>
        <v>0.43102812499999921</v>
      </c>
      <c r="Y1225">
        <f>TREND(H1220:H1224,G1220:G1224,G1225)</f>
        <v>50.323810824451201</v>
      </c>
      <c r="Z1225">
        <f>ABS((Y1225-H1225)/80*100)</f>
        <v>1.906459443599573E-2</v>
      </c>
      <c r="AH1225">
        <f>H1225-AG1199</f>
        <v>50.149549999999998</v>
      </c>
      <c r="AI1225">
        <f>100*(AH1225-O1225)/80</f>
        <v>0.19413750000000007</v>
      </c>
    </row>
    <row r="1226" spans="1:41" x14ac:dyDescent="0.35">
      <c r="A1226" t="s">
        <v>268</v>
      </c>
      <c r="B1226" t="s">
        <v>1111</v>
      </c>
      <c r="C1226" t="s">
        <v>1276</v>
      </c>
      <c r="D1226">
        <v>10</v>
      </c>
      <c r="E1226">
        <v>10</v>
      </c>
      <c r="F1226">
        <v>-1</v>
      </c>
      <c r="G1226">
        <v>-1.000264</v>
      </c>
      <c r="H1226">
        <v>10.3453125</v>
      </c>
      <c r="J1226">
        <v>-12616</v>
      </c>
      <c r="N1226" t="s">
        <v>189</v>
      </c>
      <c r="O1226">
        <f t="shared" si="57"/>
        <v>9.9894399999999983</v>
      </c>
      <c r="P1226">
        <f t="shared" si="58"/>
        <v>0.44484062500000254</v>
      </c>
      <c r="Q1226">
        <f t="shared" si="59"/>
        <v>0.44484062500000254</v>
      </c>
      <c r="Y1226">
        <f>TREND(H1220:H1224,G1220:G1224,G1226)</f>
        <v>10.222049803703371</v>
      </c>
      <c r="Z1226">
        <f>ABS((Y1226-H1226)/80*100)</f>
        <v>0.15407837037078709</v>
      </c>
      <c r="AH1226">
        <f>H1226-AG1199</f>
        <v>10.155800000000001</v>
      </c>
      <c r="AI1226">
        <f>100*(AH1226-O1226)/80</f>
        <v>0.20795000000000341</v>
      </c>
    </row>
    <row r="1227" spans="1:41" x14ac:dyDescent="0.35">
      <c r="A1227" t="s">
        <v>268</v>
      </c>
      <c r="B1227" t="s">
        <v>1111</v>
      </c>
      <c r="C1227" t="s">
        <v>1313</v>
      </c>
      <c r="D1227">
        <v>25</v>
      </c>
      <c r="E1227">
        <v>25</v>
      </c>
      <c r="F1227">
        <v>-1</v>
      </c>
      <c r="G1227">
        <v>-1.000013</v>
      </c>
      <c r="H1227">
        <v>10.25</v>
      </c>
      <c r="J1227">
        <v>-6583</v>
      </c>
      <c r="N1227" t="s">
        <v>189</v>
      </c>
      <c r="O1227">
        <f t="shared" si="57"/>
        <v>9.9994799999999984</v>
      </c>
      <c r="P1227">
        <f t="shared" si="58"/>
        <v>0.31315000000000204</v>
      </c>
      <c r="Q1227">
        <f t="shared" si="59"/>
        <v>0.31315000000000204</v>
      </c>
      <c r="S1227">
        <v>50.239062500000003</v>
      </c>
      <c r="T1227">
        <v>0.31297812500000077</v>
      </c>
      <c r="U1227">
        <v>90.439062500000006</v>
      </c>
      <c r="V1227">
        <v>0.58287812500001479</v>
      </c>
      <c r="W1227">
        <v>80.189064025878906</v>
      </c>
      <c r="X1227">
        <f>(W1227-80)/80*100</f>
        <v>0.23633003234863281</v>
      </c>
      <c r="Y1227">
        <f>TREND(H1227:H1231,G1227:G1231,G1227)</f>
        <v>10.193279471539057</v>
      </c>
      <c r="Z1227">
        <f>ABS((Y1227-H1227)/80*100)</f>
        <v>7.0900660576178609E-2</v>
      </c>
      <c r="AA1227">
        <f>MAX(Z1227:Z1231)</f>
        <v>8.7004819866791649E-2</v>
      </c>
      <c r="AB1227">
        <f>IF(ABS(MAX(P1227:P1233)) &gt; ABS(MIN(P1227:P1233)),MAX(P1227:P1233), MIN(P1227:P1233))</f>
        <v>0.58287812500001479</v>
      </c>
      <c r="AC1227">
        <f>IF(ABS(AB1228)&gt;ABS(AB1227),AB1228,AB1227)</f>
        <v>0.58287812500001479</v>
      </c>
      <c r="AH1227">
        <f>H1227-AG1199</f>
        <v>10.060487500000001</v>
      </c>
      <c r="AI1227">
        <f>100*(AH1227-O1227)/80</f>
        <v>7.6259375000002905E-2</v>
      </c>
      <c r="AJ1227">
        <v>50.049550000000004</v>
      </c>
      <c r="AK1227">
        <v>7.608750000000164E-2</v>
      </c>
      <c r="AL1227">
        <v>90.249549999999999</v>
      </c>
      <c r="AM1227">
        <v>0.34598750000000678</v>
      </c>
      <c r="AN1227">
        <f>IF(ABS(MAX(AI1227:AI1233)) &gt; ABS(MIN(AI1227:AI1233)),MAX(AI1227:AI1233), MIN(AI1227:AI1233))</f>
        <v>0.34598750000000678</v>
      </c>
      <c r="AO1227">
        <f>IF(ABS(AN1228)&gt;ABS(AN1227),AN1228,AN1227)</f>
        <v>0.34598750000000678</v>
      </c>
    </row>
    <row r="1228" spans="1:41" x14ac:dyDescent="0.35">
      <c r="A1228" t="s">
        <v>268</v>
      </c>
      <c r="B1228" t="s">
        <v>1111</v>
      </c>
      <c r="C1228" t="s">
        <v>1349</v>
      </c>
      <c r="D1228">
        <v>25</v>
      </c>
      <c r="E1228">
        <v>25</v>
      </c>
      <c r="F1228">
        <v>-0.5</v>
      </c>
      <c r="G1228">
        <v>-0.50010500000000002</v>
      </c>
      <c r="H1228">
        <v>30.212499999999999</v>
      </c>
      <c r="J1228">
        <v>-6554</v>
      </c>
      <c r="N1228" t="s">
        <v>189</v>
      </c>
      <c r="O1228">
        <f t="shared" si="57"/>
        <v>29.995799999999999</v>
      </c>
      <c r="P1228">
        <f t="shared" si="58"/>
        <v>0.27087499999999931</v>
      </c>
      <c r="Q1228">
        <f t="shared" si="59"/>
        <v>0.27087499999999931</v>
      </c>
      <c r="Y1228">
        <f>TREND(H1227:H1231,G1227:G1231,G1228)</f>
        <v>30.252698341217702</v>
      </c>
      <c r="Z1228">
        <f>ABS((Y1228-H1228)/80*100)</f>
        <v>5.024792652212895E-2</v>
      </c>
      <c r="AB1228">
        <f>IF(ABS(T1227) &gt; ABS(V1227),T1227,V1227)</f>
        <v>0.58287812500001479</v>
      </c>
      <c r="AH1228">
        <f>H1228-AG1199</f>
        <v>30.022987499999999</v>
      </c>
      <c r="AI1228">
        <f>100*(AH1228-O1228)/80</f>
        <v>3.3984375000000178E-2</v>
      </c>
      <c r="AN1228">
        <f>IF(ABS(AK1227) &gt; ABS(AM1227),AK1227,AM1227)</f>
        <v>0.34598750000000678</v>
      </c>
    </row>
    <row r="1229" spans="1:41" x14ac:dyDescent="0.35">
      <c r="A1229" t="s">
        <v>268</v>
      </c>
      <c r="B1229" t="s">
        <v>1111</v>
      </c>
      <c r="C1229" t="s">
        <v>1385</v>
      </c>
      <c r="D1229">
        <v>25</v>
      </c>
      <c r="E1229">
        <v>25</v>
      </c>
      <c r="F1229">
        <v>0</v>
      </c>
      <c r="G1229">
        <v>-2.8299999999999999E-4</v>
      </c>
      <c r="H1229">
        <v>50.239062500000003</v>
      </c>
      <c r="J1229">
        <v>-6528</v>
      </c>
      <c r="N1229" t="s">
        <v>189</v>
      </c>
      <c r="O1229">
        <f t="shared" si="57"/>
        <v>49.988680000000002</v>
      </c>
      <c r="P1229">
        <f t="shared" si="58"/>
        <v>0.31297812500000077</v>
      </c>
      <c r="Q1229">
        <f t="shared" si="59"/>
        <v>0.31297812500000077</v>
      </c>
      <c r="Y1229">
        <f>TREND(H1227:H1231,G1227:G1231,G1229)</f>
        <v>50.308666355893436</v>
      </c>
      <c r="Z1229">
        <f>ABS((Y1229-H1229)/80*100)</f>
        <v>8.7004819866791649E-2</v>
      </c>
      <c r="AH1229">
        <f>H1229-AG1199</f>
        <v>50.049550000000004</v>
      </c>
      <c r="AI1229">
        <f>100*(AH1229-O1229)/80</f>
        <v>7.608750000000164E-2</v>
      </c>
    </row>
    <row r="1230" spans="1:41" x14ac:dyDescent="0.35">
      <c r="A1230" t="s">
        <v>268</v>
      </c>
      <c r="B1230" t="s">
        <v>1111</v>
      </c>
      <c r="C1230" t="s">
        <v>1423</v>
      </c>
      <c r="D1230">
        <v>25</v>
      </c>
      <c r="E1230">
        <v>25</v>
      </c>
      <c r="F1230">
        <v>0.5</v>
      </c>
      <c r="G1230">
        <v>0.49995000000000001</v>
      </c>
      <c r="H1230">
        <v>70.4140625</v>
      </c>
      <c r="J1230">
        <v>-6515</v>
      </c>
      <c r="N1230" t="s">
        <v>189</v>
      </c>
      <c r="O1230">
        <f t="shared" si="57"/>
        <v>69.998000000000005</v>
      </c>
      <c r="P1230">
        <f t="shared" si="58"/>
        <v>0.52007812499999417</v>
      </c>
      <c r="Q1230">
        <f t="shared" si="59"/>
        <v>0.52007812499999417</v>
      </c>
      <c r="Y1230">
        <f>TREND(H1227:H1231,G1227:G1231,G1230)</f>
        <v>70.381126247385382</v>
      </c>
      <c r="Z1230">
        <f>ABS((Y1230-H1230)/80*100)</f>
        <v>4.1170315768273014E-2</v>
      </c>
      <c r="AH1230">
        <f>H1230-AG1199</f>
        <v>70.224549999999994</v>
      </c>
      <c r="AI1230">
        <f>100*(AH1230-O1230)/80</f>
        <v>0.28318749999998616</v>
      </c>
    </row>
    <row r="1231" spans="1:41" x14ac:dyDescent="0.35">
      <c r="A1231" t="s">
        <v>268</v>
      </c>
      <c r="B1231" t="s">
        <v>1111</v>
      </c>
      <c r="C1231" t="s">
        <v>1459</v>
      </c>
      <c r="D1231">
        <v>25</v>
      </c>
      <c r="E1231">
        <v>25</v>
      </c>
      <c r="F1231">
        <v>1</v>
      </c>
      <c r="G1231">
        <v>0.99931899999999996</v>
      </c>
      <c r="H1231">
        <v>90.439062500000006</v>
      </c>
      <c r="J1231">
        <v>-6493</v>
      </c>
      <c r="N1231" t="s">
        <v>189</v>
      </c>
      <c r="O1231">
        <f t="shared" si="57"/>
        <v>89.972759999999994</v>
      </c>
      <c r="P1231">
        <f t="shared" si="58"/>
        <v>0.58287812500001479</v>
      </c>
      <c r="Q1231">
        <f t="shared" si="59"/>
        <v>0.58287812500001479</v>
      </c>
      <c r="Y1231">
        <f>TREND(H1227:H1231,G1227:G1231,G1231)</f>
        <v>90.418917083964431</v>
      </c>
      <c r="Z1231">
        <f>ABS((Y1231-H1231)/80*100)</f>
        <v>2.5181770044468976E-2</v>
      </c>
      <c r="AH1231">
        <f>H1231-AG1199</f>
        <v>90.249549999999999</v>
      </c>
      <c r="AI1231">
        <f>100*(AH1231-O1231)/80</f>
        <v>0.34598750000000678</v>
      </c>
    </row>
    <row r="1232" spans="1:41" x14ac:dyDescent="0.35">
      <c r="A1232" t="s">
        <v>268</v>
      </c>
      <c r="B1232" t="s">
        <v>1111</v>
      </c>
      <c r="C1232" t="s">
        <v>1496</v>
      </c>
      <c r="D1232">
        <v>25</v>
      </c>
      <c r="E1232">
        <v>25</v>
      </c>
      <c r="F1232">
        <v>0</v>
      </c>
      <c r="G1232">
        <v>-2.0999999999999999E-5</v>
      </c>
      <c r="H1232">
        <v>50.160937500000003</v>
      </c>
      <c r="J1232">
        <v>-6471</v>
      </c>
      <c r="N1232" t="s">
        <v>189</v>
      </c>
      <c r="O1232">
        <f t="shared" si="57"/>
        <v>49.999159999999996</v>
      </c>
      <c r="P1232">
        <f t="shared" si="58"/>
        <v>0.20222187500000821</v>
      </c>
      <c r="Q1232">
        <f t="shared" si="59"/>
        <v>0.20222187500000821</v>
      </c>
      <c r="Y1232">
        <f>TREND(H1227:H1231,G1227:G1231,G1232)</f>
        <v>50.319179425786011</v>
      </c>
      <c r="Z1232">
        <f>ABS((Y1232-H1232)/80*100)</f>
        <v>0.19780240723251016</v>
      </c>
      <c r="AH1232">
        <f>H1232-AG1199</f>
        <v>49.971425000000004</v>
      </c>
      <c r="AI1232">
        <f>100*(AH1232-O1232)/80</f>
        <v>-3.4668749999990922E-2</v>
      </c>
    </row>
    <row r="1233" spans="1:41" x14ac:dyDescent="0.35">
      <c r="A1233" t="s">
        <v>268</v>
      </c>
      <c r="B1233" t="s">
        <v>1111</v>
      </c>
      <c r="C1233" t="s">
        <v>1532</v>
      </c>
      <c r="D1233">
        <v>25</v>
      </c>
      <c r="E1233">
        <v>25</v>
      </c>
      <c r="F1233">
        <v>-1</v>
      </c>
      <c r="G1233">
        <v>-1.0002519999999999</v>
      </c>
      <c r="H1233">
        <v>10.2875</v>
      </c>
      <c r="J1233">
        <v>-6463</v>
      </c>
      <c r="N1233" t="s">
        <v>189</v>
      </c>
      <c r="O1233">
        <f t="shared" si="57"/>
        <v>9.9899200000000032</v>
      </c>
      <c r="P1233">
        <f t="shared" si="58"/>
        <v>0.3719749999999955</v>
      </c>
      <c r="Q1233">
        <f t="shared" si="59"/>
        <v>0.3719749999999955</v>
      </c>
      <c r="Y1233">
        <f>TREND(H1227:H1231,G1227:G1231,G1233)</f>
        <v>10.183689304728667</v>
      </c>
      <c r="Z1233">
        <f>ABS((Y1233-H1233)/80*100)</f>
        <v>0.12976336908916641</v>
      </c>
      <c r="AH1233">
        <f>H1233-AG1199</f>
        <v>10.0979875</v>
      </c>
      <c r="AI1233">
        <f>100*(AH1233-O1233)/80</f>
        <v>0.13508437499999637</v>
      </c>
    </row>
    <row r="1234" spans="1:41" x14ac:dyDescent="0.35">
      <c r="A1234" t="s">
        <v>268</v>
      </c>
      <c r="B1234" t="s">
        <v>1111</v>
      </c>
      <c r="C1234" t="s">
        <v>1569</v>
      </c>
      <c r="D1234">
        <v>50</v>
      </c>
      <c r="E1234">
        <v>50</v>
      </c>
      <c r="F1234">
        <v>-1</v>
      </c>
      <c r="G1234">
        <v>-1.000265</v>
      </c>
      <c r="H1234">
        <v>10.270312499999999</v>
      </c>
      <c r="J1234">
        <v>3359</v>
      </c>
      <c r="N1234" t="s">
        <v>189</v>
      </c>
      <c r="O1234">
        <f t="shared" si="57"/>
        <v>9.9894000000000016</v>
      </c>
      <c r="P1234">
        <f t="shared" si="58"/>
        <v>0.3511406249999971</v>
      </c>
      <c r="Q1234">
        <f t="shared" si="59"/>
        <v>0.3511406249999971</v>
      </c>
      <c r="S1234">
        <v>50.3125</v>
      </c>
      <c r="T1234">
        <v>0.38212500000000205</v>
      </c>
      <c r="U1234">
        <v>90.375</v>
      </c>
      <c r="V1234">
        <v>0.46640000000000015</v>
      </c>
      <c r="W1234">
        <v>80.104687499999997</v>
      </c>
      <c r="X1234">
        <f>(W1234-80)/80*100</f>
        <v>0.13085937499999645</v>
      </c>
      <c r="Y1234">
        <f>TREND(H1234:H1238,G1234:G1238,G1234)</f>
        <v>10.233207692805017</v>
      </c>
      <c r="Z1234">
        <f>ABS((Y1234-H1234)/80*100)</f>
        <v>4.6381008993727768E-2</v>
      </c>
      <c r="AA1234">
        <f>MAX(Z1234:Z1238)</f>
        <v>7.4924650403453974E-2</v>
      </c>
      <c r="AB1234">
        <f>IF(ABS(MAX(P1234:P1240)) &gt; ABS(MIN(P1234:P1240)),MAX(P1234:P1240), MIN(P1234:P1240))</f>
        <v>0.52176875000000678</v>
      </c>
      <c r="AC1234">
        <f>IF(ABS(AB1235)&gt;ABS(AB1234),AB1235,AB1234)</f>
        <v>0.52176875000000678</v>
      </c>
      <c r="AH1234">
        <f>H1234-AG1199</f>
        <v>10.0808</v>
      </c>
      <c r="AI1234">
        <f>100*(AH1234-O1234)/80</f>
        <v>0.11424999999999796</v>
      </c>
      <c r="AJ1234">
        <v>50.122987500000001</v>
      </c>
      <c r="AK1234">
        <v>0.14523437500000291</v>
      </c>
      <c r="AL1234">
        <v>90.185487499999994</v>
      </c>
      <c r="AM1234">
        <v>0.22950937499999213</v>
      </c>
      <c r="AN1234">
        <f>IF(ABS(MAX(AI1234:AI1240)) &gt; ABS(MIN(AI1234:AI1240)),MAX(AI1234:AI1240), MIN(AI1234:AI1240))</f>
        <v>0.28487812500001652</v>
      </c>
      <c r="AO1234">
        <f>IF(ABS(AN1235)&gt;ABS(AN1234),AN1235,AN1234)</f>
        <v>0.28487812500001652</v>
      </c>
    </row>
    <row r="1235" spans="1:41" x14ac:dyDescent="0.35">
      <c r="A1235" t="s">
        <v>268</v>
      </c>
      <c r="B1235" t="s">
        <v>1111</v>
      </c>
      <c r="C1235" t="s">
        <v>1605</v>
      </c>
      <c r="D1235">
        <v>50</v>
      </c>
      <c r="E1235">
        <v>50</v>
      </c>
      <c r="F1235">
        <v>-0.5</v>
      </c>
      <c r="G1235">
        <v>-0.50031199999999998</v>
      </c>
      <c r="H1235">
        <v>30.209375000000001</v>
      </c>
      <c r="J1235">
        <v>3396</v>
      </c>
      <c r="N1235" t="s">
        <v>189</v>
      </c>
      <c r="O1235">
        <f t="shared" si="57"/>
        <v>29.98752</v>
      </c>
      <c r="P1235">
        <f t="shared" si="58"/>
        <v>0.27731875000000183</v>
      </c>
      <c r="Q1235">
        <f t="shared" si="59"/>
        <v>0.27731875000000183</v>
      </c>
      <c r="Y1235">
        <f>TREND(H1234:H1238,G1234:G1238,G1235)</f>
        <v>30.269314720322765</v>
      </c>
      <c r="Z1235">
        <f>ABS((Y1235-H1235)/80*100)</f>
        <v>7.4924650403453974E-2</v>
      </c>
      <c r="AB1235">
        <f>IF(ABS(T1234) &gt; ABS(V1234),T1234,V1234)</f>
        <v>0.46640000000000015</v>
      </c>
      <c r="AH1235">
        <f>H1235-AG1199</f>
        <v>30.019862500000002</v>
      </c>
      <c r="AI1235">
        <f>100*(AH1235-O1235)/80</f>
        <v>4.0428125000002701E-2</v>
      </c>
      <c r="AN1235">
        <f>IF(ABS(AK1234) &gt; ABS(AM1234),AK1234,AM1234)</f>
        <v>0.22950937499999213</v>
      </c>
    </row>
    <row r="1236" spans="1:41" x14ac:dyDescent="0.35">
      <c r="A1236" t="s">
        <v>268</v>
      </c>
      <c r="B1236" t="s">
        <v>1111</v>
      </c>
      <c r="C1236" t="s">
        <v>1643</v>
      </c>
      <c r="D1236">
        <v>50</v>
      </c>
      <c r="E1236">
        <v>50</v>
      </c>
      <c r="F1236">
        <v>0</v>
      </c>
      <c r="G1236">
        <v>1.7000000000000001E-4</v>
      </c>
      <c r="H1236">
        <v>50.3125</v>
      </c>
      <c r="J1236">
        <v>3436</v>
      </c>
      <c r="N1236" t="s">
        <v>189</v>
      </c>
      <c r="O1236">
        <f t="shared" si="57"/>
        <v>50.006799999999998</v>
      </c>
      <c r="P1236">
        <f t="shared" si="58"/>
        <v>0.38212500000000205</v>
      </c>
      <c r="Q1236">
        <f t="shared" si="59"/>
        <v>0.38212500000000205</v>
      </c>
      <c r="Y1236">
        <f>TREND(H1234:H1238,G1234:G1238,G1236)</f>
        <v>50.326621941893862</v>
      </c>
      <c r="Z1236">
        <f>ABS((Y1236-H1236)/80*100)</f>
        <v>1.7652427367327306E-2</v>
      </c>
      <c r="AH1236">
        <f>H1236-AG1199</f>
        <v>50.122987500000001</v>
      </c>
      <c r="AI1236">
        <f>100*(AH1236-O1236)/80</f>
        <v>0.14523437500000291</v>
      </c>
    </row>
    <row r="1237" spans="1:41" x14ac:dyDescent="0.35">
      <c r="A1237" t="s">
        <v>268</v>
      </c>
      <c r="B1237" t="s">
        <v>1111</v>
      </c>
      <c r="C1237" t="s">
        <v>1679</v>
      </c>
      <c r="D1237">
        <v>50</v>
      </c>
      <c r="E1237">
        <v>50</v>
      </c>
      <c r="F1237">
        <v>0.5</v>
      </c>
      <c r="G1237">
        <v>0.49979899999999999</v>
      </c>
      <c r="H1237">
        <v>70.409374999999997</v>
      </c>
      <c r="J1237">
        <v>3472</v>
      </c>
      <c r="N1237" t="s">
        <v>189</v>
      </c>
      <c r="O1237">
        <f t="shared" si="57"/>
        <v>69.991959999999992</v>
      </c>
      <c r="P1237">
        <f t="shared" si="58"/>
        <v>0.52176875000000678</v>
      </c>
      <c r="Q1237">
        <f t="shared" si="59"/>
        <v>0.52176875000000678</v>
      </c>
      <c r="Y1237">
        <f>TREND(H1234:H1238,G1234:G1238,G1237)</f>
        <v>70.349744351503688</v>
      </c>
      <c r="Z1237">
        <f>ABS((Y1237-H1237)/80*100)</f>
        <v>7.4538310620386738E-2</v>
      </c>
      <c r="AH1237">
        <f>H1237-AG1199</f>
        <v>70.219862500000005</v>
      </c>
      <c r="AI1237">
        <f>100*(AH1237-O1237)/80</f>
        <v>0.28487812500001652</v>
      </c>
    </row>
    <row r="1238" spans="1:41" x14ac:dyDescent="0.35">
      <c r="A1238" t="s">
        <v>268</v>
      </c>
      <c r="B1238" t="s">
        <v>1111</v>
      </c>
      <c r="C1238" t="s">
        <v>1716</v>
      </c>
      <c r="D1238">
        <v>50</v>
      </c>
      <c r="E1238">
        <v>50</v>
      </c>
      <c r="F1238">
        <v>1</v>
      </c>
      <c r="G1238">
        <v>1.0000469999999999</v>
      </c>
      <c r="H1238">
        <v>90.375</v>
      </c>
      <c r="J1238">
        <v>3503</v>
      </c>
      <c r="N1238" t="s">
        <v>189</v>
      </c>
      <c r="O1238">
        <f t="shared" si="57"/>
        <v>90.00188</v>
      </c>
      <c r="P1238">
        <f t="shared" si="58"/>
        <v>0.46640000000000015</v>
      </c>
      <c r="Q1238">
        <f t="shared" si="59"/>
        <v>0.46640000000000015</v>
      </c>
      <c r="Y1238">
        <f>TREND(H1234:H1238,G1234:G1238,G1238)</f>
        <v>90.397673793474638</v>
      </c>
      <c r="Z1238">
        <f>ABS((Y1238-H1238)/80*100)</f>
        <v>2.83422418432977E-2</v>
      </c>
      <c r="AH1238">
        <f>H1238-AG1199</f>
        <v>90.185487499999994</v>
      </c>
      <c r="AI1238">
        <f>100*(AH1238-O1238)/80</f>
        <v>0.22950937499999213</v>
      </c>
    </row>
    <row r="1239" spans="1:41" x14ac:dyDescent="0.35">
      <c r="A1239" t="s">
        <v>268</v>
      </c>
      <c r="B1239" t="s">
        <v>1111</v>
      </c>
      <c r="C1239" t="s">
        <v>1753</v>
      </c>
      <c r="D1239">
        <v>50</v>
      </c>
      <c r="E1239">
        <v>50</v>
      </c>
      <c r="F1239">
        <v>0</v>
      </c>
      <c r="G1239">
        <v>6.2000000000000003E-5</v>
      </c>
      <c r="H1239">
        <v>50.279687500000001</v>
      </c>
      <c r="J1239">
        <v>3529</v>
      </c>
      <c r="N1239" t="s">
        <v>189</v>
      </c>
      <c r="O1239">
        <f t="shared" si="57"/>
        <v>50.002479999999998</v>
      </c>
      <c r="P1239">
        <f t="shared" si="58"/>
        <v>0.34650937500000367</v>
      </c>
      <c r="Q1239">
        <f t="shared" si="59"/>
        <v>0.34650937500000367</v>
      </c>
      <c r="Y1239">
        <f>TREND(H1234:H1238,G1234:G1238,G1239)</f>
        <v>50.322293735924561</v>
      </c>
      <c r="Z1239">
        <f>ABS((Y1239-H1239)/80*100)</f>
        <v>5.3257794905698923E-2</v>
      </c>
      <c r="AH1239">
        <f>H1239-AG1199</f>
        <v>50.090175000000002</v>
      </c>
      <c r="AI1239">
        <f>100*(AH1239-O1239)/80</f>
        <v>0.10961875000000454</v>
      </c>
    </row>
    <row r="1240" spans="1:41" x14ac:dyDescent="0.35">
      <c r="A1240" t="s">
        <v>268</v>
      </c>
      <c r="B1240" t="s">
        <v>1111</v>
      </c>
      <c r="C1240" t="s">
        <v>1789</v>
      </c>
      <c r="D1240">
        <v>50</v>
      </c>
      <c r="E1240">
        <v>50</v>
      </c>
      <c r="F1240">
        <v>-1</v>
      </c>
      <c r="G1240">
        <v>-1.0000020000000001</v>
      </c>
      <c r="H1240">
        <v>10.275</v>
      </c>
      <c r="J1240">
        <v>3560</v>
      </c>
      <c r="N1240" t="s">
        <v>189</v>
      </c>
      <c r="O1240">
        <f t="shared" si="57"/>
        <v>9.9999199999999977</v>
      </c>
      <c r="P1240">
        <f t="shared" si="58"/>
        <v>0.34385000000000332</v>
      </c>
      <c r="Q1240">
        <f t="shared" si="59"/>
        <v>0.34385000000000332</v>
      </c>
      <c r="Y1240">
        <f>TREND(H1234:H1238,G1234:G1238,G1240)</f>
        <v>10.2437476758599</v>
      </c>
      <c r="Z1240">
        <f>ABS((Y1240-H1240)/80*100)</f>
        <v>3.9065405175124912E-2</v>
      </c>
      <c r="AH1240">
        <f>H1240-AG1199</f>
        <v>10.085487500000001</v>
      </c>
      <c r="AI1240">
        <f>100*(AH1240-O1240)/80</f>
        <v>0.10695937500000419</v>
      </c>
    </row>
    <row r="1241" spans="1:41" x14ac:dyDescent="0.35">
      <c r="A1241" t="s">
        <v>268</v>
      </c>
      <c r="B1241" t="s">
        <v>1111</v>
      </c>
      <c r="C1241" t="s">
        <v>1827</v>
      </c>
      <c r="D1241">
        <v>70</v>
      </c>
      <c r="E1241">
        <v>70</v>
      </c>
      <c r="F1241">
        <v>-1</v>
      </c>
      <c r="G1241">
        <v>-0.99972499999999997</v>
      </c>
      <c r="H1241">
        <v>10.390625</v>
      </c>
      <c r="J1241">
        <v>11546</v>
      </c>
      <c r="N1241" t="s">
        <v>189</v>
      </c>
      <c r="O1241">
        <f t="shared" si="57"/>
        <v>10.011000000000001</v>
      </c>
      <c r="P1241">
        <f t="shared" si="58"/>
        <v>0.47453124999999874</v>
      </c>
      <c r="Q1241">
        <f t="shared" si="59"/>
        <v>0.47453124999999874</v>
      </c>
      <c r="S1241">
        <v>50.376562499999999</v>
      </c>
      <c r="T1241">
        <v>0.47155312500000157</v>
      </c>
      <c r="U1241">
        <v>90.389062499999994</v>
      </c>
      <c r="V1241">
        <v>0.47887812499999072</v>
      </c>
      <c r="W1241">
        <v>79.998435974121094</v>
      </c>
      <c r="X1241">
        <f>(W1241-80)/80*100</f>
        <v>-1.9550323486328125E-3</v>
      </c>
      <c r="Y1241">
        <f>TREND(H1241:H1245,G1241:G1245,G1241)</f>
        <v>10.357270121675036</v>
      </c>
      <c r="Z1241">
        <f>ABS((Y1241-H1241)/80*100)</f>
        <v>4.1693597906204971E-2</v>
      </c>
      <c r="AA1241">
        <f>MAX(Z1241:Z1245)</f>
        <v>7.9358138990466287E-2</v>
      </c>
      <c r="AB1241">
        <f>IF(ABS(MAX(P1241:P1247)) &gt; ABS(MIN(P1241:P1247)),MAX(P1241:P1247), MIN(P1241:P1247))</f>
        <v>0.56999687499999396</v>
      </c>
      <c r="AC1241">
        <f>IF(ABS(AB1242)&gt;ABS(AB1241),AB1242,AB1241)</f>
        <v>0.56999687499999396</v>
      </c>
      <c r="AH1241">
        <f>H1241-AG1199</f>
        <v>10.201112500000001</v>
      </c>
      <c r="AI1241">
        <f>100*(AH1241-O1241)/80</f>
        <v>0.23764062499999961</v>
      </c>
      <c r="AJ1241">
        <v>50.187049999999999</v>
      </c>
      <c r="AK1241">
        <v>0.23466250000000244</v>
      </c>
      <c r="AL1241">
        <v>90.199549999999988</v>
      </c>
      <c r="AM1241">
        <v>0.2419874999999827</v>
      </c>
      <c r="AN1241">
        <f>IF(ABS(MAX(AI1241:AI1247)) &gt; ABS(MIN(AI1241:AI1247)),MAX(AI1241:AI1247), MIN(AI1241:AI1247))</f>
        <v>0.33310625000000371</v>
      </c>
      <c r="AO1241">
        <f>IF(ABS(AN1242)&gt;ABS(AN1241),AN1242,AN1241)</f>
        <v>0.33310625000000371</v>
      </c>
    </row>
    <row r="1242" spans="1:41" x14ac:dyDescent="0.35">
      <c r="A1242" t="s">
        <v>268</v>
      </c>
      <c r="B1242" t="s">
        <v>1111</v>
      </c>
      <c r="C1242" t="s">
        <v>1864</v>
      </c>
      <c r="D1242">
        <v>70</v>
      </c>
      <c r="E1242">
        <v>70</v>
      </c>
      <c r="F1242">
        <v>-0.5</v>
      </c>
      <c r="G1242">
        <v>-0.50009599999999998</v>
      </c>
      <c r="H1242">
        <v>30.295312500000001</v>
      </c>
      <c r="J1242">
        <v>11583</v>
      </c>
      <c r="N1242" t="s">
        <v>189</v>
      </c>
      <c r="O1242">
        <f t="shared" si="57"/>
        <v>29.99616</v>
      </c>
      <c r="P1242">
        <f t="shared" si="58"/>
        <v>0.37394062500000214</v>
      </c>
      <c r="Q1242">
        <f t="shared" si="59"/>
        <v>0.37394062500000214</v>
      </c>
      <c r="Y1242">
        <f>TREND(H1241:H1245,G1241:G1245,G1242)</f>
        <v>30.358799011192374</v>
      </c>
      <c r="Z1242">
        <f>ABS((Y1242-H1242)/80*100)</f>
        <v>7.9358138990466287E-2</v>
      </c>
      <c r="AB1242">
        <f>IF(ABS(T1241) &gt; ABS(V1241),T1241,V1241)</f>
        <v>0.47887812499999072</v>
      </c>
      <c r="AH1242">
        <f>H1242-AG1199</f>
        <v>30.105800000000002</v>
      </c>
      <c r="AI1242">
        <f>100*(AH1242-O1242)/80</f>
        <v>0.137050000000003</v>
      </c>
      <c r="AN1242">
        <f>IF(ABS(AK1241) &gt; ABS(AM1241),AK1241,AM1241)</f>
        <v>0.2419874999999827</v>
      </c>
    </row>
    <row r="1243" spans="1:41" x14ac:dyDescent="0.35">
      <c r="A1243" t="s">
        <v>268</v>
      </c>
      <c r="B1243" t="s">
        <v>1111</v>
      </c>
      <c r="C1243" t="s">
        <v>1900</v>
      </c>
      <c r="D1243">
        <v>70</v>
      </c>
      <c r="E1243">
        <v>70</v>
      </c>
      <c r="F1243">
        <v>0</v>
      </c>
      <c r="G1243">
        <v>-1.7E-5</v>
      </c>
      <c r="H1243">
        <v>50.376562499999999</v>
      </c>
      <c r="J1243">
        <v>11618</v>
      </c>
      <c r="N1243" t="s">
        <v>189</v>
      </c>
      <c r="O1243">
        <f t="shared" si="57"/>
        <v>49.999319999999997</v>
      </c>
      <c r="P1243">
        <f t="shared" si="58"/>
        <v>0.47155312500000157</v>
      </c>
      <c r="Q1243">
        <f t="shared" si="59"/>
        <v>0.47155312500000157</v>
      </c>
      <c r="Y1243">
        <f>TREND(H1241:H1245,G1241:G1245,G1243)</f>
        <v>50.378342643649539</v>
      </c>
      <c r="Z1243">
        <f>ABS((Y1243-H1243)/80*100)</f>
        <v>2.2251795619254722E-3</v>
      </c>
      <c r="AH1243">
        <f>H1243-AG1199</f>
        <v>50.187049999999999</v>
      </c>
      <c r="AI1243">
        <f>100*(AH1243-O1243)/80</f>
        <v>0.23466250000000244</v>
      </c>
    </row>
    <row r="1244" spans="1:41" x14ac:dyDescent="0.35">
      <c r="A1244" t="s">
        <v>268</v>
      </c>
      <c r="B1244" t="s">
        <v>1111</v>
      </c>
      <c r="C1244" t="s">
        <v>1937</v>
      </c>
      <c r="D1244">
        <v>70</v>
      </c>
      <c r="E1244">
        <v>70</v>
      </c>
      <c r="F1244">
        <v>0.5</v>
      </c>
      <c r="G1244">
        <v>0.49981100000000001</v>
      </c>
      <c r="H1244">
        <v>70.448437499999997</v>
      </c>
      <c r="J1244">
        <v>11651</v>
      </c>
      <c r="N1244" t="s">
        <v>189</v>
      </c>
      <c r="O1244">
        <f t="shared" si="57"/>
        <v>69.992440000000002</v>
      </c>
      <c r="P1244">
        <f t="shared" si="58"/>
        <v>0.56999687499999396</v>
      </c>
      <c r="Q1244">
        <f t="shared" si="59"/>
        <v>0.56999687499999396</v>
      </c>
      <c r="Y1244">
        <f>TREND(H1241:H1245,G1241:G1245,G1244)</f>
        <v>70.387838052822488</v>
      </c>
      <c r="Z1244">
        <f>ABS((Y1244-H1244)/80*100)</f>
        <v>7.5749308971886364E-2</v>
      </c>
      <c r="AH1244">
        <f>H1244-AG1199</f>
        <v>70.258925000000005</v>
      </c>
      <c r="AI1244">
        <f>100*(AH1244-O1244)/80</f>
        <v>0.33310625000000371</v>
      </c>
    </row>
    <row r="1245" spans="1:41" x14ac:dyDescent="0.35">
      <c r="A1245" t="s">
        <v>268</v>
      </c>
      <c r="B1245" t="s">
        <v>1111</v>
      </c>
      <c r="C1245" t="s">
        <v>1973</v>
      </c>
      <c r="D1245">
        <v>70</v>
      </c>
      <c r="E1245">
        <v>70</v>
      </c>
      <c r="F1245">
        <v>1</v>
      </c>
      <c r="G1245">
        <v>1.000149</v>
      </c>
      <c r="H1245">
        <v>90.389062499999994</v>
      </c>
      <c r="J1245">
        <v>11681</v>
      </c>
      <c r="N1245" t="s">
        <v>189</v>
      </c>
      <c r="O1245">
        <f t="shared" si="57"/>
        <v>90.005960000000002</v>
      </c>
      <c r="P1245">
        <f t="shared" si="58"/>
        <v>0.47887812499999072</v>
      </c>
      <c r="Q1245">
        <f t="shared" si="59"/>
        <v>0.47887812499999072</v>
      </c>
      <c r="Y1245">
        <f>TREND(H1241:H1245,G1241:G1245,G1245)</f>
        <v>90.417750170660568</v>
      </c>
      <c r="Z1245">
        <f>ABS((Y1245-H1245)/80*100)</f>
        <v>3.585958832571734E-2</v>
      </c>
      <c r="AH1245">
        <f>H1245-AG1199</f>
        <v>90.199549999999988</v>
      </c>
      <c r="AI1245">
        <f>100*(AH1245-O1245)/80</f>
        <v>0.2419874999999827</v>
      </c>
    </row>
    <row r="1246" spans="1:41" x14ac:dyDescent="0.35">
      <c r="A1246" t="s">
        <v>268</v>
      </c>
      <c r="B1246" t="s">
        <v>1111</v>
      </c>
      <c r="C1246" t="s">
        <v>2009</v>
      </c>
      <c r="D1246">
        <v>70</v>
      </c>
      <c r="E1246">
        <v>70</v>
      </c>
      <c r="F1246">
        <v>0</v>
      </c>
      <c r="G1246">
        <v>2.1999999999999999E-5</v>
      </c>
      <c r="H1246">
        <v>50.359375</v>
      </c>
      <c r="J1246">
        <v>11705</v>
      </c>
      <c r="N1246" t="s">
        <v>189</v>
      </c>
      <c r="O1246">
        <f t="shared" si="57"/>
        <v>50.000879999999995</v>
      </c>
      <c r="P1246">
        <f t="shared" si="58"/>
        <v>0.44811875000000612</v>
      </c>
      <c r="Q1246">
        <f t="shared" si="59"/>
        <v>0.44811875000000612</v>
      </c>
      <c r="Y1246">
        <f>TREND(H1241:H1245,G1241:G1245,G1246)</f>
        <v>50.379903921370989</v>
      </c>
      <c r="Z1246">
        <f>ABS((Y1246-H1246)/80*100)</f>
        <v>2.5661151713736174E-2</v>
      </c>
      <c r="AH1246">
        <f>H1246-AG1199</f>
        <v>50.169862500000001</v>
      </c>
      <c r="AI1246">
        <f>100*(AH1246-O1246)/80</f>
        <v>0.21122812500000698</v>
      </c>
    </row>
    <row r="1247" spans="1:41" x14ac:dyDescent="0.35">
      <c r="A1247" t="s">
        <v>268</v>
      </c>
      <c r="B1247" t="s">
        <v>1111</v>
      </c>
      <c r="C1247" t="s">
        <v>2046</v>
      </c>
      <c r="D1247">
        <v>70</v>
      </c>
      <c r="E1247">
        <v>70</v>
      </c>
      <c r="F1247">
        <v>-1</v>
      </c>
      <c r="G1247">
        <v>-1.000024</v>
      </c>
      <c r="H1247">
        <v>10.4125</v>
      </c>
      <c r="J1247">
        <v>11729</v>
      </c>
      <c r="N1247" t="s">
        <v>189</v>
      </c>
      <c r="O1247">
        <f t="shared" si="57"/>
        <v>9.999039999999999</v>
      </c>
      <c r="P1247">
        <f t="shared" si="58"/>
        <v>0.51682500000000076</v>
      </c>
      <c r="Q1247">
        <f t="shared" si="59"/>
        <v>0.51682500000000076</v>
      </c>
      <c r="Y1247">
        <f>TREND(H1241:H1245,G1241:G1245,G1247)</f>
        <v>10.345300325810577</v>
      </c>
      <c r="Z1247">
        <f>ABS((Y1247-H1247)/80*100)</f>
        <v>8.3999592736778705E-2</v>
      </c>
      <c r="AH1247">
        <f>H1247-AG1199</f>
        <v>10.2229875</v>
      </c>
      <c r="AI1247">
        <f>100*(AH1247-O1247)/80</f>
        <v>0.27993437500000162</v>
      </c>
    </row>
    <row r="1248" spans="1:41" x14ac:dyDescent="0.35">
      <c r="A1248" t="s">
        <v>268</v>
      </c>
      <c r="B1248" t="s">
        <v>1111</v>
      </c>
      <c r="C1248" t="s">
        <v>2082</v>
      </c>
      <c r="D1248">
        <v>85</v>
      </c>
      <c r="E1248">
        <v>85</v>
      </c>
      <c r="F1248">
        <v>-1</v>
      </c>
      <c r="G1248">
        <v>-1.0000199999999999</v>
      </c>
      <c r="H1248">
        <v>10.637499999999999</v>
      </c>
      <c r="J1248">
        <v>17734</v>
      </c>
      <c r="N1248" t="s">
        <v>189</v>
      </c>
      <c r="O1248">
        <f t="shared" si="57"/>
        <v>9.9992000000000036</v>
      </c>
      <c r="P1248">
        <f t="shared" si="58"/>
        <v>0.79787499999999456</v>
      </c>
      <c r="Q1248">
        <f t="shared" si="59"/>
        <v>0.79787499999999456</v>
      </c>
      <c r="S1248">
        <v>50.542187499999997</v>
      </c>
      <c r="T1248">
        <v>0.67463437499999834</v>
      </c>
      <c r="U1248">
        <v>90.495312499999997</v>
      </c>
      <c r="V1248">
        <v>0.62179062499998494</v>
      </c>
      <c r="W1248">
        <v>79.85781555175781</v>
      </c>
      <c r="X1248">
        <f>(W1248-80)/80*100</f>
        <v>-0.17773056030273793</v>
      </c>
      <c r="Y1248">
        <f>TREND(H1248:H1252,G1248:G1252,G1248)</f>
        <v>10.605563229039994</v>
      </c>
      <c r="Z1248">
        <f>ABS((Y1248-H1248)/80*100)</f>
        <v>3.9920963700006418E-2</v>
      </c>
      <c r="AA1248">
        <f>MAX(Z1248:Z1252)</f>
        <v>5.6148305987195897E-2</v>
      </c>
      <c r="AB1248">
        <f>IF(ABS(MAX(P1248:P1254)) &gt; ABS(MIN(P1248:P1254)),MAX(P1248:P1254), MIN(P1248:P1254))</f>
        <v>0.80574374999999421</v>
      </c>
      <c r="AC1248">
        <f>IF(ABS(AB1249)&gt;ABS(AB1248),AB1249,AB1248)</f>
        <v>0.80574374999999421</v>
      </c>
      <c r="AH1248">
        <f>H1248-AG1199</f>
        <v>10.4479875</v>
      </c>
      <c r="AI1248">
        <f>100*(AH1248-O1248)/80</f>
        <v>0.56098437499999543</v>
      </c>
      <c r="AJ1248">
        <v>50.352674999999998</v>
      </c>
      <c r="AK1248">
        <v>0.43774374999999921</v>
      </c>
      <c r="AL1248">
        <v>90.305800000000005</v>
      </c>
      <c r="AM1248">
        <v>0.38489999999999469</v>
      </c>
      <c r="AN1248">
        <f>IF(ABS(MAX(AI1248:AI1254)) &gt; ABS(MIN(AI1248:AI1254)),MAX(AI1248:AI1254), MIN(AI1248:AI1254))</f>
        <v>0.56885312499999507</v>
      </c>
      <c r="AO1248">
        <f>IF(ABS(AN1249)&gt;ABS(AN1248),AN1249,AN1248)</f>
        <v>0.56885312499999507</v>
      </c>
    </row>
    <row r="1249" spans="1:41" x14ac:dyDescent="0.35">
      <c r="A1249" t="s">
        <v>268</v>
      </c>
      <c r="B1249" t="s">
        <v>1111</v>
      </c>
      <c r="C1249" t="s">
        <v>2118</v>
      </c>
      <c r="D1249">
        <v>85</v>
      </c>
      <c r="E1249">
        <v>85</v>
      </c>
      <c r="F1249">
        <v>-0.5</v>
      </c>
      <c r="G1249">
        <v>-0.499917</v>
      </c>
      <c r="H1249">
        <v>30.540624999999999</v>
      </c>
      <c r="J1249">
        <v>17758</v>
      </c>
      <c r="N1249" t="s">
        <v>189</v>
      </c>
      <c r="O1249">
        <f t="shared" si="57"/>
        <v>30.003320000000002</v>
      </c>
      <c r="P1249">
        <f t="shared" si="58"/>
        <v>0.67163124999999546</v>
      </c>
      <c r="Q1249">
        <f t="shared" si="59"/>
        <v>0.67163124999999546</v>
      </c>
      <c r="Y1249">
        <f>TREND(H1248:H1252,G1248:G1252,G1249)</f>
        <v>30.585543644789755</v>
      </c>
      <c r="Z1249">
        <f>ABS((Y1249-H1249)/80*100)</f>
        <v>5.6148305987195897E-2</v>
      </c>
      <c r="AB1249">
        <f>IF(ABS(T1248) &gt; ABS(V1248),T1248,V1248)</f>
        <v>0.67463437499999834</v>
      </c>
      <c r="AH1249">
        <f>H1249-AG1199</f>
        <v>30.351112499999999</v>
      </c>
      <c r="AI1249">
        <f>100*(AH1249-O1249)/80</f>
        <v>0.43474062499999633</v>
      </c>
      <c r="AN1249">
        <f>IF(ABS(AK1248) &gt; ABS(AM1248),AK1248,AM1248)</f>
        <v>0.43774374999999921</v>
      </c>
    </row>
    <row r="1250" spans="1:41" x14ac:dyDescent="0.35">
      <c r="A1250" t="s">
        <v>268</v>
      </c>
      <c r="B1250" t="s">
        <v>1111</v>
      </c>
      <c r="C1250" t="s">
        <v>2154</v>
      </c>
      <c r="D1250">
        <v>85</v>
      </c>
      <c r="E1250">
        <v>85</v>
      </c>
      <c r="F1250">
        <v>0</v>
      </c>
      <c r="G1250">
        <v>6.2000000000000003E-5</v>
      </c>
      <c r="H1250">
        <v>50.542187499999997</v>
      </c>
      <c r="J1250">
        <v>17789</v>
      </c>
      <c r="N1250" t="s">
        <v>189</v>
      </c>
      <c r="O1250">
        <f t="shared" si="57"/>
        <v>50.002479999999998</v>
      </c>
      <c r="P1250">
        <f t="shared" si="58"/>
        <v>0.67463437499999834</v>
      </c>
      <c r="Q1250">
        <f t="shared" si="59"/>
        <v>0.67463437499999834</v>
      </c>
      <c r="Y1250">
        <f>TREND(H1248:H1252,G1248:G1252,G1250)</f>
        <v>50.56057004592342</v>
      </c>
      <c r="Z1250">
        <f>ABS((Y1250-H1250)/80*100)</f>
        <v>2.2978182404278513E-2</v>
      </c>
      <c r="AH1250">
        <f>H1250-AG1199</f>
        <v>50.352674999999998</v>
      </c>
      <c r="AI1250">
        <f>100*(AH1250-O1250)/80</f>
        <v>0.43774374999999921</v>
      </c>
    </row>
    <row r="1251" spans="1:41" x14ac:dyDescent="0.35">
      <c r="A1251" t="s">
        <v>268</v>
      </c>
      <c r="B1251" t="s">
        <v>1111</v>
      </c>
      <c r="C1251" t="s">
        <v>2192</v>
      </c>
      <c r="D1251">
        <v>85</v>
      </c>
      <c r="E1251">
        <v>85</v>
      </c>
      <c r="F1251">
        <v>0.5</v>
      </c>
      <c r="G1251">
        <v>0.49993199999999999</v>
      </c>
      <c r="H1251">
        <v>70.575000000000003</v>
      </c>
      <c r="J1251">
        <v>17812</v>
      </c>
      <c r="N1251" t="s">
        <v>189</v>
      </c>
      <c r="O1251">
        <f t="shared" si="57"/>
        <v>69.997280000000003</v>
      </c>
      <c r="P1251">
        <f t="shared" si="58"/>
        <v>0.72214999999999918</v>
      </c>
      <c r="Q1251">
        <f t="shared" si="59"/>
        <v>0.72214999999999918</v>
      </c>
      <c r="Y1251">
        <f>TREND(H1248:H1252,G1248:G1252,G1251)</f>
        <v>70.531241708402618</v>
      </c>
      <c r="Z1251">
        <f>ABS((Y1251-H1251)/80*100)</f>
        <v>5.4697864496731086E-2</v>
      </c>
      <c r="AH1251">
        <f>H1251-AG1199</f>
        <v>70.385487500000011</v>
      </c>
      <c r="AI1251">
        <f>100*(AH1251-O1251)/80</f>
        <v>0.48525937500000893</v>
      </c>
    </row>
    <row r="1252" spans="1:41" x14ac:dyDescent="0.35">
      <c r="A1252" t="s">
        <v>268</v>
      </c>
      <c r="B1252" t="s">
        <v>1111</v>
      </c>
      <c r="C1252" t="s">
        <v>2228</v>
      </c>
      <c r="D1252">
        <v>85</v>
      </c>
      <c r="E1252">
        <v>85</v>
      </c>
      <c r="F1252">
        <v>1</v>
      </c>
      <c r="G1252">
        <v>0.99994700000000003</v>
      </c>
      <c r="H1252">
        <v>90.495312499999997</v>
      </c>
      <c r="J1252">
        <v>17837</v>
      </c>
      <c r="N1252" t="s">
        <v>189</v>
      </c>
      <c r="O1252">
        <f t="shared" si="57"/>
        <v>89.997880000000009</v>
      </c>
      <c r="P1252">
        <f t="shared" si="58"/>
        <v>0.62179062499998494</v>
      </c>
      <c r="Q1252">
        <f t="shared" si="59"/>
        <v>0.62179062499998494</v>
      </c>
      <c r="Y1252">
        <f>TREND(H1248:H1252,G1248:G1252,G1252)</f>
        <v>90.507706371844193</v>
      </c>
      <c r="Z1252">
        <f>ABS((Y1252-H1252)/80*100)</f>
        <v>1.5492339805245336E-2</v>
      </c>
      <c r="AH1252">
        <f>H1252-AG1199</f>
        <v>90.305800000000005</v>
      </c>
      <c r="AI1252">
        <f>100*(AH1252-O1252)/80</f>
        <v>0.38489999999999469</v>
      </c>
    </row>
    <row r="1253" spans="1:41" x14ac:dyDescent="0.35">
      <c r="A1253" t="s">
        <v>268</v>
      </c>
      <c r="B1253" t="s">
        <v>1111</v>
      </c>
      <c r="C1253" t="s">
        <v>2264</v>
      </c>
      <c r="D1253">
        <v>85</v>
      </c>
      <c r="E1253">
        <v>85</v>
      </c>
      <c r="F1253">
        <v>0</v>
      </c>
      <c r="G1253">
        <v>-4.3000000000000002E-5</v>
      </c>
      <c r="H1253">
        <v>50.53125</v>
      </c>
      <c r="J1253">
        <v>17858</v>
      </c>
      <c r="N1253" t="s">
        <v>189</v>
      </c>
      <c r="O1253">
        <f t="shared" si="57"/>
        <v>49.998280000000001</v>
      </c>
      <c r="P1253">
        <f t="shared" si="58"/>
        <v>0.66621249999999854</v>
      </c>
      <c r="Q1253">
        <f t="shared" si="59"/>
        <v>0.66621249999999854</v>
      </c>
      <c r="Y1253">
        <f>TREND(H1248:H1252,G1248:G1252,G1253)</f>
        <v>50.556375114192051</v>
      </c>
      <c r="Z1253">
        <f>ABS((Y1253-H1253)/80*100)</f>
        <v>3.1406392740063183E-2</v>
      </c>
      <c r="AH1253">
        <f>H1253-AG1199</f>
        <v>50.341737500000001</v>
      </c>
      <c r="AI1253">
        <f>100*(AH1253-O1253)/80</f>
        <v>0.42932187499999941</v>
      </c>
    </row>
    <row r="1254" spans="1:41" x14ac:dyDescent="0.35">
      <c r="A1254" t="s">
        <v>268</v>
      </c>
      <c r="B1254" t="s">
        <v>1111</v>
      </c>
      <c r="C1254" t="s">
        <v>2301</v>
      </c>
      <c r="D1254">
        <v>85</v>
      </c>
      <c r="E1254">
        <v>85</v>
      </c>
      <c r="F1254">
        <v>-1</v>
      </c>
      <c r="G1254">
        <v>-1.0005679999999999</v>
      </c>
      <c r="H1254">
        <v>10.621874999999999</v>
      </c>
      <c r="J1254">
        <v>17882</v>
      </c>
      <c r="N1254" t="s">
        <v>189</v>
      </c>
      <c r="O1254">
        <f t="shared" si="57"/>
        <v>9.9772800000000039</v>
      </c>
      <c r="P1254">
        <f t="shared" si="58"/>
        <v>0.80574374999999421</v>
      </c>
      <c r="Q1254">
        <f t="shared" si="59"/>
        <v>0.80574374999999421</v>
      </c>
      <c r="Y1254">
        <f>TREND(H1248:H1252,G1248:G1252,G1254)</f>
        <v>10.583669680575319</v>
      </c>
      <c r="Z1254">
        <f>ABS((Y1254-H1254)/80*100)</f>
        <v>4.7756649280850105E-2</v>
      </c>
      <c r="AH1254">
        <f>H1254-AG1199</f>
        <v>10.4323625</v>
      </c>
      <c r="AI1254">
        <f>100*(AH1254-O1254)/80</f>
        <v>0.56885312499999507</v>
      </c>
    </row>
    <row r="1255" spans="1:41" x14ac:dyDescent="0.35">
      <c r="A1255" t="s">
        <v>268</v>
      </c>
      <c r="B1255" t="s">
        <v>1111</v>
      </c>
      <c r="C1255" t="s">
        <v>2339</v>
      </c>
      <c r="D1255">
        <v>25</v>
      </c>
      <c r="E1255">
        <v>25</v>
      </c>
      <c r="F1255">
        <v>-1</v>
      </c>
      <c r="G1255">
        <v>-1.000175</v>
      </c>
      <c r="H1255">
        <v>10.065625000000001</v>
      </c>
      <c r="J1255">
        <v>-5465</v>
      </c>
      <c r="N1255" t="s">
        <v>189</v>
      </c>
      <c r="O1255">
        <f t="shared" si="57"/>
        <v>9.9929999999999986</v>
      </c>
      <c r="P1255">
        <f t="shared" si="58"/>
        <v>9.07812500000027E-2</v>
      </c>
      <c r="Q1255">
        <f t="shared" si="59"/>
        <v>9.07812500000027E-2</v>
      </c>
      <c r="S1255">
        <v>50.121875000000003</v>
      </c>
      <c r="T1255">
        <v>0.15919375000001068</v>
      </c>
      <c r="U1255">
        <v>90.340625000000003</v>
      </c>
      <c r="V1255">
        <v>0.41103125000001128</v>
      </c>
      <c r="W1255">
        <v>80.27499694824219</v>
      </c>
      <c r="X1255">
        <f>(W1255-80)/80*100</f>
        <v>0.34374618530273793</v>
      </c>
      <c r="Y1255">
        <f>TREND(H1255:H1259,G1255:G1259,G1255)</f>
        <v>10.043664729971539</v>
      </c>
      <c r="Z1255">
        <f>ABS((Y1255-H1255)/80*100)</f>
        <v>2.7450337535577241E-2</v>
      </c>
      <c r="AA1255">
        <f>MAX(Z1255:Z1259)</f>
        <v>7.4204019107391161E-2</v>
      </c>
      <c r="AB1255">
        <f>IF(ABS(MAX(P1255:P1261)) &gt; ABS(MIN(P1255:P1261)),MAX(P1255:P1261), MIN(P1255:P1261))</f>
        <v>0.41103125000001128</v>
      </c>
      <c r="AC1255">
        <f>IF(ABS(AB1256)&gt;ABS(AB1255),AB1256,AB1255)</f>
        <v>0.41103125000001128</v>
      </c>
      <c r="AH1255">
        <f>H1255-AG1199</f>
        <v>9.8761125000000014</v>
      </c>
      <c r="AI1255">
        <f>100*(AH1255-O1255)/80</f>
        <v>-0.14610937499999643</v>
      </c>
      <c r="AJ1255">
        <v>49.932362500000004</v>
      </c>
      <c r="AK1255">
        <v>-7.7696874999988452E-2</v>
      </c>
      <c r="AL1255">
        <v>90.151112500000011</v>
      </c>
      <c r="AM1255">
        <v>0.17414062500002103</v>
      </c>
      <c r="AN1255">
        <f>IF(ABS(MAX(AI1255:AI1261)) &gt; ABS(MIN(AI1255:AI1261)),MAX(AI1255:AI1261), MIN(AI1255:AI1261))</f>
        <v>0.17414062500002103</v>
      </c>
      <c r="AO1255">
        <f>IF(ABS(AN1256)&gt;ABS(AN1255),AN1256,AN1255)</f>
        <v>0.17414062500002103</v>
      </c>
    </row>
    <row r="1256" spans="1:41" x14ac:dyDescent="0.35">
      <c r="A1256" t="s">
        <v>268</v>
      </c>
      <c r="B1256" t="s">
        <v>1111</v>
      </c>
      <c r="C1256" t="s">
        <v>2375</v>
      </c>
      <c r="D1256">
        <v>25</v>
      </c>
      <c r="E1256">
        <v>25</v>
      </c>
      <c r="F1256">
        <v>-0.5</v>
      </c>
      <c r="G1256">
        <v>-0.49987599999999999</v>
      </c>
      <c r="H1256">
        <v>30.123437500000001</v>
      </c>
      <c r="J1256">
        <v>-5539</v>
      </c>
      <c r="N1256" t="s">
        <v>189</v>
      </c>
      <c r="O1256">
        <f t="shared" si="57"/>
        <v>30.004960000000001</v>
      </c>
      <c r="P1256">
        <f t="shared" si="58"/>
        <v>0.14809687500000113</v>
      </c>
      <c r="Q1256">
        <f t="shared" si="59"/>
        <v>0.14809687500000113</v>
      </c>
      <c r="Y1256">
        <f>TREND(H1255:H1259,G1255:G1259,G1256)</f>
        <v>30.123689566157061</v>
      </c>
      <c r="Z1256">
        <f>ABS((Y1256-H1256)/80*100)</f>
        <v>3.1508269632496422E-4</v>
      </c>
      <c r="AB1256">
        <f>IF(ABS(T1255) &gt; ABS(V1255),T1255,V1255)</f>
        <v>0.41103125000001128</v>
      </c>
      <c r="AH1256">
        <f>H1256-AG1199</f>
        <v>29.933925000000002</v>
      </c>
      <c r="AI1256">
        <f>100*(AH1256-O1256)/80</f>
        <v>-8.8793749999998006E-2</v>
      </c>
      <c r="AN1256">
        <f>IF(ABS(AK1255) &gt; ABS(AM1255),AK1255,AM1255)</f>
        <v>0.17414062500002103</v>
      </c>
    </row>
    <row r="1257" spans="1:41" x14ac:dyDescent="0.35">
      <c r="A1257" t="s">
        <v>268</v>
      </c>
      <c r="B1257" t="s">
        <v>1111</v>
      </c>
      <c r="C1257" t="s">
        <v>2412</v>
      </c>
      <c r="D1257">
        <v>25</v>
      </c>
      <c r="E1257">
        <v>25</v>
      </c>
      <c r="F1257">
        <v>0</v>
      </c>
      <c r="G1257">
        <v>-1.37E-4</v>
      </c>
      <c r="H1257">
        <v>50.121875000000003</v>
      </c>
      <c r="J1257">
        <v>-5607</v>
      </c>
      <c r="N1257" t="s">
        <v>189</v>
      </c>
      <c r="O1257">
        <f t="shared" si="57"/>
        <v>49.994519999999994</v>
      </c>
      <c r="P1257">
        <f t="shared" si="58"/>
        <v>0.15919375000001068</v>
      </c>
      <c r="Q1257">
        <f t="shared" si="59"/>
        <v>0.15919375000001068</v>
      </c>
      <c r="Y1257">
        <f>TREND(H1255:H1259,G1255:G1259,G1257)</f>
        <v>50.181238215285916</v>
      </c>
      <c r="Z1257">
        <f>ABS((Y1257-H1257)/80*100)</f>
        <v>7.4204019107391161E-2</v>
      </c>
      <c r="AH1257">
        <f>H1257-AG1199</f>
        <v>49.932362500000004</v>
      </c>
      <c r="AI1257">
        <f>100*(AH1257-O1257)/80</f>
        <v>-7.7696874999988452E-2</v>
      </c>
    </row>
    <row r="1258" spans="1:41" x14ac:dyDescent="0.35">
      <c r="A1258" t="s">
        <v>268</v>
      </c>
      <c r="B1258" t="s">
        <v>1111</v>
      </c>
      <c r="C1258" t="s">
        <v>2448</v>
      </c>
      <c r="D1258">
        <v>25</v>
      </c>
      <c r="E1258">
        <v>25</v>
      </c>
      <c r="F1258">
        <v>0.5</v>
      </c>
      <c r="G1258">
        <v>0.500027</v>
      </c>
      <c r="H1258">
        <v>70.287499999999994</v>
      </c>
      <c r="J1258">
        <v>-5648</v>
      </c>
      <c r="N1258" t="s">
        <v>189</v>
      </c>
      <c r="O1258">
        <f t="shared" si="57"/>
        <v>70.001080000000002</v>
      </c>
      <c r="P1258">
        <f t="shared" si="58"/>
        <v>0.35802499999999071</v>
      </c>
      <c r="Q1258">
        <f t="shared" si="59"/>
        <v>0.35802499999999071</v>
      </c>
      <c r="Y1258">
        <f>TREND(H1255:H1259,G1255:G1259,G1258)</f>
        <v>70.255844684948855</v>
      </c>
      <c r="Z1258">
        <f>ABS((Y1258-H1258)/80*100)</f>
        <v>3.9569143813924512E-2</v>
      </c>
      <c r="AH1258">
        <f>H1258-AG1199</f>
        <v>70.097987499999988</v>
      </c>
      <c r="AI1258">
        <f>100*(AH1258-O1258)/80</f>
        <v>0.1211343749999827</v>
      </c>
    </row>
    <row r="1259" spans="1:41" x14ac:dyDescent="0.35">
      <c r="A1259" t="s">
        <v>268</v>
      </c>
      <c r="B1259" t="s">
        <v>1111</v>
      </c>
      <c r="C1259" t="s">
        <v>2485</v>
      </c>
      <c r="D1259">
        <v>25</v>
      </c>
      <c r="E1259">
        <v>25</v>
      </c>
      <c r="F1259">
        <v>1</v>
      </c>
      <c r="G1259">
        <v>1.0002949999999999</v>
      </c>
      <c r="H1259">
        <v>90.340625000000003</v>
      </c>
      <c r="J1259">
        <v>-5707</v>
      </c>
      <c r="N1259" t="s">
        <v>189</v>
      </c>
      <c r="O1259">
        <f t="shared" si="57"/>
        <v>90.011799999999994</v>
      </c>
      <c r="P1259">
        <f t="shared" si="58"/>
        <v>0.41103125000001128</v>
      </c>
      <c r="Q1259">
        <f t="shared" si="59"/>
        <v>0.41103125000001128</v>
      </c>
      <c r="Y1259">
        <f>TREND(H1255:H1259,G1255:G1259,G1259)</f>
        <v>90.334625303636585</v>
      </c>
      <c r="Z1259">
        <f>ABS((Y1259-H1259)/80*100)</f>
        <v>7.4996204542721046E-3</v>
      </c>
      <c r="AH1259">
        <f>H1259-AG1199</f>
        <v>90.151112500000011</v>
      </c>
      <c r="AI1259">
        <f>100*(AH1259-O1259)/80</f>
        <v>0.17414062500002103</v>
      </c>
    </row>
    <row r="1260" spans="1:41" x14ac:dyDescent="0.35">
      <c r="A1260" t="s">
        <v>268</v>
      </c>
      <c r="B1260" t="s">
        <v>1111</v>
      </c>
      <c r="C1260" t="s">
        <v>2522</v>
      </c>
      <c r="D1260">
        <v>25</v>
      </c>
      <c r="E1260">
        <v>25</v>
      </c>
      <c r="F1260">
        <v>0</v>
      </c>
      <c r="G1260">
        <v>-1.65E-4</v>
      </c>
      <c r="H1260">
        <v>50.15625</v>
      </c>
      <c r="J1260">
        <v>-5757</v>
      </c>
      <c r="N1260" t="s">
        <v>189</v>
      </c>
      <c r="O1260">
        <f t="shared" si="57"/>
        <v>49.993400000000001</v>
      </c>
      <c r="P1260">
        <f t="shared" si="58"/>
        <v>0.20356249999999854</v>
      </c>
      <c r="Q1260">
        <f t="shared" si="59"/>
        <v>0.20356249999999854</v>
      </c>
      <c r="Y1260">
        <f>TREND(H1255:H1259,G1255:G1259,G1260)</f>
        <v>50.180114405933082</v>
      </c>
      <c r="Z1260">
        <f>ABS((Y1260-H1260)/80*100)</f>
        <v>2.9830507416352962E-2</v>
      </c>
      <c r="AH1260">
        <f>H1260-AG1199</f>
        <v>49.966737500000001</v>
      </c>
      <c r="AI1260">
        <f>100*(AH1260-O1260)/80</f>
        <v>-3.3328125000000597E-2</v>
      </c>
    </row>
    <row r="1261" spans="1:41" x14ac:dyDescent="0.35">
      <c r="A1261" t="s">
        <v>268</v>
      </c>
      <c r="B1261" t="s">
        <v>1111</v>
      </c>
      <c r="C1261" t="s">
        <v>2557</v>
      </c>
      <c r="D1261">
        <v>25</v>
      </c>
      <c r="E1261">
        <v>25</v>
      </c>
      <c r="F1261">
        <v>-1</v>
      </c>
      <c r="G1261">
        <v>-1.0003470000000001</v>
      </c>
      <c r="H1261">
        <v>10.0703125</v>
      </c>
      <c r="J1261">
        <v>-5801</v>
      </c>
      <c r="N1261" t="s">
        <v>189</v>
      </c>
      <c r="O1261">
        <f t="shared" si="57"/>
        <v>9.9861199999999961</v>
      </c>
      <c r="P1261">
        <f t="shared" si="58"/>
        <v>0.10524062500000486</v>
      </c>
      <c r="Q1261">
        <f t="shared" si="59"/>
        <v>0.10524062500000486</v>
      </c>
      <c r="Y1261">
        <f>TREND(H1255:H1259,G1255:G1259,G1261)</f>
        <v>10.036761329661275</v>
      </c>
      <c r="Z1261">
        <f>ABS((Y1261-H1261)/80*100)</f>
        <v>4.193896292340682E-2</v>
      </c>
      <c r="AH1261">
        <f>H1261-AG1199</f>
        <v>9.8808000000000007</v>
      </c>
      <c r="AI1261">
        <f>100*(AH1261-O1261)/80</f>
        <v>-0.13164999999999427</v>
      </c>
    </row>
    <row r="1262" spans="1:41" x14ac:dyDescent="0.35">
      <c r="A1262" t="s">
        <v>270</v>
      </c>
      <c r="B1262" t="s">
        <v>231</v>
      </c>
      <c r="C1262" t="s">
        <v>271</v>
      </c>
      <c r="D1262">
        <v>25</v>
      </c>
      <c r="E1262">
        <v>25</v>
      </c>
      <c r="F1262">
        <v>-1</v>
      </c>
      <c r="G1262">
        <v>-1.000094</v>
      </c>
      <c r="H1262">
        <v>49.998437500000001</v>
      </c>
      <c r="J1262">
        <v>-1</v>
      </c>
      <c r="N1262" t="s">
        <v>190</v>
      </c>
      <c r="O1262">
        <f t="shared" si="57"/>
        <v>9.9962399999999985</v>
      </c>
      <c r="P1262">
        <f t="shared" si="58"/>
        <v>50.002746875</v>
      </c>
      <c r="Q1262">
        <f t="shared" si="59"/>
        <v>50.002746875</v>
      </c>
      <c r="S1262">
        <v>49.998437500000001</v>
      </c>
      <c r="T1262">
        <v>-9.603125000001711E-3</v>
      </c>
      <c r="U1262">
        <v>49.998437500000001</v>
      </c>
      <c r="V1262">
        <v>-50.007253124999977</v>
      </c>
      <c r="W1262">
        <v>-1.5258789076710855E-6</v>
      </c>
      <c r="X1262">
        <f>(W1262-80)/80*100</f>
        <v>-100.00000190734863</v>
      </c>
      <c r="Y1262">
        <f>TREND(H1262:H1266,G1262:G1266,G1262)</f>
        <v>49.998437500000001</v>
      </c>
      <c r="Z1262">
        <f>ABS((Y1262-H1262)/80*100)</f>
        <v>0</v>
      </c>
      <c r="AA1262">
        <f>MAX(Z1262:Z1266)</f>
        <v>0</v>
      </c>
      <c r="AB1262">
        <f>IF(ABS(MAX(P1262:P1268)) &gt; ABS(MIN(P1262:P1268)),MAX(P1262:P1268), MIN(P1262:P1268))</f>
        <v>-50.007253124999977</v>
      </c>
      <c r="AC1262">
        <f>IF(ABS(AB1263)&gt;ABS(AB1262),AB1263,AB1262)</f>
        <v>-50.007253124999977</v>
      </c>
      <c r="AD1262">
        <f>MAX(AD1263:AD1264)</f>
        <v>5.250000000005528E-3</v>
      </c>
      <c r="AE1262">
        <f>MAX(AE1263:AE1283)</f>
        <v>4.8850000000015825E-2</v>
      </c>
      <c r="AF1262">
        <f>MAX(AD1262,AA1262)</f>
        <v>5.250000000005528E-3</v>
      </c>
      <c r="AG1262">
        <f>H1264-O1264</f>
        <v>-7.6825000000013688E-3</v>
      </c>
      <c r="AH1262">
        <f>H1262-AG1262</f>
        <v>50.006120000000003</v>
      </c>
      <c r="AI1262">
        <f>100*(AH1262-O1262)/80</f>
        <v>50.012350000000005</v>
      </c>
      <c r="AJ1262">
        <v>50.006120000000003</v>
      </c>
      <c r="AK1262">
        <v>0</v>
      </c>
      <c r="AL1262">
        <v>50.006120000000003</v>
      </c>
      <c r="AM1262">
        <v>-49.997649999999979</v>
      </c>
      <c r="AN1262">
        <f>IF(ABS(MAX(AI1262:AI1268)) &gt; ABS(MIN(AI1262:AI1268)),MAX(AI1262:AI1268), MIN(AI1262:AI1268))</f>
        <v>50.012350000000005</v>
      </c>
      <c r="AO1262">
        <f>IF(ABS(AN1263)&gt;ABS(AN1262),AN1263,AN1262)</f>
        <v>50.012350000000005</v>
      </c>
    </row>
    <row r="1263" spans="1:41" x14ac:dyDescent="0.35">
      <c r="A1263" t="s">
        <v>270</v>
      </c>
      <c r="B1263" t="s">
        <v>231</v>
      </c>
      <c r="C1263" t="s">
        <v>326</v>
      </c>
      <c r="D1263">
        <v>25</v>
      </c>
      <c r="E1263">
        <v>25</v>
      </c>
      <c r="F1263">
        <v>-0.5</v>
      </c>
      <c r="G1263">
        <v>-0.50017800000000001</v>
      </c>
      <c r="H1263">
        <v>49.998437500000001</v>
      </c>
      <c r="J1263">
        <v>-1</v>
      </c>
      <c r="N1263" t="s">
        <v>190</v>
      </c>
      <c r="O1263">
        <f t="shared" si="57"/>
        <v>29.99288</v>
      </c>
      <c r="P1263">
        <f t="shared" si="58"/>
        <v>25.006946875000004</v>
      </c>
      <c r="Q1263">
        <f t="shared" si="59"/>
        <v>25.006946875000004</v>
      </c>
      <c r="Y1263">
        <f>TREND(H1262:H1266,G1262:G1266,G1263)</f>
        <v>49.998437500000001</v>
      </c>
      <c r="Z1263">
        <f>ABS((Y1263-H1263)/80*100)</f>
        <v>0</v>
      </c>
      <c r="AB1263">
        <f>IF(ABS(T1262) &gt; ABS(V1262),T1262,V1262)</f>
        <v>-50.007253124999977</v>
      </c>
      <c r="AD1263">
        <f>ABS(P1264-P1267)</f>
        <v>5.250000000005528E-3</v>
      </c>
      <c r="AE1263">
        <f>ABS(P1290-P1262)</f>
        <v>2.0999999999986585E-3</v>
      </c>
      <c r="AH1263">
        <f>H1263-AG1262</f>
        <v>50.006120000000003</v>
      </c>
      <c r="AI1263">
        <f>100*(AH1263-O1263)/80</f>
        <v>25.016550000000002</v>
      </c>
      <c r="AN1263">
        <f>IF(ABS(AK1262) &gt; ABS(AM1262),AK1262,AM1262)</f>
        <v>-49.997649999999979</v>
      </c>
    </row>
    <row r="1264" spans="1:41" x14ac:dyDescent="0.35">
      <c r="A1264" t="s">
        <v>270</v>
      </c>
      <c r="B1264" t="s">
        <v>231</v>
      </c>
      <c r="C1264" t="s">
        <v>362</v>
      </c>
      <c r="D1264">
        <v>25</v>
      </c>
      <c r="E1264">
        <v>25</v>
      </c>
      <c r="F1264">
        <v>0</v>
      </c>
      <c r="G1264">
        <v>1.5300000000000001E-4</v>
      </c>
      <c r="H1264">
        <v>49.998437500000001</v>
      </c>
      <c r="J1264">
        <v>-1</v>
      </c>
      <c r="N1264" t="s">
        <v>190</v>
      </c>
      <c r="O1264">
        <f t="shared" si="57"/>
        <v>50.006120000000003</v>
      </c>
      <c r="P1264">
        <f t="shared" si="58"/>
        <v>-9.603125000001711E-3</v>
      </c>
      <c r="Q1264">
        <f t="shared" si="59"/>
        <v>9.603125000001711E-3</v>
      </c>
      <c r="Y1264">
        <f>TREND(H1262:H1266,G1262:G1266,G1264)</f>
        <v>49.998437500000001</v>
      </c>
      <c r="Z1264">
        <f>ABS((Y1264-H1264)/80*100)</f>
        <v>0</v>
      </c>
      <c r="AD1264">
        <f>ABS(P1262-P1268)</f>
        <v>2.299999999991087E-3</v>
      </c>
      <c r="AE1264">
        <f>ABS(P1291-P1263)</f>
        <v>5.7000000000044793E-3</v>
      </c>
      <c r="AH1264">
        <f>H1264-AG1262</f>
        <v>50.006120000000003</v>
      </c>
      <c r="AI1264">
        <f>100*(AH1264-O1264)/80</f>
        <v>0</v>
      </c>
    </row>
    <row r="1265" spans="1:41" x14ac:dyDescent="0.35">
      <c r="A1265" t="s">
        <v>270</v>
      </c>
      <c r="B1265" t="s">
        <v>231</v>
      </c>
      <c r="C1265" t="s">
        <v>399</v>
      </c>
      <c r="D1265">
        <v>25</v>
      </c>
      <c r="E1265">
        <v>25</v>
      </c>
      <c r="F1265">
        <v>0.5</v>
      </c>
      <c r="G1265">
        <v>0.50012699999999999</v>
      </c>
      <c r="H1265">
        <v>49.998437500000001</v>
      </c>
      <c r="J1265">
        <v>-1</v>
      </c>
      <c r="N1265" t="s">
        <v>190</v>
      </c>
      <c r="O1265">
        <f t="shared" si="57"/>
        <v>70.005079999999992</v>
      </c>
      <c r="P1265">
        <f t="shared" si="58"/>
        <v>-25.008303124999991</v>
      </c>
      <c r="Q1265">
        <f t="shared" si="59"/>
        <v>25.008303124999991</v>
      </c>
      <c r="Y1265">
        <f>TREND(H1262:H1266,G1262:G1266,G1265)</f>
        <v>49.998437500000001</v>
      </c>
      <c r="Z1265">
        <f>ABS((Y1265-H1265)/80*100)</f>
        <v>0</v>
      </c>
      <c r="AE1265">
        <f>ABS(P1292-P1264)</f>
        <v>2.2400000000004638E-2</v>
      </c>
      <c r="AH1265">
        <f>H1265-AG1262</f>
        <v>50.006120000000003</v>
      </c>
      <c r="AI1265">
        <f>100*(AH1265-O1265)/80</f>
        <v>-24.998699999999989</v>
      </c>
    </row>
    <row r="1266" spans="1:41" x14ac:dyDescent="0.35">
      <c r="A1266" t="s">
        <v>270</v>
      </c>
      <c r="B1266" t="s">
        <v>231</v>
      </c>
      <c r="C1266" t="s">
        <v>436</v>
      </c>
      <c r="D1266">
        <v>25</v>
      </c>
      <c r="E1266">
        <v>25</v>
      </c>
      <c r="F1266">
        <v>1</v>
      </c>
      <c r="G1266">
        <v>1.0001059999999999</v>
      </c>
      <c r="H1266">
        <v>49.998437500000001</v>
      </c>
      <c r="J1266">
        <v>-1</v>
      </c>
      <c r="N1266" t="s">
        <v>190</v>
      </c>
      <c r="O1266">
        <f t="shared" si="57"/>
        <v>90.004239999999982</v>
      </c>
      <c r="P1266">
        <f t="shared" si="58"/>
        <v>-50.007253124999977</v>
      </c>
      <c r="Q1266">
        <f t="shared" si="59"/>
        <v>50.007253124999977</v>
      </c>
      <c r="Y1266">
        <f>TREND(H1262:H1266,G1262:G1266,G1266)</f>
        <v>49.998437500000001</v>
      </c>
      <c r="Z1266">
        <f>ABS((Y1266-H1266)/80*100)</f>
        <v>0</v>
      </c>
      <c r="AE1266">
        <f>ABS(P1293-P1265)</f>
        <v>4.3000000000006366E-3</v>
      </c>
      <c r="AH1266">
        <f>H1266-AG1262</f>
        <v>50.006120000000003</v>
      </c>
      <c r="AI1266">
        <f>100*(AH1266-O1266)/80</f>
        <v>-49.997649999999979</v>
      </c>
    </row>
    <row r="1267" spans="1:41" x14ac:dyDescent="0.35">
      <c r="A1267" t="s">
        <v>270</v>
      </c>
      <c r="B1267" t="s">
        <v>231</v>
      </c>
      <c r="C1267" t="s">
        <v>473</v>
      </c>
      <c r="D1267">
        <v>25</v>
      </c>
      <c r="E1267">
        <v>25</v>
      </c>
      <c r="F1267">
        <v>0</v>
      </c>
      <c r="G1267">
        <v>4.8000000000000001E-5</v>
      </c>
      <c r="H1267">
        <v>49.998437500000001</v>
      </c>
      <c r="J1267">
        <v>-1</v>
      </c>
      <c r="N1267" t="s">
        <v>190</v>
      </c>
      <c r="O1267">
        <f t="shared" si="57"/>
        <v>50.001919999999998</v>
      </c>
      <c r="P1267">
        <f t="shared" si="58"/>
        <v>-4.353124999996183E-3</v>
      </c>
      <c r="Q1267">
        <f t="shared" si="59"/>
        <v>4.353124999996183E-3</v>
      </c>
      <c r="Y1267">
        <f>TREND(H1262:H1266,G1262:G1266,G1267)</f>
        <v>49.998437500000001</v>
      </c>
      <c r="Z1267">
        <f>ABS((Y1267-H1267)/80*100)</f>
        <v>0</v>
      </c>
      <c r="AE1267">
        <f>ABS(P1294-P1266)</f>
        <v>3.4049999999972158E-2</v>
      </c>
      <c r="AH1267">
        <f>H1267-AG1262</f>
        <v>50.006120000000003</v>
      </c>
      <c r="AI1267">
        <f>100*(AH1267-O1267)/80</f>
        <v>5.250000000005528E-3</v>
      </c>
    </row>
    <row r="1268" spans="1:41" x14ac:dyDescent="0.35">
      <c r="A1268" t="s">
        <v>270</v>
      </c>
      <c r="B1268" t="s">
        <v>231</v>
      </c>
      <c r="C1268" t="s">
        <v>511</v>
      </c>
      <c r="D1268">
        <v>25</v>
      </c>
      <c r="E1268">
        <v>25</v>
      </c>
      <c r="F1268">
        <v>-1</v>
      </c>
      <c r="G1268">
        <v>-1.000048</v>
      </c>
      <c r="H1268">
        <v>49.998437500000001</v>
      </c>
      <c r="J1268">
        <v>-1</v>
      </c>
      <c r="N1268" t="s">
        <v>190</v>
      </c>
      <c r="O1268">
        <f t="shared" si="57"/>
        <v>9.9980799999999981</v>
      </c>
      <c r="P1268">
        <f t="shared" si="58"/>
        <v>50.000446875000009</v>
      </c>
      <c r="Q1268">
        <f t="shared" si="59"/>
        <v>50.000446875000009</v>
      </c>
      <c r="Y1268">
        <f>TREND(H1262:H1266,G1262:G1266,G1268)</f>
        <v>49.998437500000001</v>
      </c>
      <c r="Z1268">
        <f>ABS((Y1268-H1268)/80*100)</f>
        <v>0</v>
      </c>
      <c r="AE1268">
        <f>ABS(P1295-P1267)</f>
        <v>1.6049999999996345E-2</v>
      </c>
      <c r="AH1268">
        <f>H1268-AG1262</f>
        <v>50.006120000000003</v>
      </c>
      <c r="AI1268">
        <f>100*(AH1268-O1268)/80</f>
        <v>50.010050000000014</v>
      </c>
    </row>
    <row r="1269" spans="1:41" x14ac:dyDescent="0.35">
      <c r="A1269" t="s">
        <v>270</v>
      </c>
      <c r="B1269" t="s">
        <v>231</v>
      </c>
      <c r="C1269" t="s">
        <v>548</v>
      </c>
      <c r="D1269">
        <v>-20</v>
      </c>
      <c r="E1269">
        <v>-20.100000000000001</v>
      </c>
      <c r="F1269">
        <v>-1</v>
      </c>
      <c r="G1269">
        <v>-1.0001370000000001</v>
      </c>
      <c r="H1269">
        <v>49.998437500000001</v>
      </c>
      <c r="J1269">
        <v>-1</v>
      </c>
      <c r="N1269" t="s">
        <v>190</v>
      </c>
      <c r="O1269">
        <f t="shared" si="57"/>
        <v>9.9945199999999979</v>
      </c>
      <c r="P1269">
        <f t="shared" si="58"/>
        <v>50.004896875</v>
      </c>
      <c r="Q1269">
        <f t="shared" si="59"/>
        <v>50.004896875</v>
      </c>
      <c r="S1269">
        <v>49.998437500000001</v>
      </c>
      <c r="T1269">
        <v>4.6968750000075943E-3</v>
      </c>
      <c r="U1269">
        <v>49.998437500000001</v>
      </c>
      <c r="V1269">
        <v>-50.003203125000006</v>
      </c>
      <c r="W1269">
        <v>-1.5258789076710855E-6</v>
      </c>
      <c r="X1269">
        <f>(W1269-80)/80*100</f>
        <v>-100.00000190734863</v>
      </c>
      <c r="Y1269">
        <f>TREND(H1269:H1273,G1269:G1273,G1269)</f>
        <v>49.998437500000001</v>
      </c>
      <c r="Z1269">
        <f>ABS((Y1269-H1269)/80*100)</f>
        <v>0</v>
      </c>
      <c r="AA1269">
        <f>MAX(Z1269:Z1273)</f>
        <v>0</v>
      </c>
      <c r="AB1269">
        <f>IF(ABS(MAX(P1269:P1275)) &gt; ABS(MIN(P1269:P1275)),MAX(P1269:P1275), MIN(P1269:P1275))</f>
        <v>50.004896875</v>
      </c>
      <c r="AC1269">
        <f>IF(ABS(AB1270)&gt;ABS(AB1269),AB1270,AB1269)</f>
        <v>50.004896875</v>
      </c>
      <c r="AE1269">
        <f>ABS(P1296-P1268)</f>
        <v>8.7499999999920419E-3</v>
      </c>
      <c r="AH1269">
        <f>H1269-AG1262</f>
        <v>50.006120000000003</v>
      </c>
      <c r="AI1269">
        <f>100*(AH1269-O1269)/80</f>
        <v>50.014500000000005</v>
      </c>
      <c r="AJ1269">
        <v>50.006120000000003</v>
      </c>
      <c r="AK1269">
        <v>1.4300000000009305E-2</v>
      </c>
      <c r="AL1269">
        <v>50.006120000000003</v>
      </c>
      <c r="AM1269">
        <v>-49.993600000000001</v>
      </c>
      <c r="AN1269">
        <f>IF(ABS(MAX(AI1269:AI1275)) &gt; ABS(MIN(AI1269:AI1275)),MAX(AI1269:AI1275), MIN(AI1269:AI1275))</f>
        <v>50.014500000000005</v>
      </c>
      <c r="AO1269">
        <f>IF(ABS(AN1270)&gt;ABS(AN1269),AN1270,AN1269)</f>
        <v>50.014500000000005</v>
      </c>
    </row>
    <row r="1270" spans="1:41" x14ac:dyDescent="0.35">
      <c r="A1270" t="s">
        <v>270</v>
      </c>
      <c r="B1270" t="s">
        <v>231</v>
      </c>
      <c r="C1270" t="s">
        <v>584</v>
      </c>
      <c r="D1270">
        <v>-20</v>
      </c>
      <c r="E1270">
        <v>-19.899999999999999</v>
      </c>
      <c r="F1270">
        <v>-0.5</v>
      </c>
      <c r="G1270">
        <v>-0.50026999999999999</v>
      </c>
      <c r="H1270">
        <v>49.998437500000001</v>
      </c>
      <c r="J1270">
        <v>-1</v>
      </c>
      <c r="N1270" t="s">
        <v>190</v>
      </c>
      <c r="O1270">
        <f t="shared" si="57"/>
        <v>29.9892</v>
      </c>
      <c r="P1270">
        <f t="shared" si="58"/>
        <v>25.011546875000001</v>
      </c>
      <c r="Q1270">
        <f t="shared" si="59"/>
        <v>25.011546875000001</v>
      </c>
      <c r="Y1270">
        <f>TREND(H1269:H1273,G1269:G1273,G1270)</f>
        <v>49.998437500000001</v>
      </c>
      <c r="Z1270">
        <f>ABS((Y1270-H1270)/80*100)</f>
        <v>0</v>
      </c>
      <c r="AB1270">
        <f>IF(ABS(T1269) &gt; ABS(V1269),T1269,V1269)</f>
        <v>-50.003203125000006</v>
      </c>
      <c r="AE1270">
        <f>ABS(P1318-P1262)</f>
        <v>7.6999999999998181E-3</v>
      </c>
      <c r="AH1270">
        <f>H1270-AG1262</f>
        <v>50.006120000000003</v>
      </c>
      <c r="AI1270">
        <f>100*(AH1270-O1270)/80</f>
        <v>25.021150000000002</v>
      </c>
      <c r="AN1270">
        <f>IF(ABS(AK1269) &gt; ABS(AM1269),AK1269,AM1269)</f>
        <v>-49.993600000000001</v>
      </c>
    </row>
    <row r="1271" spans="1:41" x14ac:dyDescent="0.35">
      <c r="A1271" t="s">
        <v>270</v>
      </c>
      <c r="B1271" t="s">
        <v>231</v>
      </c>
      <c r="C1271" t="s">
        <v>621</v>
      </c>
      <c r="D1271">
        <v>-20</v>
      </c>
      <c r="E1271">
        <v>-20.100000000000001</v>
      </c>
      <c r="F1271">
        <v>0</v>
      </c>
      <c r="G1271">
        <v>-1.3300000000000001E-4</v>
      </c>
      <c r="H1271">
        <v>49.998437500000001</v>
      </c>
      <c r="J1271">
        <v>-1</v>
      </c>
      <c r="N1271" t="s">
        <v>190</v>
      </c>
      <c r="O1271">
        <f t="shared" si="57"/>
        <v>49.994679999999995</v>
      </c>
      <c r="P1271">
        <f t="shared" si="58"/>
        <v>4.6968750000075943E-3</v>
      </c>
      <c r="Q1271">
        <f t="shared" si="59"/>
        <v>4.6968750000075943E-3</v>
      </c>
      <c r="Y1271">
        <f>TREND(H1269:H1273,G1269:G1273,G1271)</f>
        <v>49.998437500000001</v>
      </c>
      <c r="Z1271">
        <f>ABS((Y1271-H1271)/80*100)</f>
        <v>0</v>
      </c>
      <c r="AE1271">
        <f>ABS(P1319-P1263)</f>
        <v>3.0350000000002098E-2</v>
      </c>
      <c r="AH1271">
        <f>H1271-AG1262</f>
        <v>50.006120000000003</v>
      </c>
      <c r="AI1271">
        <f>100*(AH1271-O1271)/80</f>
        <v>1.4300000000009305E-2</v>
      </c>
    </row>
    <row r="1272" spans="1:41" x14ac:dyDescent="0.35">
      <c r="A1272" t="s">
        <v>270</v>
      </c>
      <c r="B1272" t="s">
        <v>231</v>
      </c>
      <c r="C1272" t="s">
        <v>657</v>
      </c>
      <c r="D1272">
        <v>-20</v>
      </c>
      <c r="E1272">
        <v>-19.899999999999999</v>
      </c>
      <c r="F1272">
        <v>0.5</v>
      </c>
      <c r="G1272">
        <v>0.49931300000000001</v>
      </c>
      <c r="H1272">
        <v>49.998437500000001</v>
      </c>
      <c r="J1272">
        <v>-1</v>
      </c>
      <c r="N1272" t="s">
        <v>190</v>
      </c>
      <c r="O1272">
        <f t="shared" si="57"/>
        <v>69.972520000000003</v>
      </c>
      <c r="P1272">
        <f t="shared" si="58"/>
        <v>-24.967603125000004</v>
      </c>
      <c r="Q1272">
        <f t="shared" si="59"/>
        <v>24.967603125000004</v>
      </c>
      <c r="Y1272">
        <f>TREND(H1269:H1273,G1269:G1273,G1272)</f>
        <v>49.998437500000001</v>
      </c>
      <c r="Z1272">
        <f>ABS((Y1272-H1272)/80*100)</f>
        <v>0</v>
      </c>
      <c r="AE1272">
        <f>ABS(P1320-P1264)</f>
        <v>1.640000000000974E-2</v>
      </c>
      <c r="AH1272">
        <f>H1272-AG1262</f>
        <v>50.006120000000003</v>
      </c>
      <c r="AI1272">
        <f>100*(AH1272-O1272)/80</f>
        <v>-24.958000000000002</v>
      </c>
    </row>
    <row r="1273" spans="1:41" x14ac:dyDescent="0.35">
      <c r="A1273" t="s">
        <v>270</v>
      </c>
      <c r="B1273" t="s">
        <v>231</v>
      </c>
      <c r="C1273" t="s">
        <v>693</v>
      </c>
      <c r="D1273">
        <v>-20</v>
      </c>
      <c r="E1273">
        <v>-19.899999999999999</v>
      </c>
      <c r="F1273">
        <v>1</v>
      </c>
      <c r="G1273">
        <v>1.0000249999999999</v>
      </c>
      <c r="H1273">
        <v>49.998437500000001</v>
      </c>
      <c r="J1273">
        <v>-1</v>
      </c>
      <c r="N1273" t="s">
        <v>190</v>
      </c>
      <c r="O1273">
        <f t="shared" si="57"/>
        <v>90.001000000000005</v>
      </c>
      <c r="P1273">
        <f t="shared" si="58"/>
        <v>-50.003203125000006</v>
      </c>
      <c r="Q1273">
        <f t="shared" si="59"/>
        <v>50.003203125000006</v>
      </c>
      <c r="Y1273">
        <f>TREND(H1269:H1273,G1269:G1273,G1273)</f>
        <v>49.998437500000001</v>
      </c>
      <c r="Z1273">
        <f>ABS((Y1273-H1273)/80*100)</f>
        <v>0</v>
      </c>
      <c r="AE1273">
        <f>ABS(P1321-P1265)</f>
        <v>7.6999999999962654E-3</v>
      </c>
      <c r="AH1273">
        <f>H1273-AG1262</f>
        <v>50.006120000000003</v>
      </c>
      <c r="AI1273">
        <f>100*(AH1273-O1273)/80</f>
        <v>-49.993600000000001</v>
      </c>
    </row>
    <row r="1274" spans="1:41" x14ac:dyDescent="0.35">
      <c r="A1274" t="s">
        <v>270</v>
      </c>
      <c r="B1274" t="s">
        <v>231</v>
      </c>
      <c r="C1274" t="s">
        <v>730</v>
      </c>
      <c r="D1274">
        <v>-20</v>
      </c>
      <c r="E1274">
        <v>-20</v>
      </c>
      <c r="F1274">
        <v>0</v>
      </c>
      <c r="G1274">
        <v>6.5200000000000002E-4</v>
      </c>
      <c r="H1274">
        <v>49.998437500000001</v>
      </c>
      <c r="J1274">
        <v>-1</v>
      </c>
      <c r="N1274" t="s">
        <v>190</v>
      </c>
      <c r="O1274">
        <f t="shared" si="57"/>
        <v>50.026080000000007</v>
      </c>
      <c r="P1274">
        <f t="shared" si="58"/>
        <v>-3.4553125000007512E-2</v>
      </c>
      <c r="Q1274">
        <f t="shared" si="59"/>
        <v>3.4553125000007512E-2</v>
      </c>
      <c r="Y1274">
        <f>TREND(H1269:H1273,G1269:G1273,G1274)</f>
        <v>49.998437500000001</v>
      </c>
      <c r="Z1274">
        <f>ABS((Y1274-H1274)/80*100)</f>
        <v>0</v>
      </c>
      <c r="AE1274">
        <f>ABS(P1322-P1266)</f>
        <v>1.4800000000043667E-2</v>
      </c>
      <c r="AH1274">
        <f>H1274-AG1262</f>
        <v>50.006120000000003</v>
      </c>
      <c r="AI1274">
        <f>100*(AH1274-O1274)/80</f>
        <v>-2.4950000000005801E-2</v>
      </c>
    </row>
    <row r="1275" spans="1:41" x14ac:dyDescent="0.35">
      <c r="A1275" t="s">
        <v>270</v>
      </c>
      <c r="B1275" t="s">
        <v>231</v>
      </c>
      <c r="C1275" t="s">
        <v>766</v>
      </c>
      <c r="D1275">
        <v>-20</v>
      </c>
      <c r="E1275">
        <v>-20.100000000000001</v>
      </c>
      <c r="F1275">
        <v>-1</v>
      </c>
      <c r="G1275">
        <v>-0.99995000000000001</v>
      </c>
      <c r="H1275">
        <v>49.998437500000001</v>
      </c>
      <c r="J1275">
        <v>-1</v>
      </c>
      <c r="N1275" t="s">
        <v>190</v>
      </c>
      <c r="O1275">
        <f t="shared" si="57"/>
        <v>10.001999999999999</v>
      </c>
      <c r="P1275">
        <f t="shared" si="58"/>
        <v>49.995546874999995</v>
      </c>
      <c r="Q1275">
        <f t="shared" si="59"/>
        <v>49.995546874999995</v>
      </c>
      <c r="Y1275">
        <f>TREND(H1269:H1273,G1269:G1273,G1275)</f>
        <v>49.998437500000001</v>
      </c>
      <c r="Z1275">
        <f>ABS((Y1275-H1275)/80*100)</f>
        <v>0</v>
      </c>
      <c r="AE1275">
        <f>ABS(P1323-P1267)</f>
        <v>7.9999999999991189E-3</v>
      </c>
      <c r="AH1275">
        <f>H1275-AG1262</f>
        <v>50.006120000000003</v>
      </c>
      <c r="AI1275">
        <f>100*(AH1275-O1275)/80</f>
        <v>50.00515</v>
      </c>
    </row>
    <row r="1276" spans="1:41" x14ac:dyDescent="0.35">
      <c r="A1276" t="s">
        <v>270</v>
      </c>
      <c r="B1276" t="s">
        <v>231</v>
      </c>
      <c r="C1276" t="s">
        <v>803</v>
      </c>
      <c r="D1276">
        <v>0</v>
      </c>
      <c r="E1276">
        <v>0</v>
      </c>
      <c r="F1276">
        <v>-1</v>
      </c>
      <c r="G1276">
        <v>-1.0001690000000001</v>
      </c>
      <c r="H1276">
        <v>49.998437500000001</v>
      </c>
      <c r="J1276">
        <v>-1</v>
      </c>
      <c r="N1276" t="s">
        <v>190</v>
      </c>
      <c r="O1276">
        <f t="shared" si="57"/>
        <v>9.9932399999999966</v>
      </c>
      <c r="P1276">
        <f t="shared" si="58"/>
        <v>50.006496875000011</v>
      </c>
      <c r="Q1276">
        <f t="shared" si="59"/>
        <v>50.006496875000011</v>
      </c>
      <c r="S1276">
        <v>49.998437500000001</v>
      </c>
      <c r="T1276">
        <v>-7.1531250000056446E-3</v>
      </c>
      <c r="U1276">
        <v>49.998437500000001</v>
      </c>
      <c r="V1276">
        <v>-49.993303125000004</v>
      </c>
      <c r="W1276">
        <v>-1.5258789076710855E-6</v>
      </c>
      <c r="X1276">
        <f>(W1276-80)/80*100</f>
        <v>-100.00000190734863</v>
      </c>
      <c r="Y1276">
        <f>TREND(H1276:H1280,G1276:G1280,G1276)</f>
        <v>49.998437500000001</v>
      </c>
      <c r="Z1276">
        <f>ABS((Y1276-H1276)/80*100)</f>
        <v>0</v>
      </c>
      <c r="AA1276">
        <f>MAX(Z1276:Z1280)</f>
        <v>0</v>
      </c>
      <c r="AB1276">
        <f>IF(ABS(MAX(P1276:P1282)) &gt; ABS(MIN(P1276:P1282)),MAX(P1276:P1282), MIN(P1276:P1282))</f>
        <v>50.008146875000001</v>
      </c>
      <c r="AC1276">
        <f>IF(ABS(AB1277)&gt;ABS(AB1276),AB1277,AB1276)</f>
        <v>50.008146875000001</v>
      </c>
      <c r="AE1276">
        <f>ABS(P1324-P1268)</f>
        <v>1.8799999999991712E-2</v>
      </c>
      <c r="AH1276">
        <f>H1276-AG1262</f>
        <v>50.006120000000003</v>
      </c>
      <c r="AI1276">
        <f>100*(AH1276-O1276)/80</f>
        <v>50.016100000000009</v>
      </c>
      <c r="AJ1276">
        <v>50.006120000000003</v>
      </c>
      <c r="AK1276">
        <v>2.4499999999960664E-3</v>
      </c>
      <c r="AL1276">
        <v>50.006120000000003</v>
      </c>
      <c r="AM1276">
        <v>-49.983700000000006</v>
      </c>
      <c r="AN1276">
        <f>IF(ABS(MAX(AI1276:AI1282)) &gt; ABS(MIN(AI1276:AI1282)),MAX(AI1276:AI1282), MIN(AI1276:AI1282))</f>
        <v>50.017749999999999</v>
      </c>
      <c r="AO1276">
        <f>IF(ABS(AN1277)&gt;ABS(AN1276),AN1277,AN1276)</f>
        <v>50.017749999999999</v>
      </c>
    </row>
    <row r="1277" spans="1:41" x14ac:dyDescent="0.35">
      <c r="A1277" t="s">
        <v>270</v>
      </c>
      <c r="B1277" t="s">
        <v>231</v>
      </c>
      <c r="C1277" t="s">
        <v>839</v>
      </c>
      <c r="D1277">
        <v>0</v>
      </c>
      <c r="E1277">
        <v>0.1</v>
      </c>
      <c r="F1277">
        <v>-0.5</v>
      </c>
      <c r="G1277">
        <v>-0.50024900000000005</v>
      </c>
      <c r="H1277">
        <v>49.998437500000001</v>
      </c>
      <c r="J1277">
        <v>-1</v>
      </c>
      <c r="N1277" t="s">
        <v>190</v>
      </c>
      <c r="O1277">
        <f t="shared" si="57"/>
        <v>29.990039999999997</v>
      </c>
      <c r="P1277">
        <f t="shared" si="58"/>
        <v>25.010496875000008</v>
      </c>
      <c r="Q1277">
        <f t="shared" si="59"/>
        <v>25.010496875000008</v>
      </c>
      <c r="Y1277">
        <f>TREND(H1276:H1280,G1276:G1280,G1277)</f>
        <v>49.998437500000001</v>
      </c>
      <c r="Z1277">
        <f>ABS((Y1277-H1277)/80*100)</f>
        <v>0</v>
      </c>
      <c r="AB1277">
        <f>IF(ABS(T1276) &gt; ABS(V1276),T1276,V1276)</f>
        <v>-49.993303125000004</v>
      </c>
      <c r="AE1277">
        <f>ABS(P1318-P1290)</f>
        <v>9.7999999999984766E-3</v>
      </c>
      <c r="AH1277">
        <f>H1277-AG1262</f>
        <v>50.006120000000003</v>
      </c>
      <c r="AI1277">
        <f>100*(AH1277-O1277)/80</f>
        <v>25.020100000000006</v>
      </c>
      <c r="AN1277">
        <f>IF(ABS(AK1276) &gt; ABS(AM1276),AK1276,AM1276)</f>
        <v>-49.983700000000006</v>
      </c>
    </row>
    <row r="1278" spans="1:41" x14ac:dyDescent="0.35">
      <c r="A1278" t="s">
        <v>270</v>
      </c>
      <c r="B1278" t="s">
        <v>231</v>
      </c>
      <c r="C1278" t="s">
        <v>875</v>
      </c>
      <c r="D1278">
        <v>0</v>
      </c>
      <c r="E1278">
        <v>0</v>
      </c>
      <c r="F1278">
        <v>0</v>
      </c>
      <c r="G1278">
        <v>1.0399999999999999E-4</v>
      </c>
      <c r="H1278">
        <v>49.998437500000001</v>
      </c>
      <c r="J1278">
        <v>-1</v>
      </c>
      <c r="N1278" t="s">
        <v>190</v>
      </c>
      <c r="O1278">
        <f t="shared" si="57"/>
        <v>50.004160000000006</v>
      </c>
      <c r="P1278">
        <f t="shared" si="58"/>
        <v>-7.1531250000056446E-3</v>
      </c>
      <c r="Q1278">
        <f t="shared" si="59"/>
        <v>7.1531250000056446E-3</v>
      </c>
      <c r="Y1278">
        <f>TREND(H1276:H1280,G1276:G1280,G1278)</f>
        <v>49.998437500000001</v>
      </c>
      <c r="Z1278">
        <f>ABS((Y1278-H1278)/80*100)</f>
        <v>0</v>
      </c>
      <c r="AE1278">
        <f>ABS(P1319-P1291)</f>
        <v>2.4649999999997618E-2</v>
      </c>
      <c r="AH1278">
        <f>H1278-AG1262</f>
        <v>50.006120000000003</v>
      </c>
      <c r="AI1278">
        <f>100*(AH1278-O1278)/80</f>
        <v>2.4499999999960664E-3</v>
      </c>
    </row>
    <row r="1279" spans="1:41" x14ac:dyDescent="0.35">
      <c r="A1279" t="s">
        <v>270</v>
      </c>
      <c r="B1279" t="s">
        <v>231</v>
      </c>
      <c r="C1279" t="s">
        <v>912</v>
      </c>
      <c r="D1279">
        <v>0</v>
      </c>
      <c r="E1279">
        <v>0</v>
      </c>
      <c r="F1279">
        <v>0.5</v>
      </c>
      <c r="G1279">
        <v>0.49989800000000001</v>
      </c>
      <c r="H1279">
        <v>49.998437500000001</v>
      </c>
      <c r="J1279">
        <v>-1</v>
      </c>
      <c r="N1279" t="s">
        <v>190</v>
      </c>
      <c r="O1279">
        <f t="shared" si="57"/>
        <v>69.995919999999998</v>
      </c>
      <c r="P1279">
        <f t="shared" si="58"/>
        <v>-24.996853124999994</v>
      </c>
      <c r="Q1279">
        <f t="shared" si="59"/>
        <v>24.996853124999994</v>
      </c>
      <c r="Y1279">
        <f>TREND(H1276:H1280,G1276:G1280,G1279)</f>
        <v>49.998437500000001</v>
      </c>
      <c r="Z1279">
        <f>ABS((Y1279-H1279)/80*100)</f>
        <v>0</v>
      </c>
      <c r="AE1279">
        <f>ABS(P1320-P1292)</f>
        <v>5.9999999999948983E-3</v>
      </c>
      <c r="AH1279">
        <f>H1279-AG1262</f>
        <v>50.006120000000003</v>
      </c>
      <c r="AI1279">
        <f>100*(AH1279-O1279)/80</f>
        <v>-24.987249999999996</v>
      </c>
    </row>
    <row r="1280" spans="1:41" x14ac:dyDescent="0.35">
      <c r="A1280" t="s">
        <v>270</v>
      </c>
      <c r="B1280" t="s">
        <v>231</v>
      </c>
      <c r="C1280" t="s">
        <v>949</v>
      </c>
      <c r="D1280">
        <v>0</v>
      </c>
      <c r="E1280">
        <v>0.1</v>
      </c>
      <c r="F1280">
        <v>1</v>
      </c>
      <c r="G1280">
        <v>0.99982700000000002</v>
      </c>
      <c r="H1280">
        <v>49.998437500000001</v>
      </c>
      <c r="J1280">
        <v>-1</v>
      </c>
      <c r="N1280" t="s">
        <v>190</v>
      </c>
      <c r="O1280">
        <f t="shared" si="57"/>
        <v>89.993080000000006</v>
      </c>
      <c r="P1280">
        <f t="shared" si="58"/>
        <v>-49.993303125000004</v>
      </c>
      <c r="Q1280">
        <f t="shared" si="59"/>
        <v>49.993303125000004</v>
      </c>
      <c r="Y1280">
        <f>TREND(H1276:H1280,G1276:G1280,G1280)</f>
        <v>49.998437500000001</v>
      </c>
      <c r="Z1280">
        <f>ABS((Y1280-H1280)/80*100)</f>
        <v>0</v>
      </c>
      <c r="AE1280">
        <f>ABS(P1321-P1293)</f>
        <v>3.3999999999956287E-3</v>
      </c>
      <c r="AH1280">
        <f>H1280-AG1262</f>
        <v>50.006120000000003</v>
      </c>
      <c r="AI1280">
        <f>100*(AH1280-O1280)/80</f>
        <v>-49.983700000000006</v>
      </c>
    </row>
    <row r="1281" spans="1:41" x14ac:dyDescent="0.35">
      <c r="A1281" t="s">
        <v>270</v>
      </c>
      <c r="B1281" t="s">
        <v>231</v>
      </c>
      <c r="C1281" t="s">
        <v>985</v>
      </c>
      <c r="D1281">
        <v>0</v>
      </c>
      <c r="E1281">
        <v>0</v>
      </c>
      <c r="F1281">
        <v>0</v>
      </c>
      <c r="G1281">
        <v>9.2999999999999997E-5</v>
      </c>
      <c r="H1281">
        <v>49.998437500000001</v>
      </c>
      <c r="J1281">
        <v>-1</v>
      </c>
      <c r="N1281" t="s">
        <v>190</v>
      </c>
      <c r="O1281">
        <f t="shared" si="57"/>
        <v>50.003719999999994</v>
      </c>
      <c r="P1281">
        <f t="shared" si="58"/>
        <v>-6.6031249999909392E-3</v>
      </c>
      <c r="Q1281">
        <f t="shared" si="59"/>
        <v>6.6031249999909392E-3</v>
      </c>
      <c r="Y1281">
        <f>TREND(H1276:H1280,G1276:G1280,G1281)</f>
        <v>49.998437500000001</v>
      </c>
      <c r="Z1281">
        <f>ABS((Y1281-H1281)/80*100)</f>
        <v>0</v>
      </c>
      <c r="AE1281">
        <f>ABS(P1322-P1294)</f>
        <v>4.8850000000015825E-2</v>
      </c>
      <c r="AH1281">
        <f>H1281-AG1262</f>
        <v>50.006120000000003</v>
      </c>
      <c r="AI1281">
        <f>100*(AH1281-O1281)/80</f>
        <v>3.0000000000107718E-3</v>
      </c>
    </row>
    <row r="1282" spans="1:41" x14ac:dyDescent="0.35">
      <c r="A1282" t="s">
        <v>270</v>
      </c>
      <c r="B1282" t="s">
        <v>231</v>
      </c>
      <c r="C1282" t="s">
        <v>1021</v>
      </c>
      <c r="D1282">
        <v>0</v>
      </c>
      <c r="E1282">
        <v>0</v>
      </c>
      <c r="F1282">
        <v>-1</v>
      </c>
      <c r="G1282">
        <v>-1.000202</v>
      </c>
      <c r="H1282">
        <v>49.998437500000001</v>
      </c>
      <c r="J1282">
        <v>-1</v>
      </c>
      <c r="N1282" t="s">
        <v>190</v>
      </c>
      <c r="O1282">
        <f t="shared" si="57"/>
        <v>9.9919199999999986</v>
      </c>
      <c r="P1282">
        <f t="shared" si="58"/>
        <v>50.008146875000001</v>
      </c>
      <c r="Q1282">
        <f t="shared" si="59"/>
        <v>50.008146875000001</v>
      </c>
      <c r="Y1282">
        <f>TREND(H1276:H1280,G1276:G1280,G1282)</f>
        <v>49.998437500000001</v>
      </c>
      <c r="Z1282">
        <f>ABS((Y1282-H1282)/80*100)</f>
        <v>0</v>
      </c>
      <c r="AE1282">
        <f>ABS(P1323-P1295)</f>
        <v>8.049999999997226E-3</v>
      </c>
      <c r="AH1282">
        <f>H1282-AG1262</f>
        <v>50.006120000000003</v>
      </c>
      <c r="AI1282">
        <f>100*(AH1282-O1282)/80</f>
        <v>50.017749999999999</v>
      </c>
    </row>
    <row r="1283" spans="1:41" x14ac:dyDescent="0.35">
      <c r="A1283" t="s">
        <v>270</v>
      </c>
      <c r="B1283" t="s">
        <v>231</v>
      </c>
      <c r="C1283" t="s">
        <v>1057</v>
      </c>
      <c r="D1283">
        <v>10</v>
      </c>
      <c r="E1283">
        <v>10</v>
      </c>
      <c r="F1283">
        <v>-1</v>
      </c>
      <c r="G1283">
        <v>-0.99999000000000005</v>
      </c>
      <c r="H1283">
        <v>49.998437500000001</v>
      </c>
      <c r="J1283">
        <v>-1</v>
      </c>
      <c r="N1283" t="s">
        <v>190</v>
      </c>
      <c r="O1283">
        <f t="shared" si="57"/>
        <v>10.000399999999999</v>
      </c>
      <c r="P1283">
        <f t="shared" si="58"/>
        <v>49.997546874999998</v>
      </c>
      <c r="Q1283">
        <f t="shared" si="59"/>
        <v>49.997546874999998</v>
      </c>
      <c r="S1283">
        <v>49.998437500000001</v>
      </c>
      <c r="T1283">
        <v>9.2968750000022027E-3</v>
      </c>
      <c r="U1283">
        <v>49.998437500000001</v>
      </c>
      <c r="V1283">
        <v>-50.001303125000007</v>
      </c>
      <c r="W1283">
        <v>-1.5258789076710855E-6</v>
      </c>
      <c r="X1283">
        <f>(W1283-80)/80*100</f>
        <v>-100.00000190734863</v>
      </c>
      <c r="Y1283">
        <f>TREND(H1283:H1287,G1283:G1287,G1283)</f>
        <v>49.998437500000001</v>
      </c>
      <c r="Z1283">
        <f>ABS((Y1283-H1283)/80*100)</f>
        <v>0</v>
      </c>
      <c r="AA1283">
        <f>MAX(Z1283:Z1287)</f>
        <v>0</v>
      </c>
      <c r="AB1283">
        <f>IF(ABS(MAX(P1283:P1289)) &gt; ABS(MIN(P1283:P1289)),MAX(P1283:P1289), MIN(P1283:P1289))</f>
        <v>50.007196874999998</v>
      </c>
      <c r="AC1283">
        <f>IF(ABS(AB1284)&gt;ABS(AB1283),AB1284,AB1283)</f>
        <v>50.007196874999998</v>
      </c>
      <c r="AE1283">
        <f>ABS(P1324-P1296)</f>
        <v>1.004999999999967E-2</v>
      </c>
      <c r="AH1283">
        <f>H1283-AG1262</f>
        <v>50.006120000000003</v>
      </c>
      <c r="AI1283">
        <f>100*(AH1283-O1283)/80</f>
        <v>50.00715000000001</v>
      </c>
      <c r="AJ1283">
        <v>50.006120000000003</v>
      </c>
      <c r="AK1283">
        <v>1.8900000000003914E-2</v>
      </c>
      <c r="AL1283">
        <v>50.006120000000003</v>
      </c>
      <c r="AM1283">
        <v>-49.991700000000002</v>
      </c>
      <c r="AN1283">
        <f>IF(ABS(MAX(AI1283:AI1289)) &gt; ABS(MIN(AI1283:AI1289)),MAX(AI1283:AI1289), MIN(AI1283:AI1289))</f>
        <v>50.016800000000003</v>
      </c>
      <c r="AO1283">
        <f>IF(ABS(AN1284)&gt;ABS(AN1283),AN1284,AN1283)</f>
        <v>50.016800000000003</v>
      </c>
    </row>
    <row r="1284" spans="1:41" x14ac:dyDescent="0.35">
      <c r="A1284" t="s">
        <v>270</v>
      </c>
      <c r="B1284" t="s">
        <v>231</v>
      </c>
      <c r="C1284" t="s">
        <v>1093</v>
      </c>
      <c r="D1284">
        <v>10</v>
      </c>
      <c r="E1284">
        <v>10</v>
      </c>
      <c r="F1284">
        <v>-0.5</v>
      </c>
      <c r="G1284">
        <v>-0.50023399999999996</v>
      </c>
      <c r="H1284">
        <v>49.998437500000001</v>
      </c>
      <c r="J1284">
        <v>-1</v>
      </c>
      <c r="N1284" t="s">
        <v>190</v>
      </c>
      <c r="O1284">
        <f t="shared" si="57"/>
        <v>29.990640000000003</v>
      </c>
      <c r="P1284">
        <f t="shared" si="58"/>
        <v>25.009746874999998</v>
      </c>
      <c r="Q1284">
        <f t="shared" si="59"/>
        <v>25.009746874999998</v>
      </c>
      <c r="Y1284">
        <f>TREND(H1283:H1287,G1283:G1287,G1284)</f>
        <v>49.998437500000001</v>
      </c>
      <c r="Z1284">
        <f>ABS((Y1284-H1284)/80*100)</f>
        <v>0</v>
      </c>
      <c r="AB1284">
        <f>IF(ABS(T1283) &gt; ABS(V1283),T1283,V1283)</f>
        <v>-50.001303125000007</v>
      </c>
      <c r="AH1284">
        <f>H1284-AG1262</f>
        <v>50.006120000000003</v>
      </c>
      <c r="AI1284">
        <f>100*(AH1284-O1284)/80</f>
        <v>25.019349999999999</v>
      </c>
      <c r="AN1284">
        <f>IF(ABS(AK1283) &gt; ABS(AM1283),AK1283,AM1283)</f>
        <v>-49.991700000000002</v>
      </c>
    </row>
    <row r="1285" spans="1:41" x14ac:dyDescent="0.35">
      <c r="A1285" t="s">
        <v>270</v>
      </c>
      <c r="B1285" t="s">
        <v>1111</v>
      </c>
      <c r="C1285" t="s">
        <v>1130</v>
      </c>
      <c r="D1285">
        <v>10</v>
      </c>
      <c r="E1285">
        <v>10</v>
      </c>
      <c r="F1285">
        <v>0</v>
      </c>
      <c r="G1285">
        <v>-2.2499999999999999E-4</v>
      </c>
      <c r="H1285">
        <v>49.998437500000001</v>
      </c>
      <c r="J1285">
        <v>-1</v>
      </c>
      <c r="N1285" t="s">
        <v>190</v>
      </c>
      <c r="O1285">
        <f t="shared" si="57"/>
        <v>49.991</v>
      </c>
      <c r="P1285">
        <f t="shared" si="58"/>
        <v>9.2968750000022027E-3</v>
      </c>
      <c r="Q1285">
        <f t="shared" si="59"/>
        <v>9.2968750000022027E-3</v>
      </c>
      <c r="Y1285">
        <f>TREND(H1283:H1287,G1283:G1287,G1285)</f>
        <v>49.998437500000001</v>
      </c>
      <c r="Z1285">
        <f>ABS((Y1285-H1285)/80*100)</f>
        <v>0</v>
      </c>
      <c r="AH1285">
        <f>H1285-AG1262</f>
        <v>50.006120000000003</v>
      </c>
      <c r="AI1285">
        <f>100*(AH1285-O1285)/80</f>
        <v>1.8900000000003914E-2</v>
      </c>
    </row>
    <row r="1286" spans="1:41" x14ac:dyDescent="0.35">
      <c r="A1286" t="s">
        <v>270</v>
      </c>
      <c r="B1286" t="s">
        <v>1111</v>
      </c>
      <c r="C1286" t="s">
        <v>1167</v>
      </c>
      <c r="D1286">
        <v>10</v>
      </c>
      <c r="E1286">
        <v>10</v>
      </c>
      <c r="F1286">
        <v>0.5</v>
      </c>
      <c r="G1286">
        <v>0.50004199999999999</v>
      </c>
      <c r="H1286">
        <v>49.998437500000001</v>
      </c>
      <c r="J1286">
        <v>-1</v>
      </c>
      <c r="N1286" t="s">
        <v>190</v>
      </c>
      <c r="O1286">
        <f t="shared" si="57"/>
        <v>70.001680000000007</v>
      </c>
      <c r="P1286">
        <f t="shared" si="58"/>
        <v>-25.004053125000006</v>
      </c>
      <c r="Q1286">
        <f t="shared" si="59"/>
        <v>25.004053125000006</v>
      </c>
      <c r="Y1286">
        <f>TREND(H1283:H1287,G1283:G1287,G1286)</f>
        <v>49.998437500000001</v>
      </c>
      <c r="Z1286">
        <f>ABS((Y1286-H1286)/80*100)</f>
        <v>0</v>
      </c>
      <c r="AH1286">
        <f>H1286-AG1262</f>
        <v>50.006120000000003</v>
      </c>
      <c r="AI1286">
        <f>100*(AH1286-O1286)/80</f>
        <v>-24.994450000000008</v>
      </c>
    </row>
    <row r="1287" spans="1:41" x14ac:dyDescent="0.35">
      <c r="A1287" t="s">
        <v>270</v>
      </c>
      <c r="B1287" t="s">
        <v>1111</v>
      </c>
      <c r="C1287" t="s">
        <v>1205</v>
      </c>
      <c r="D1287">
        <v>10</v>
      </c>
      <c r="E1287">
        <v>10</v>
      </c>
      <c r="F1287">
        <v>1</v>
      </c>
      <c r="G1287">
        <v>0.99998699999999996</v>
      </c>
      <c r="H1287">
        <v>49.998437500000001</v>
      </c>
      <c r="J1287">
        <v>-1</v>
      </c>
      <c r="N1287" t="s">
        <v>190</v>
      </c>
      <c r="O1287">
        <f t="shared" si="57"/>
        <v>89.999480000000005</v>
      </c>
      <c r="P1287">
        <f t="shared" si="58"/>
        <v>-50.001303125000007</v>
      </c>
      <c r="Q1287">
        <f t="shared" si="59"/>
        <v>50.001303125000007</v>
      </c>
      <c r="Y1287">
        <f>TREND(H1283:H1287,G1283:G1287,G1287)</f>
        <v>49.998437500000001</v>
      </c>
      <c r="Z1287">
        <f>ABS((Y1287-H1287)/80*100)</f>
        <v>0</v>
      </c>
      <c r="AH1287">
        <f>H1287-AG1262</f>
        <v>50.006120000000003</v>
      </c>
      <c r="AI1287">
        <f>100*(AH1287-O1287)/80</f>
        <v>-49.991700000000002</v>
      </c>
    </row>
    <row r="1288" spans="1:41" x14ac:dyDescent="0.35">
      <c r="A1288" t="s">
        <v>270</v>
      </c>
      <c r="B1288" t="s">
        <v>1111</v>
      </c>
      <c r="C1288" t="s">
        <v>1241</v>
      </c>
      <c r="D1288">
        <v>10</v>
      </c>
      <c r="E1288">
        <v>10</v>
      </c>
      <c r="F1288">
        <v>0</v>
      </c>
      <c r="G1288">
        <v>-3.0000000000000001E-6</v>
      </c>
      <c r="H1288">
        <v>49.998437500000001</v>
      </c>
      <c r="J1288">
        <v>-1</v>
      </c>
      <c r="N1288" t="s">
        <v>190</v>
      </c>
      <c r="O1288">
        <f t="shared" si="57"/>
        <v>49.999880000000005</v>
      </c>
      <c r="P1288">
        <f t="shared" si="58"/>
        <v>-1.8031250000039023E-3</v>
      </c>
      <c r="Q1288">
        <f t="shared" si="59"/>
        <v>1.8031250000039023E-3</v>
      </c>
      <c r="Y1288">
        <f>TREND(H1283:H1287,G1283:G1287,G1288)</f>
        <v>49.998437500000001</v>
      </c>
      <c r="Z1288">
        <f>ABS((Y1288-H1288)/80*100)</f>
        <v>0</v>
      </c>
      <c r="AH1288">
        <f>H1288-AG1262</f>
        <v>50.006120000000003</v>
      </c>
      <c r="AI1288">
        <f>100*(AH1288-O1288)/80</f>
        <v>7.7999999999978087E-3</v>
      </c>
    </row>
    <row r="1289" spans="1:41" x14ac:dyDescent="0.35">
      <c r="A1289" t="s">
        <v>270</v>
      </c>
      <c r="B1289" t="s">
        <v>1111</v>
      </c>
      <c r="C1289" t="s">
        <v>1277</v>
      </c>
      <c r="D1289">
        <v>10</v>
      </c>
      <c r="E1289">
        <v>10</v>
      </c>
      <c r="F1289">
        <v>-1</v>
      </c>
      <c r="G1289">
        <v>-1.000183</v>
      </c>
      <c r="H1289">
        <v>49.998437500000001</v>
      </c>
      <c r="J1289">
        <v>-1</v>
      </c>
      <c r="N1289" t="s">
        <v>190</v>
      </c>
      <c r="O1289">
        <f t="shared" ref="O1289:O1352" si="60">(((G1289--1)*(40))+10)</f>
        <v>9.9926799999999982</v>
      </c>
      <c r="P1289">
        <f t="shared" ref="P1289:P1352" si="61">100*(H1289-O1289)/80</f>
        <v>50.007196874999998</v>
      </c>
      <c r="Q1289">
        <f t="shared" ref="Q1289:Q1352" si="62">ABS(P1289)</f>
        <v>50.007196874999998</v>
      </c>
      <c r="Y1289">
        <f>TREND(H1283:H1287,G1283:G1287,G1289)</f>
        <v>49.998437500000001</v>
      </c>
      <c r="Z1289">
        <f>ABS((Y1289-H1289)/80*100)</f>
        <v>0</v>
      </c>
      <c r="AH1289">
        <f>H1289-AG1262</f>
        <v>50.006120000000003</v>
      </c>
      <c r="AI1289">
        <f>100*(AH1289-O1289)/80</f>
        <v>50.016800000000003</v>
      </c>
    </row>
    <row r="1290" spans="1:41" x14ac:dyDescent="0.35">
      <c r="A1290" t="s">
        <v>270</v>
      </c>
      <c r="B1290" t="s">
        <v>1111</v>
      </c>
      <c r="C1290" t="s">
        <v>1314</v>
      </c>
      <c r="D1290">
        <v>25</v>
      </c>
      <c r="E1290">
        <v>25</v>
      </c>
      <c r="F1290">
        <v>-1</v>
      </c>
      <c r="G1290">
        <v>-1.0000519999999999</v>
      </c>
      <c r="H1290">
        <v>49.998437500000001</v>
      </c>
      <c r="J1290">
        <v>-1</v>
      </c>
      <c r="N1290" t="s">
        <v>190</v>
      </c>
      <c r="O1290">
        <f t="shared" si="60"/>
        <v>9.9979200000000024</v>
      </c>
      <c r="P1290">
        <f t="shared" si="61"/>
        <v>50.000646875000001</v>
      </c>
      <c r="Q1290">
        <f t="shared" si="62"/>
        <v>50.000646875000001</v>
      </c>
      <c r="S1290">
        <v>49.998437500000001</v>
      </c>
      <c r="T1290">
        <v>1.2796875000002927E-2</v>
      </c>
      <c r="U1290">
        <v>49.998437500000001</v>
      </c>
      <c r="V1290">
        <v>-49.973203125000005</v>
      </c>
      <c r="W1290">
        <v>-1.5258789076710855E-6</v>
      </c>
      <c r="X1290">
        <f>(W1290-80)/80*100</f>
        <v>-100.00000190734863</v>
      </c>
      <c r="Y1290">
        <f>TREND(H1290:H1294,G1290:G1294,G1290)</f>
        <v>49.998437500000001</v>
      </c>
      <c r="Z1290">
        <f>ABS((Y1290-H1290)/80*100)</f>
        <v>0</v>
      </c>
      <c r="AA1290">
        <f>MAX(Z1290:Z1294)</f>
        <v>0</v>
      </c>
      <c r="AB1290">
        <f>IF(ABS(MAX(P1290:P1296)) &gt; ABS(MIN(P1290:P1296)),MAX(P1290:P1296), MIN(P1290:P1296))</f>
        <v>50.009196875000001</v>
      </c>
      <c r="AC1290">
        <f>IF(ABS(AB1291)&gt;ABS(AB1290),AB1291,AB1290)</f>
        <v>50.009196875000001</v>
      </c>
      <c r="AH1290">
        <f>H1290-AG1262</f>
        <v>50.006120000000003</v>
      </c>
      <c r="AI1290">
        <f>100*(AH1290-O1290)/80</f>
        <v>50.010249999999999</v>
      </c>
      <c r="AJ1290">
        <v>50.006120000000003</v>
      </c>
      <c r="AK1290">
        <v>2.2400000000004638E-2</v>
      </c>
      <c r="AL1290">
        <v>50.006120000000003</v>
      </c>
      <c r="AM1290">
        <v>-49.9636</v>
      </c>
      <c r="AN1290">
        <f>IF(ABS(MAX(AI1290:AI1296)) &gt; ABS(MIN(AI1290:AI1296)),MAX(AI1290:AI1296), MIN(AI1290:AI1296))</f>
        <v>50.018800000000013</v>
      </c>
      <c r="AO1290">
        <f>IF(ABS(AN1291)&gt;ABS(AN1290),AN1291,AN1290)</f>
        <v>50.018800000000013</v>
      </c>
    </row>
    <row r="1291" spans="1:41" x14ac:dyDescent="0.35">
      <c r="A1291" t="s">
        <v>270</v>
      </c>
      <c r="B1291" t="s">
        <v>1111</v>
      </c>
      <c r="C1291" t="s">
        <v>1350</v>
      </c>
      <c r="D1291">
        <v>25</v>
      </c>
      <c r="E1291">
        <v>25</v>
      </c>
      <c r="F1291">
        <v>-0.5</v>
      </c>
      <c r="G1291">
        <v>-0.50006399999999995</v>
      </c>
      <c r="H1291">
        <v>49.998437500000001</v>
      </c>
      <c r="J1291">
        <v>-1</v>
      </c>
      <c r="N1291" t="s">
        <v>190</v>
      </c>
      <c r="O1291">
        <f t="shared" si="60"/>
        <v>29.997440000000001</v>
      </c>
      <c r="P1291">
        <f t="shared" si="61"/>
        <v>25.001246875</v>
      </c>
      <c r="Q1291">
        <f t="shared" si="62"/>
        <v>25.001246875</v>
      </c>
      <c r="Y1291">
        <f>TREND(H1290:H1294,G1290:G1294,G1291)</f>
        <v>49.998437500000001</v>
      </c>
      <c r="Z1291">
        <f>ABS((Y1291-H1291)/80*100)</f>
        <v>0</v>
      </c>
      <c r="AB1291">
        <f>IF(ABS(T1290) &gt; ABS(V1290),T1290,V1290)</f>
        <v>-49.973203125000005</v>
      </c>
      <c r="AH1291">
        <f>H1291-AG1262</f>
        <v>50.006120000000003</v>
      </c>
      <c r="AI1291">
        <f>100*(AH1291-O1291)/80</f>
        <v>25.010850000000001</v>
      </c>
      <c r="AN1291">
        <f>IF(ABS(AK1290) &gt; ABS(AM1290),AK1290,AM1290)</f>
        <v>-49.9636</v>
      </c>
    </row>
    <row r="1292" spans="1:41" x14ac:dyDescent="0.35">
      <c r="A1292" t="s">
        <v>270</v>
      </c>
      <c r="B1292" t="s">
        <v>1111</v>
      </c>
      <c r="C1292" t="s">
        <v>1386</v>
      </c>
      <c r="D1292">
        <v>25</v>
      </c>
      <c r="E1292">
        <v>25</v>
      </c>
      <c r="F1292">
        <v>0</v>
      </c>
      <c r="G1292">
        <v>-2.9500000000000001E-4</v>
      </c>
      <c r="H1292">
        <v>49.998437500000001</v>
      </c>
      <c r="J1292">
        <v>-1</v>
      </c>
      <c r="N1292" t="s">
        <v>190</v>
      </c>
      <c r="O1292">
        <f t="shared" si="60"/>
        <v>49.988199999999999</v>
      </c>
      <c r="P1292">
        <f t="shared" si="61"/>
        <v>1.2796875000002927E-2</v>
      </c>
      <c r="Q1292">
        <f t="shared" si="62"/>
        <v>1.2796875000002927E-2</v>
      </c>
      <c r="Y1292">
        <f>TREND(H1290:H1294,G1290:G1294,G1292)</f>
        <v>49.998437500000001</v>
      </c>
      <c r="Z1292">
        <f>ABS((Y1292-H1292)/80*100)</f>
        <v>0</v>
      </c>
      <c r="AH1292">
        <f>H1292-AG1262</f>
        <v>50.006120000000003</v>
      </c>
      <c r="AI1292">
        <f>100*(AH1292-O1292)/80</f>
        <v>2.2400000000004638E-2</v>
      </c>
    </row>
    <row r="1293" spans="1:41" x14ac:dyDescent="0.35">
      <c r="A1293" t="s">
        <v>270</v>
      </c>
      <c r="B1293" t="s">
        <v>1111</v>
      </c>
      <c r="C1293" t="s">
        <v>1423</v>
      </c>
      <c r="D1293">
        <v>25</v>
      </c>
      <c r="E1293">
        <v>25</v>
      </c>
      <c r="F1293">
        <v>0.5</v>
      </c>
      <c r="G1293">
        <v>0.50004099999999996</v>
      </c>
      <c r="H1293">
        <v>49.998437500000001</v>
      </c>
      <c r="J1293">
        <v>-1</v>
      </c>
      <c r="N1293" t="s">
        <v>190</v>
      </c>
      <c r="O1293">
        <f t="shared" si="60"/>
        <v>70.001639999999995</v>
      </c>
      <c r="P1293">
        <f t="shared" si="61"/>
        <v>-25.00400312499999</v>
      </c>
      <c r="Q1293">
        <f t="shared" si="62"/>
        <v>25.00400312499999</v>
      </c>
      <c r="Y1293">
        <f>TREND(H1290:H1294,G1290:G1294,G1293)</f>
        <v>49.998437500000001</v>
      </c>
      <c r="Z1293">
        <f>ABS((Y1293-H1293)/80*100)</f>
        <v>0</v>
      </c>
      <c r="AH1293">
        <f>H1293-AG1262</f>
        <v>50.006120000000003</v>
      </c>
      <c r="AI1293">
        <f>100*(AH1293-O1293)/80</f>
        <v>-24.994399999999992</v>
      </c>
    </row>
    <row r="1294" spans="1:41" x14ac:dyDescent="0.35">
      <c r="A1294" t="s">
        <v>270</v>
      </c>
      <c r="B1294" t="s">
        <v>1111</v>
      </c>
      <c r="C1294" t="s">
        <v>1460</v>
      </c>
      <c r="D1294">
        <v>25</v>
      </c>
      <c r="E1294">
        <v>25</v>
      </c>
      <c r="F1294">
        <v>1</v>
      </c>
      <c r="G1294">
        <v>0.99942500000000001</v>
      </c>
      <c r="H1294">
        <v>49.998437500000001</v>
      </c>
      <c r="J1294">
        <v>-1</v>
      </c>
      <c r="N1294" t="s">
        <v>190</v>
      </c>
      <c r="O1294">
        <f t="shared" si="60"/>
        <v>89.977000000000004</v>
      </c>
      <c r="P1294">
        <f t="shared" si="61"/>
        <v>-49.973203125000005</v>
      </c>
      <c r="Q1294">
        <f t="shared" si="62"/>
        <v>49.973203125000005</v>
      </c>
      <c r="Y1294">
        <f>TREND(H1290:H1294,G1290:G1294,G1294)</f>
        <v>49.998437500000001</v>
      </c>
      <c r="Z1294">
        <f>ABS((Y1294-H1294)/80*100)</f>
        <v>0</v>
      </c>
      <c r="AH1294">
        <f>H1294-AG1262</f>
        <v>50.006120000000003</v>
      </c>
      <c r="AI1294">
        <f>100*(AH1294-O1294)/80</f>
        <v>-49.9636</v>
      </c>
    </row>
    <row r="1295" spans="1:41" x14ac:dyDescent="0.35">
      <c r="A1295" t="s">
        <v>270</v>
      </c>
      <c r="B1295" t="s">
        <v>1111</v>
      </c>
      <c r="C1295" t="s">
        <v>1497</v>
      </c>
      <c r="D1295">
        <v>25</v>
      </c>
      <c r="E1295">
        <v>25</v>
      </c>
      <c r="F1295">
        <v>0</v>
      </c>
      <c r="G1295">
        <v>-2.7300000000000002E-4</v>
      </c>
      <c r="H1295">
        <v>49.998437500000001</v>
      </c>
      <c r="J1295">
        <v>-1</v>
      </c>
      <c r="N1295" t="s">
        <v>190</v>
      </c>
      <c r="O1295">
        <f t="shared" si="60"/>
        <v>49.989080000000001</v>
      </c>
      <c r="P1295">
        <f t="shared" si="61"/>
        <v>1.1696875000000162E-2</v>
      </c>
      <c r="Q1295">
        <f t="shared" si="62"/>
        <v>1.1696875000000162E-2</v>
      </c>
      <c r="Y1295">
        <f>TREND(H1290:H1294,G1290:G1294,G1295)</f>
        <v>49.998437500000001</v>
      </c>
      <c r="Z1295">
        <f>ABS((Y1295-H1295)/80*100)</f>
        <v>0</v>
      </c>
      <c r="AH1295">
        <f>H1295-AG1262</f>
        <v>50.006120000000003</v>
      </c>
      <c r="AI1295">
        <f>100*(AH1295-O1295)/80</f>
        <v>2.1300000000001873E-2</v>
      </c>
    </row>
    <row r="1296" spans="1:41" x14ac:dyDescent="0.35">
      <c r="A1296" t="s">
        <v>270</v>
      </c>
      <c r="B1296" t="s">
        <v>1111</v>
      </c>
      <c r="C1296" t="s">
        <v>1533</v>
      </c>
      <c r="D1296">
        <v>25</v>
      </c>
      <c r="E1296">
        <v>25</v>
      </c>
      <c r="F1296">
        <v>-1</v>
      </c>
      <c r="G1296">
        <v>-1.0002230000000001</v>
      </c>
      <c r="H1296">
        <v>49.998437500000001</v>
      </c>
      <c r="J1296">
        <v>-1</v>
      </c>
      <c r="N1296" t="s">
        <v>190</v>
      </c>
      <c r="O1296">
        <f t="shared" si="60"/>
        <v>9.9910799999999966</v>
      </c>
      <c r="P1296">
        <f t="shared" si="61"/>
        <v>50.009196875000001</v>
      </c>
      <c r="Q1296">
        <f t="shared" si="62"/>
        <v>50.009196875000001</v>
      </c>
      <c r="Y1296">
        <f>TREND(H1290:H1294,G1290:G1294,G1296)</f>
        <v>49.998437500000001</v>
      </c>
      <c r="Z1296">
        <f>ABS((Y1296-H1296)/80*100)</f>
        <v>0</v>
      </c>
      <c r="AH1296">
        <f>H1296-AG1262</f>
        <v>50.006120000000003</v>
      </c>
      <c r="AI1296">
        <f>100*(AH1296-O1296)/80</f>
        <v>50.018800000000013</v>
      </c>
    </row>
    <row r="1297" spans="1:41" x14ac:dyDescent="0.35">
      <c r="A1297" t="s">
        <v>270</v>
      </c>
      <c r="B1297" t="s">
        <v>1111</v>
      </c>
      <c r="C1297" t="s">
        <v>1570</v>
      </c>
      <c r="D1297">
        <v>50</v>
      </c>
      <c r="E1297">
        <v>50</v>
      </c>
      <c r="F1297">
        <v>-1</v>
      </c>
      <c r="G1297">
        <v>-1.0002200000000001</v>
      </c>
      <c r="H1297">
        <v>49.998437500000001</v>
      </c>
      <c r="J1297">
        <v>-1</v>
      </c>
      <c r="N1297" t="s">
        <v>190</v>
      </c>
      <c r="O1297">
        <f t="shared" si="60"/>
        <v>9.9911999999999956</v>
      </c>
      <c r="P1297">
        <f t="shared" si="61"/>
        <v>50.009046875000003</v>
      </c>
      <c r="Q1297">
        <f t="shared" si="62"/>
        <v>50.009046875000003</v>
      </c>
      <c r="S1297">
        <v>49.998437500000001</v>
      </c>
      <c r="T1297">
        <v>-1.4753125000002143E-2</v>
      </c>
      <c r="U1297">
        <v>49.998437500000001</v>
      </c>
      <c r="V1297">
        <v>-50.00400312499999</v>
      </c>
      <c r="W1297">
        <v>-1.5258789076710855E-6</v>
      </c>
      <c r="X1297">
        <f>(W1297-80)/80*100</f>
        <v>-100.00000190734863</v>
      </c>
      <c r="Y1297">
        <f>TREND(H1297:H1301,G1297:G1301,G1297)</f>
        <v>49.998437500000001</v>
      </c>
      <c r="Z1297">
        <f>ABS((Y1297-H1297)/80*100)</f>
        <v>0</v>
      </c>
      <c r="AA1297">
        <f>MAX(Z1297:Z1301)</f>
        <v>0</v>
      </c>
      <c r="AB1297">
        <f>IF(ABS(MAX(P1297:P1303)) &gt; ABS(MIN(P1297:P1303)),MAX(P1297:P1303), MIN(P1297:P1303))</f>
        <v>50.009046875000003</v>
      </c>
      <c r="AC1297">
        <f>IF(ABS(AB1298)&gt;ABS(AB1297),AB1298,AB1297)</f>
        <v>50.009046875000003</v>
      </c>
      <c r="AH1297">
        <f>H1297-AG1262</f>
        <v>50.006120000000003</v>
      </c>
      <c r="AI1297">
        <f>100*(AH1297-O1297)/80</f>
        <v>50.018650000000001</v>
      </c>
      <c r="AJ1297">
        <v>50.006120000000003</v>
      </c>
      <c r="AK1297">
        <v>-5.150000000000432E-3</v>
      </c>
      <c r="AL1297">
        <v>50.006120000000003</v>
      </c>
      <c r="AM1297">
        <v>-49.994399999999992</v>
      </c>
      <c r="AN1297">
        <f>IF(ABS(MAX(AI1297:AI1303)) &gt; ABS(MIN(AI1297:AI1303)),MAX(AI1297:AI1303), MIN(AI1297:AI1303))</f>
        <v>50.018650000000001</v>
      </c>
      <c r="AO1297">
        <f>IF(ABS(AN1298)&gt;ABS(AN1297),AN1298,AN1297)</f>
        <v>50.018650000000001</v>
      </c>
    </row>
    <row r="1298" spans="1:41" x14ac:dyDescent="0.35">
      <c r="A1298" t="s">
        <v>270</v>
      </c>
      <c r="B1298" t="s">
        <v>1111</v>
      </c>
      <c r="C1298" t="s">
        <v>1606</v>
      </c>
      <c r="D1298">
        <v>50</v>
      </c>
      <c r="E1298">
        <v>50</v>
      </c>
      <c r="F1298">
        <v>-0.5</v>
      </c>
      <c r="G1298">
        <v>-0.50029000000000001</v>
      </c>
      <c r="H1298">
        <v>49.998437500000001</v>
      </c>
      <c r="J1298">
        <v>-1</v>
      </c>
      <c r="N1298" t="s">
        <v>190</v>
      </c>
      <c r="O1298">
        <f t="shared" si="60"/>
        <v>29.988399999999999</v>
      </c>
      <c r="P1298">
        <f t="shared" si="61"/>
        <v>25.012546875000005</v>
      </c>
      <c r="Q1298">
        <f t="shared" si="62"/>
        <v>25.012546875000005</v>
      </c>
      <c r="Y1298">
        <f>TREND(H1297:H1301,G1297:G1301,G1298)</f>
        <v>49.998437500000001</v>
      </c>
      <c r="Z1298">
        <f>ABS((Y1298-H1298)/80*100)</f>
        <v>0</v>
      </c>
      <c r="AB1298">
        <f>IF(ABS(T1297) &gt; ABS(V1297),T1297,V1297)</f>
        <v>-50.00400312499999</v>
      </c>
      <c r="AH1298">
        <f>H1298-AG1262</f>
        <v>50.006120000000003</v>
      </c>
      <c r="AI1298">
        <f>100*(AH1298-O1298)/80</f>
        <v>25.022150000000003</v>
      </c>
      <c r="AN1298">
        <f>IF(ABS(AK1297) &gt; ABS(AM1297),AK1297,AM1297)</f>
        <v>-49.994399999999992</v>
      </c>
    </row>
    <row r="1299" spans="1:41" x14ac:dyDescent="0.35">
      <c r="A1299" t="s">
        <v>270</v>
      </c>
      <c r="B1299" t="s">
        <v>1111</v>
      </c>
      <c r="C1299" t="s">
        <v>1644</v>
      </c>
      <c r="D1299">
        <v>50</v>
      </c>
      <c r="E1299">
        <v>50</v>
      </c>
      <c r="F1299">
        <v>0</v>
      </c>
      <c r="G1299">
        <v>2.5599999999999999E-4</v>
      </c>
      <c r="H1299">
        <v>49.998437500000001</v>
      </c>
      <c r="J1299">
        <v>-1</v>
      </c>
      <c r="N1299" t="s">
        <v>190</v>
      </c>
      <c r="O1299">
        <f t="shared" si="60"/>
        <v>50.010240000000003</v>
      </c>
      <c r="P1299">
        <f t="shared" si="61"/>
        <v>-1.4753125000002143E-2</v>
      </c>
      <c r="Q1299">
        <f t="shared" si="62"/>
        <v>1.4753125000002143E-2</v>
      </c>
      <c r="Y1299">
        <f>TREND(H1297:H1301,G1297:G1301,G1299)</f>
        <v>49.998437500000001</v>
      </c>
      <c r="Z1299">
        <f>ABS((Y1299-H1299)/80*100)</f>
        <v>0</v>
      </c>
      <c r="AH1299">
        <f>H1299-AG1262</f>
        <v>50.006120000000003</v>
      </c>
      <c r="AI1299">
        <f>100*(AH1299-O1299)/80</f>
        <v>-5.150000000000432E-3</v>
      </c>
    </row>
    <row r="1300" spans="1:41" x14ac:dyDescent="0.35">
      <c r="A1300" t="s">
        <v>270</v>
      </c>
      <c r="B1300" t="s">
        <v>1111</v>
      </c>
      <c r="C1300" t="s">
        <v>1680</v>
      </c>
      <c r="D1300">
        <v>50</v>
      </c>
      <c r="E1300">
        <v>50</v>
      </c>
      <c r="F1300">
        <v>0.5</v>
      </c>
      <c r="G1300">
        <v>0.49988500000000002</v>
      </c>
      <c r="H1300">
        <v>49.998437500000001</v>
      </c>
      <c r="J1300">
        <v>-1</v>
      </c>
      <c r="N1300" t="s">
        <v>190</v>
      </c>
      <c r="O1300">
        <f t="shared" si="60"/>
        <v>69.995399999999989</v>
      </c>
      <c r="P1300">
        <f t="shared" si="61"/>
        <v>-24.996203124999987</v>
      </c>
      <c r="Q1300">
        <f t="shared" si="62"/>
        <v>24.996203124999987</v>
      </c>
      <c r="Y1300">
        <f>TREND(H1297:H1301,G1297:G1301,G1300)</f>
        <v>49.998437500000001</v>
      </c>
      <c r="Z1300">
        <f>ABS((Y1300-H1300)/80*100)</f>
        <v>0</v>
      </c>
      <c r="AH1300">
        <f>H1300-AG1262</f>
        <v>50.006120000000003</v>
      </c>
      <c r="AI1300">
        <f>100*(AH1300-O1300)/80</f>
        <v>-24.986599999999985</v>
      </c>
    </row>
    <row r="1301" spans="1:41" x14ac:dyDescent="0.35">
      <c r="A1301" t="s">
        <v>270</v>
      </c>
      <c r="B1301" t="s">
        <v>1111</v>
      </c>
      <c r="C1301" t="s">
        <v>1717</v>
      </c>
      <c r="D1301">
        <v>50</v>
      </c>
      <c r="E1301">
        <v>50</v>
      </c>
      <c r="F1301">
        <v>1</v>
      </c>
      <c r="G1301">
        <v>1.000041</v>
      </c>
      <c r="H1301">
        <v>49.998437500000001</v>
      </c>
      <c r="J1301">
        <v>-1</v>
      </c>
      <c r="N1301" t="s">
        <v>190</v>
      </c>
      <c r="O1301">
        <f t="shared" si="60"/>
        <v>90.001639999999995</v>
      </c>
      <c r="P1301">
        <f t="shared" si="61"/>
        <v>-50.00400312499999</v>
      </c>
      <c r="Q1301">
        <f t="shared" si="62"/>
        <v>50.00400312499999</v>
      </c>
      <c r="Y1301">
        <f>TREND(H1297:H1301,G1297:G1301,G1301)</f>
        <v>49.998437500000001</v>
      </c>
      <c r="Z1301">
        <f>ABS((Y1301-H1301)/80*100)</f>
        <v>0</v>
      </c>
      <c r="AH1301">
        <f>H1301-AG1262</f>
        <v>50.006120000000003</v>
      </c>
      <c r="AI1301">
        <f>100*(AH1301-O1301)/80</f>
        <v>-49.994399999999992</v>
      </c>
    </row>
    <row r="1302" spans="1:41" x14ac:dyDescent="0.35">
      <c r="A1302" t="s">
        <v>270</v>
      </c>
      <c r="B1302" t="s">
        <v>1111</v>
      </c>
      <c r="C1302" t="s">
        <v>1754</v>
      </c>
      <c r="D1302">
        <v>50</v>
      </c>
      <c r="E1302">
        <v>50</v>
      </c>
      <c r="F1302">
        <v>0</v>
      </c>
      <c r="G1302">
        <v>5.7000000000000003E-5</v>
      </c>
      <c r="H1302">
        <v>49.998437500000001</v>
      </c>
      <c r="J1302">
        <v>-1</v>
      </c>
      <c r="N1302" t="s">
        <v>190</v>
      </c>
      <c r="O1302">
        <f t="shared" si="60"/>
        <v>50.002279999999999</v>
      </c>
      <c r="P1302">
        <f t="shared" si="61"/>
        <v>-4.8031249999969106E-3</v>
      </c>
      <c r="Q1302">
        <f t="shared" si="62"/>
        <v>4.8031249999969106E-3</v>
      </c>
      <c r="Y1302">
        <f>TREND(H1297:H1301,G1297:G1301,G1302)</f>
        <v>49.998437500000001</v>
      </c>
      <c r="Z1302">
        <f>ABS((Y1302-H1302)/80*100)</f>
        <v>0</v>
      </c>
      <c r="AH1302">
        <f>H1302-AG1262</f>
        <v>50.006120000000003</v>
      </c>
      <c r="AI1302">
        <f>100*(AH1302-O1302)/80</f>
        <v>4.8000000000048004E-3</v>
      </c>
    </row>
    <row r="1303" spans="1:41" x14ac:dyDescent="0.35">
      <c r="A1303" t="s">
        <v>270</v>
      </c>
      <c r="B1303" t="s">
        <v>1111</v>
      </c>
      <c r="C1303" t="s">
        <v>1790</v>
      </c>
      <c r="D1303">
        <v>50</v>
      </c>
      <c r="E1303">
        <v>50</v>
      </c>
      <c r="F1303">
        <v>-1</v>
      </c>
      <c r="G1303">
        <v>-1.000111</v>
      </c>
      <c r="H1303">
        <v>49.998437500000001</v>
      </c>
      <c r="J1303">
        <v>-1</v>
      </c>
      <c r="N1303" t="s">
        <v>190</v>
      </c>
      <c r="O1303">
        <f t="shared" si="60"/>
        <v>9.9955600000000011</v>
      </c>
      <c r="P1303">
        <f t="shared" si="61"/>
        <v>50.003596874999992</v>
      </c>
      <c r="Q1303">
        <f t="shared" si="62"/>
        <v>50.003596874999992</v>
      </c>
      <c r="Y1303">
        <f>TREND(H1297:H1301,G1297:G1301,G1303)</f>
        <v>49.998437500000001</v>
      </c>
      <c r="Z1303">
        <f>ABS((Y1303-H1303)/80*100)</f>
        <v>0</v>
      </c>
      <c r="AH1303">
        <f>H1303-AG1262</f>
        <v>50.006120000000003</v>
      </c>
      <c r="AI1303">
        <f>100*(AH1303-O1303)/80</f>
        <v>50.013199999999998</v>
      </c>
    </row>
    <row r="1304" spans="1:41" x14ac:dyDescent="0.35">
      <c r="A1304" t="s">
        <v>270</v>
      </c>
      <c r="B1304" t="s">
        <v>1111</v>
      </c>
      <c r="C1304" t="s">
        <v>1828</v>
      </c>
      <c r="D1304">
        <v>70</v>
      </c>
      <c r="E1304">
        <v>70</v>
      </c>
      <c r="F1304">
        <v>-1</v>
      </c>
      <c r="G1304">
        <v>-0.99990999999999997</v>
      </c>
      <c r="H1304">
        <v>49.998437500000001</v>
      </c>
      <c r="J1304">
        <v>-1</v>
      </c>
      <c r="N1304" t="s">
        <v>190</v>
      </c>
      <c r="O1304">
        <f t="shared" si="60"/>
        <v>10.003600000000002</v>
      </c>
      <c r="P1304">
        <f t="shared" si="61"/>
        <v>49.993546875000007</v>
      </c>
      <c r="Q1304">
        <f t="shared" si="62"/>
        <v>49.993546875000007</v>
      </c>
      <c r="S1304">
        <v>49.998437500000001</v>
      </c>
      <c r="T1304">
        <v>-2.103124999992545E-3</v>
      </c>
      <c r="U1304">
        <v>49.998437500000001</v>
      </c>
      <c r="V1304">
        <v>-50.005053124999989</v>
      </c>
      <c r="W1304">
        <v>-1.5258789076710855E-6</v>
      </c>
      <c r="X1304">
        <f>(W1304-80)/80*100</f>
        <v>-100.00000190734863</v>
      </c>
      <c r="Y1304">
        <f>TREND(H1304:H1308,G1304:G1308,G1304)</f>
        <v>49.998437500000001</v>
      </c>
      <c r="Z1304">
        <f>ABS((Y1304-H1304)/80*100)</f>
        <v>0</v>
      </c>
      <c r="AA1304">
        <f>MAX(Z1304:Z1308)</f>
        <v>0</v>
      </c>
      <c r="AB1304">
        <f>IF(ABS(MAX(P1304:P1310)) &gt; ABS(MIN(P1304:P1310)),MAX(P1304:P1310), MIN(P1304:P1310))</f>
        <v>-50.005053124999989</v>
      </c>
      <c r="AC1304">
        <f>IF(ABS(AB1305)&gt;ABS(AB1304),AB1305,AB1304)</f>
        <v>-50.005053124999989</v>
      </c>
      <c r="AH1304">
        <f>H1304-AG1262</f>
        <v>50.006120000000003</v>
      </c>
      <c r="AI1304">
        <f>100*(AH1304-O1304)/80</f>
        <v>50.003150000000005</v>
      </c>
      <c r="AJ1304">
        <v>50.006120000000003</v>
      </c>
      <c r="AK1304">
        <v>7.500000000009166E-3</v>
      </c>
      <c r="AL1304">
        <v>50.006120000000003</v>
      </c>
      <c r="AM1304">
        <v>-49.995449999999991</v>
      </c>
      <c r="AN1304">
        <f>IF(ABS(MAX(AI1304:AI1310)) &gt; ABS(MIN(AI1304:AI1310)),MAX(AI1304:AI1310), MIN(AI1304:AI1310))</f>
        <v>50.007950000000001</v>
      </c>
      <c r="AO1304">
        <f>IF(ABS(AN1305)&gt;ABS(AN1304),AN1305,AN1304)</f>
        <v>50.007950000000001</v>
      </c>
    </row>
    <row r="1305" spans="1:41" x14ac:dyDescent="0.35">
      <c r="A1305" t="s">
        <v>270</v>
      </c>
      <c r="B1305" t="s">
        <v>1111</v>
      </c>
      <c r="C1305" t="s">
        <v>1865</v>
      </c>
      <c r="D1305">
        <v>70</v>
      </c>
      <c r="E1305">
        <v>70</v>
      </c>
      <c r="F1305">
        <v>-0.5</v>
      </c>
      <c r="G1305">
        <v>-0.50016499999999997</v>
      </c>
      <c r="H1305">
        <v>49.998437500000001</v>
      </c>
      <c r="J1305">
        <v>-1</v>
      </c>
      <c r="N1305" t="s">
        <v>190</v>
      </c>
      <c r="O1305">
        <f t="shared" si="60"/>
        <v>29.993400000000001</v>
      </c>
      <c r="P1305">
        <f t="shared" si="61"/>
        <v>25.006296875</v>
      </c>
      <c r="Q1305">
        <f t="shared" si="62"/>
        <v>25.006296875</v>
      </c>
      <c r="Y1305">
        <f>TREND(H1304:H1308,G1304:G1308,G1305)</f>
        <v>49.998437500000001</v>
      </c>
      <c r="Z1305">
        <f>ABS((Y1305-H1305)/80*100)</f>
        <v>0</v>
      </c>
      <c r="AB1305">
        <f>IF(ABS(T1304) &gt; ABS(V1304),T1304,V1304)</f>
        <v>-50.005053124999989</v>
      </c>
      <c r="AH1305">
        <f>H1305-AG1262</f>
        <v>50.006120000000003</v>
      </c>
      <c r="AI1305">
        <f>100*(AH1305-O1305)/80</f>
        <v>25.015900000000002</v>
      </c>
      <c r="AN1305">
        <f>IF(ABS(AK1304) &gt; ABS(AM1304),AK1304,AM1304)</f>
        <v>-49.995449999999991</v>
      </c>
    </row>
    <row r="1306" spans="1:41" x14ac:dyDescent="0.35">
      <c r="A1306" t="s">
        <v>270</v>
      </c>
      <c r="B1306" t="s">
        <v>1111</v>
      </c>
      <c r="C1306" t="s">
        <v>1901</v>
      </c>
      <c r="D1306">
        <v>70</v>
      </c>
      <c r="E1306">
        <v>70</v>
      </c>
      <c r="F1306">
        <v>0</v>
      </c>
      <c r="G1306">
        <v>3.0000000000000001E-6</v>
      </c>
      <c r="H1306">
        <v>49.998437500000001</v>
      </c>
      <c r="J1306">
        <v>-1</v>
      </c>
      <c r="N1306" t="s">
        <v>190</v>
      </c>
      <c r="O1306">
        <f t="shared" si="60"/>
        <v>50.000119999999995</v>
      </c>
      <c r="P1306">
        <f t="shared" si="61"/>
        <v>-2.103124999992545E-3</v>
      </c>
      <c r="Q1306">
        <f t="shared" si="62"/>
        <v>2.103124999992545E-3</v>
      </c>
      <c r="Y1306">
        <f>TREND(H1304:H1308,G1304:G1308,G1306)</f>
        <v>49.998437500000001</v>
      </c>
      <c r="Z1306">
        <f>ABS((Y1306-H1306)/80*100)</f>
        <v>0</v>
      </c>
      <c r="AH1306">
        <f>H1306-AG1262</f>
        <v>50.006120000000003</v>
      </c>
      <c r="AI1306">
        <f>100*(AH1306-O1306)/80</f>
        <v>7.500000000009166E-3</v>
      </c>
    </row>
    <row r="1307" spans="1:41" x14ac:dyDescent="0.35">
      <c r="A1307" t="s">
        <v>270</v>
      </c>
      <c r="B1307" t="s">
        <v>1111</v>
      </c>
      <c r="C1307" t="s">
        <v>1937</v>
      </c>
      <c r="D1307">
        <v>70</v>
      </c>
      <c r="E1307">
        <v>70</v>
      </c>
      <c r="F1307">
        <v>0.5</v>
      </c>
      <c r="G1307">
        <v>0.49987300000000001</v>
      </c>
      <c r="H1307">
        <v>49.998437500000001</v>
      </c>
      <c r="J1307">
        <v>-1</v>
      </c>
      <c r="N1307" t="s">
        <v>190</v>
      </c>
      <c r="O1307">
        <f t="shared" si="60"/>
        <v>69.994920000000008</v>
      </c>
      <c r="P1307">
        <f t="shared" si="61"/>
        <v>-24.995603125000009</v>
      </c>
      <c r="Q1307">
        <f t="shared" si="62"/>
        <v>24.995603125000009</v>
      </c>
      <c r="Y1307">
        <f>TREND(H1304:H1308,G1304:G1308,G1307)</f>
        <v>49.998437500000001</v>
      </c>
      <c r="Z1307">
        <f>ABS((Y1307-H1307)/80*100)</f>
        <v>0</v>
      </c>
      <c r="AH1307">
        <f>H1307-AG1262</f>
        <v>50.006120000000003</v>
      </c>
      <c r="AI1307">
        <f>100*(AH1307-O1307)/80</f>
        <v>-24.986000000000008</v>
      </c>
    </row>
    <row r="1308" spans="1:41" x14ac:dyDescent="0.35">
      <c r="A1308" t="s">
        <v>270</v>
      </c>
      <c r="B1308" t="s">
        <v>1111</v>
      </c>
      <c r="C1308" t="s">
        <v>1974</v>
      </c>
      <c r="D1308">
        <v>70</v>
      </c>
      <c r="E1308">
        <v>70</v>
      </c>
      <c r="F1308">
        <v>1</v>
      </c>
      <c r="G1308">
        <v>1.000062</v>
      </c>
      <c r="H1308">
        <v>49.998437500000001</v>
      </c>
      <c r="J1308">
        <v>-1</v>
      </c>
      <c r="N1308" t="s">
        <v>190</v>
      </c>
      <c r="O1308">
        <f t="shared" si="60"/>
        <v>90.002479999999991</v>
      </c>
      <c r="P1308">
        <f t="shared" si="61"/>
        <v>-50.005053124999989</v>
      </c>
      <c r="Q1308">
        <f t="shared" si="62"/>
        <v>50.005053124999989</v>
      </c>
      <c r="Y1308">
        <f>TREND(H1304:H1308,G1304:G1308,G1308)</f>
        <v>49.998437500000001</v>
      </c>
      <c r="Z1308">
        <f>ABS((Y1308-H1308)/80*100)</f>
        <v>0</v>
      </c>
      <c r="AH1308">
        <f>H1308-AG1262</f>
        <v>50.006120000000003</v>
      </c>
      <c r="AI1308">
        <f>100*(AH1308-O1308)/80</f>
        <v>-49.995449999999991</v>
      </c>
    </row>
    <row r="1309" spans="1:41" x14ac:dyDescent="0.35">
      <c r="A1309" t="s">
        <v>270</v>
      </c>
      <c r="B1309" t="s">
        <v>1111</v>
      </c>
      <c r="C1309" t="s">
        <v>2010</v>
      </c>
      <c r="D1309">
        <v>70</v>
      </c>
      <c r="E1309">
        <v>70</v>
      </c>
      <c r="F1309">
        <v>0</v>
      </c>
      <c r="G1309">
        <v>6.8999999999999997E-5</v>
      </c>
      <c r="H1309">
        <v>49.998437500000001</v>
      </c>
      <c r="J1309">
        <v>-1</v>
      </c>
      <c r="N1309" t="s">
        <v>190</v>
      </c>
      <c r="O1309">
        <f t="shared" si="60"/>
        <v>50.002760000000002</v>
      </c>
      <c r="P1309">
        <f t="shared" si="61"/>
        <v>-5.4031250000008413E-3</v>
      </c>
      <c r="Q1309">
        <f t="shared" si="62"/>
        <v>5.4031250000008413E-3</v>
      </c>
      <c r="Y1309">
        <f>TREND(H1304:H1308,G1304:G1308,G1309)</f>
        <v>49.998437500000001</v>
      </c>
      <c r="Z1309">
        <f>ABS((Y1309-H1309)/80*100)</f>
        <v>0</v>
      </c>
      <c r="AH1309">
        <f>H1309-AG1262</f>
        <v>50.006120000000003</v>
      </c>
      <c r="AI1309">
        <f>100*(AH1309-O1309)/80</f>
        <v>4.2000000000008697E-3</v>
      </c>
    </row>
    <row r="1310" spans="1:41" x14ac:dyDescent="0.35">
      <c r="A1310" t="s">
        <v>270</v>
      </c>
      <c r="B1310" t="s">
        <v>1111</v>
      </c>
      <c r="C1310" t="s">
        <v>2047</v>
      </c>
      <c r="D1310">
        <v>70</v>
      </c>
      <c r="E1310">
        <v>70</v>
      </c>
      <c r="F1310">
        <v>-1</v>
      </c>
      <c r="G1310">
        <v>-1.000006</v>
      </c>
      <c r="H1310">
        <v>49.998437500000001</v>
      </c>
      <c r="J1310">
        <v>-1</v>
      </c>
      <c r="N1310" t="s">
        <v>190</v>
      </c>
      <c r="O1310">
        <f t="shared" si="60"/>
        <v>9.999760000000002</v>
      </c>
      <c r="P1310">
        <f t="shared" si="61"/>
        <v>49.998346874999996</v>
      </c>
      <c r="Q1310">
        <f t="shared" si="62"/>
        <v>49.998346874999996</v>
      </c>
      <c r="Y1310">
        <f>TREND(H1304:H1308,G1304:G1308,G1310)</f>
        <v>49.998437500000001</v>
      </c>
      <c r="Z1310">
        <f>ABS((Y1310-H1310)/80*100)</f>
        <v>0</v>
      </c>
      <c r="AH1310">
        <f>H1310-AG1262</f>
        <v>50.006120000000003</v>
      </c>
      <c r="AI1310">
        <f>100*(AH1310-O1310)/80</f>
        <v>50.007950000000001</v>
      </c>
    </row>
    <row r="1311" spans="1:41" x14ac:dyDescent="0.35">
      <c r="A1311" t="s">
        <v>270</v>
      </c>
      <c r="B1311" t="s">
        <v>1111</v>
      </c>
      <c r="C1311" t="s">
        <v>2083</v>
      </c>
      <c r="D1311">
        <v>85</v>
      </c>
      <c r="E1311">
        <v>85</v>
      </c>
      <c r="F1311">
        <v>-1</v>
      </c>
      <c r="G1311">
        <v>-1</v>
      </c>
      <c r="H1311">
        <v>49.998437500000001</v>
      </c>
      <c r="J1311">
        <v>-1</v>
      </c>
      <c r="N1311" t="s">
        <v>190</v>
      </c>
      <c r="O1311">
        <f t="shared" si="60"/>
        <v>10</v>
      </c>
      <c r="P1311">
        <f t="shared" si="61"/>
        <v>49.998046875</v>
      </c>
      <c r="Q1311">
        <f t="shared" si="62"/>
        <v>49.998046875</v>
      </c>
      <c r="S1311">
        <v>49.998437500000001</v>
      </c>
      <c r="T1311">
        <v>-9.9531249999973426E-3</v>
      </c>
      <c r="U1311">
        <v>49.998437500000001</v>
      </c>
      <c r="V1311">
        <v>-49.996703124999996</v>
      </c>
      <c r="W1311">
        <v>-1.5258789076710855E-6</v>
      </c>
      <c r="X1311">
        <f>(W1311-80)/80*100</f>
        <v>-100.00000190734863</v>
      </c>
      <c r="Y1311">
        <f>TREND(H1311:H1315,G1311:G1315,G1311)</f>
        <v>49.998437500000001</v>
      </c>
      <c r="Z1311">
        <f>ABS((Y1311-H1311)/80*100)</f>
        <v>0</v>
      </c>
      <c r="AA1311">
        <f>MAX(Z1311:Z1315)</f>
        <v>0</v>
      </c>
      <c r="AB1311">
        <f>IF(ABS(MAX(P1311:P1317)) &gt; ABS(MIN(P1311:P1317)),MAX(P1311:P1317), MIN(P1311:P1317))</f>
        <v>50.023146875000002</v>
      </c>
      <c r="AC1311">
        <f>IF(ABS(AB1312)&gt;ABS(AB1311),AB1312,AB1311)</f>
        <v>50.023146875000002</v>
      </c>
      <c r="AH1311">
        <f>H1311-AG1262</f>
        <v>50.006120000000003</v>
      </c>
      <c r="AI1311">
        <f>100*(AH1311-O1311)/80</f>
        <v>50.007649999999998</v>
      </c>
      <c r="AJ1311">
        <v>50.006120000000003</v>
      </c>
      <c r="AK1311">
        <v>-3.4999999999563158E-4</v>
      </c>
      <c r="AL1311">
        <v>50.006120000000003</v>
      </c>
      <c r="AM1311">
        <v>-49.987099999999998</v>
      </c>
      <c r="AN1311">
        <f>IF(ABS(MAX(AI1311:AI1317)) &gt; ABS(MIN(AI1311:AI1317)),MAX(AI1311:AI1317), MIN(AI1311:AI1317))</f>
        <v>50.032750000000007</v>
      </c>
      <c r="AO1311">
        <f>IF(ABS(AN1312)&gt;ABS(AN1311),AN1312,AN1311)</f>
        <v>50.032750000000007</v>
      </c>
    </row>
    <row r="1312" spans="1:41" x14ac:dyDescent="0.35">
      <c r="A1312" t="s">
        <v>270</v>
      </c>
      <c r="B1312" t="s">
        <v>1111</v>
      </c>
      <c r="C1312" t="s">
        <v>2119</v>
      </c>
      <c r="D1312">
        <v>85</v>
      </c>
      <c r="E1312">
        <v>85</v>
      </c>
      <c r="F1312">
        <v>-0.5</v>
      </c>
      <c r="G1312">
        <v>-0.49984000000000001</v>
      </c>
      <c r="H1312">
        <v>49.998437500000001</v>
      </c>
      <c r="J1312">
        <v>-1</v>
      </c>
      <c r="N1312" t="s">
        <v>190</v>
      </c>
      <c r="O1312">
        <f t="shared" si="60"/>
        <v>30.006399999999999</v>
      </c>
      <c r="P1312">
        <f t="shared" si="61"/>
        <v>24.990046875000001</v>
      </c>
      <c r="Q1312">
        <f t="shared" si="62"/>
        <v>24.990046875000001</v>
      </c>
      <c r="Y1312">
        <f>TREND(H1311:H1315,G1311:G1315,G1312)</f>
        <v>49.998437500000001</v>
      </c>
      <c r="Z1312">
        <f>ABS((Y1312-H1312)/80*100)</f>
        <v>0</v>
      </c>
      <c r="AB1312">
        <f>IF(ABS(T1311) &gt; ABS(V1311),T1311,V1311)</f>
        <v>-49.996703124999996</v>
      </c>
      <c r="AH1312">
        <f>H1312-AG1262</f>
        <v>50.006120000000003</v>
      </c>
      <c r="AI1312">
        <f>100*(AH1312-O1312)/80</f>
        <v>24.999650000000006</v>
      </c>
      <c r="AN1312">
        <f>IF(ABS(AK1311) &gt; ABS(AM1311),AK1311,AM1311)</f>
        <v>-49.987099999999998</v>
      </c>
    </row>
    <row r="1313" spans="1:41" x14ac:dyDescent="0.35">
      <c r="A1313" t="s">
        <v>270</v>
      </c>
      <c r="B1313" t="s">
        <v>1111</v>
      </c>
      <c r="C1313" t="s">
        <v>2155</v>
      </c>
      <c r="D1313">
        <v>85</v>
      </c>
      <c r="E1313">
        <v>85</v>
      </c>
      <c r="F1313">
        <v>0</v>
      </c>
      <c r="G1313">
        <v>1.6000000000000001E-4</v>
      </c>
      <c r="H1313">
        <v>49.998437500000001</v>
      </c>
      <c r="J1313">
        <v>-1</v>
      </c>
      <c r="N1313" t="s">
        <v>190</v>
      </c>
      <c r="O1313">
        <f t="shared" si="60"/>
        <v>50.006399999999999</v>
      </c>
      <c r="P1313">
        <f t="shared" si="61"/>
        <v>-9.9531249999973426E-3</v>
      </c>
      <c r="Q1313">
        <f t="shared" si="62"/>
        <v>9.9531249999973426E-3</v>
      </c>
      <c r="Y1313">
        <f>TREND(H1311:H1315,G1311:G1315,G1313)</f>
        <v>49.998437500000001</v>
      </c>
      <c r="Z1313">
        <f>ABS((Y1313-H1313)/80*100)</f>
        <v>0</v>
      </c>
      <c r="AH1313">
        <f>H1313-AG1262</f>
        <v>50.006120000000003</v>
      </c>
      <c r="AI1313">
        <f>100*(AH1313-O1313)/80</f>
        <v>-3.4999999999563158E-4</v>
      </c>
    </row>
    <row r="1314" spans="1:41" x14ac:dyDescent="0.35">
      <c r="A1314" t="s">
        <v>270</v>
      </c>
      <c r="B1314" t="s">
        <v>1111</v>
      </c>
      <c r="C1314" t="s">
        <v>2193</v>
      </c>
      <c r="D1314">
        <v>85</v>
      </c>
      <c r="E1314">
        <v>85</v>
      </c>
      <c r="F1314">
        <v>0.5</v>
      </c>
      <c r="G1314">
        <v>0.49989099999999997</v>
      </c>
      <c r="H1314">
        <v>49.998437500000001</v>
      </c>
      <c r="J1314">
        <v>-1</v>
      </c>
      <c r="N1314" t="s">
        <v>190</v>
      </c>
      <c r="O1314">
        <f t="shared" si="60"/>
        <v>69.995639999999995</v>
      </c>
      <c r="P1314">
        <f t="shared" si="61"/>
        <v>-24.996503124999993</v>
      </c>
      <c r="Q1314">
        <f t="shared" si="62"/>
        <v>24.996503124999993</v>
      </c>
      <c r="Y1314">
        <f>TREND(H1311:H1315,G1311:G1315,G1314)</f>
        <v>49.998437500000001</v>
      </c>
      <c r="Z1314">
        <f>ABS((Y1314-H1314)/80*100)</f>
        <v>0</v>
      </c>
      <c r="AH1314">
        <f>H1314-AG1262</f>
        <v>50.006120000000003</v>
      </c>
      <c r="AI1314">
        <f>100*(AH1314-O1314)/80</f>
        <v>-24.986899999999988</v>
      </c>
    </row>
    <row r="1315" spans="1:41" x14ac:dyDescent="0.35">
      <c r="A1315" t="s">
        <v>270</v>
      </c>
      <c r="B1315" t="s">
        <v>1111</v>
      </c>
      <c r="C1315" t="s">
        <v>2229</v>
      </c>
      <c r="D1315">
        <v>85</v>
      </c>
      <c r="E1315">
        <v>85</v>
      </c>
      <c r="F1315">
        <v>1</v>
      </c>
      <c r="G1315">
        <v>0.99989499999999998</v>
      </c>
      <c r="H1315">
        <v>49.998437500000001</v>
      </c>
      <c r="J1315">
        <v>-1</v>
      </c>
      <c r="N1315" t="s">
        <v>190</v>
      </c>
      <c r="O1315">
        <f t="shared" si="60"/>
        <v>89.995800000000003</v>
      </c>
      <c r="P1315">
        <f t="shared" si="61"/>
        <v>-49.996703124999996</v>
      </c>
      <c r="Q1315">
        <f t="shared" si="62"/>
        <v>49.996703124999996</v>
      </c>
      <c r="Y1315">
        <f>TREND(H1311:H1315,G1311:G1315,G1315)</f>
        <v>49.998437500000001</v>
      </c>
      <c r="Z1315">
        <f>ABS((Y1315-H1315)/80*100)</f>
        <v>0</v>
      </c>
      <c r="AH1315">
        <f>H1315-AG1262</f>
        <v>50.006120000000003</v>
      </c>
      <c r="AI1315">
        <f>100*(AH1315-O1315)/80</f>
        <v>-49.987099999999998</v>
      </c>
    </row>
    <row r="1316" spans="1:41" x14ac:dyDescent="0.35">
      <c r="A1316" t="s">
        <v>270</v>
      </c>
      <c r="B1316" t="s">
        <v>1111</v>
      </c>
      <c r="C1316" t="s">
        <v>2265</v>
      </c>
      <c r="D1316">
        <v>85</v>
      </c>
      <c r="E1316">
        <v>85</v>
      </c>
      <c r="F1316">
        <v>0</v>
      </c>
      <c r="G1316">
        <v>-2.5999999999999998E-5</v>
      </c>
      <c r="H1316">
        <v>49.998437500000001</v>
      </c>
      <c r="J1316">
        <v>-1</v>
      </c>
      <c r="N1316" t="s">
        <v>190</v>
      </c>
      <c r="O1316">
        <f t="shared" si="60"/>
        <v>49.998960000000004</v>
      </c>
      <c r="P1316">
        <f t="shared" si="61"/>
        <v>-6.5312500000302975E-4</v>
      </c>
      <c r="Q1316">
        <f t="shared" si="62"/>
        <v>6.5312500000302975E-4</v>
      </c>
      <c r="Y1316">
        <f>TREND(H1311:H1315,G1311:G1315,G1316)</f>
        <v>49.998437500000001</v>
      </c>
      <c r="Z1316">
        <f>ABS((Y1316-H1316)/80*100)</f>
        <v>0</v>
      </c>
      <c r="AH1316">
        <f>H1316-AG1262</f>
        <v>50.006120000000003</v>
      </c>
      <c r="AI1316">
        <f>100*(AH1316-O1316)/80</f>
        <v>8.9499999999986812E-3</v>
      </c>
    </row>
    <row r="1317" spans="1:41" x14ac:dyDescent="0.35">
      <c r="A1317" t="s">
        <v>270</v>
      </c>
      <c r="B1317" t="s">
        <v>1111</v>
      </c>
      <c r="C1317" t="s">
        <v>2302</v>
      </c>
      <c r="D1317">
        <v>85</v>
      </c>
      <c r="E1317">
        <v>85</v>
      </c>
      <c r="F1317">
        <v>-1</v>
      </c>
      <c r="G1317">
        <v>-1.000502</v>
      </c>
      <c r="H1317">
        <v>49.998437500000001</v>
      </c>
      <c r="J1317">
        <v>-1</v>
      </c>
      <c r="N1317" t="s">
        <v>190</v>
      </c>
      <c r="O1317">
        <f t="shared" si="60"/>
        <v>9.9799199999999999</v>
      </c>
      <c r="P1317">
        <f t="shared" si="61"/>
        <v>50.023146875000002</v>
      </c>
      <c r="Q1317">
        <f t="shared" si="62"/>
        <v>50.023146875000002</v>
      </c>
      <c r="Y1317">
        <f>TREND(H1311:H1315,G1311:G1315,G1317)</f>
        <v>49.998437500000001</v>
      </c>
      <c r="Z1317">
        <f>ABS((Y1317-H1317)/80*100)</f>
        <v>0</v>
      </c>
      <c r="AH1317">
        <f>H1317-AG1262</f>
        <v>50.006120000000003</v>
      </c>
      <c r="AI1317">
        <f>100*(AH1317-O1317)/80</f>
        <v>50.032750000000007</v>
      </c>
    </row>
    <row r="1318" spans="1:41" x14ac:dyDescent="0.35">
      <c r="A1318" t="s">
        <v>270</v>
      </c>
      <c r="B1318" t="s">
        <v>1111</v>
      </c>
      <c r="C1318" t="s">
        <v>2339</v>
      </c>
      <c r="D1318">
        <v>25</v>
      </c>
      <c r="E1318">
        <v>25</v>
      </c>
      <c r="F1318">
        <v>-1</v>
      </c>
      <c r="G1318">
        <v>-1.000248</v>
      </c>
      <c r="H1318">
        <v>49.998437500000001</v>
      </c>
      <c r="J1318">
        <v>-1</v>
      </c>
      <c r="N1318" t="s">
        <v>190</v>
      </c>
      <c r="O1318">
        <f t="shared" si="60"/>
        <v>9.990079999999999</v>
      </c>
      <c r="P1318">
        <f t="shared" si="61"/>
        <v>50.010446875</v>
      </c>
      <c r="Q1318">
        <f t="shared" si="62"/>
        <v>50.010446875</v>
      </c>
      <c r="S1318">
        <v>49.998437500000001</v>
      </c>
      <c r="T1318">
        <v>6.7968750000080291E-3</v>
      </c>
      <c r="U1318">
        <v>49.998437500000001</v>
      </c>
      <c r="V1318">
        <v>-50.022053125000021</v>
      </c>
      <c r="W1318">
        <v>-1.5258789076710855E-6</v>
      </c>
      <c r="X1318">
        <f>(W1318-80)/80*100</f>
        <v>-100.00000190734863</v>
      </c>
      <c r="Y1318">
        <f>TREND(H1318:H1322,G1318:G1322,G1318)</f>
        <v>49.998437500000001</v>
      </c>
      <c r="Z1318">
        <f>ABS((Y1318-H1318)/80*100)</f>
        <v>0</v>
      </c>
      <c r="AA1318">
        <f>MAX(Z1318:Z1322)</f>
        <v>0</v>
      </c>
      <c r="AB1318">
        <f>IF(ABS(MAX(P1318:P1324)) &gt; ABS(MIN(P1318:P1324)),MAX(P1318:P1324), MIN(P1318:P1324))</f>
        <v>-50.022053125000021</v>
      </c>
      <c r="AC1318">
        <f>IF(ABS(AB1319)&gt;ABS(AB1318),AB1319,AB1318)</f>
        <v>-50.022053125000021</v>
      </c>
      <c r="AH1318">
        <f>H1318-AG1262</f>
        <v>50.006120000000003</v>
      </c>
      <c r="AI1318">
        <f>100*(AH1318-O1318)/80</f>
        <v>50.020050000000005</v>
      </c>
      <c r="AJ1318">
        <v>50.006120000000003</v>
      </c>
      <c r="AK1318">
        <v>1.640000000000974E-2</v>
      </c>
      <c r="AL1318">
        <v>50.006120000000003</v>
      </c>
      <c r="AM1318">
        <v>-50.012450000000015</v>
      </c>
      <c r="AN1318">
        <f>IF(ABS(MAX(AI1318:AI1324)) &gt; ABS(MIN(AI1318:AI1324)),MAX(AI1318:AI1324), MIN(AI1318:AI1324))</f>
        <v>50.028849999999998</v>
      </c>
      <c r="AO1318">
        <f>IF(ABS(AN1319)&gt;ABS(AN1318),AN1319,AN1318)</f>
        <v>50.028849999999998</v>
      </c>
    </row>
    <row r="1319" spans="1:41" x14ac:dyDescent="0.35">
      <c r="A1319" t="s">
        <v>270</v>
      </c>
      <c r="B1319" t="s">
        <v>1111</v>
      </c>
      <c r="C1319" t="s">
        <v>2376</v>
      </c>
      <c r="D1319">
        <v>25</v>
      </c>
      <c r="E1319">
        <v>25</v>
      </c>
      <c r="F1319">
        <v>-0.5</v>
      </c>
      <c r="G1319">
        <v>-0.49957099999999999</v>
      </c>
      <c r="H1319">
        <v>49.998437500000001</v>
      </c>
      <c r="J1319">
        <v>-1</v>
      </c>
      <c r="N1319" t="s">
        <v>190</v>
      </c>
      <c r="O1319">
        <f t="shared" si="60"/>
        <v>30.017160000000001</v>
      </c>
      <c r="P1319">
        <f t="shared" si="61"/>
        <v>24.976596875000002</v>
      </c>
      <c r="Q1319">
        <f t="shared" si="62"/>
        <v>24.976596875000002</v>
      </c>
      <c r="Y1319">
        <f>TREND(H1318:H1322,G1318:G1322,G1319)</f>
        <v>49.998437500000001</v>
      </c>
      <c r="Z1319">
        <f>ABS((Y1319-H1319)/80*100)</f>
        <v>0</v>
      </c>
      <c r="AB1319">
        <f>IF(ABS(T1318) &gt; ABS(V1318),T1318,V1318)</f>
        <v>-50.022053125000021</v>
      </c>
      <c r="AH1319">
        <f>H1319-AG1262</f>
        <v>50.006120000000003</v>
      </c>
      <c r="AI1319">
        <f>100*(AH1319-O1319)/80</f>
        <v>24.986200000000004</v>
      </c>
      <c r="AN1319">
        <f>IF(ABS(AK1318) &gt; ABS(AM1318),AK1318,AM1318)</f>
        <v>-50.012450000000015</v>
      </c>
    </row>
    <row r="1320" spans="1:41" x14ac:dyDescent="0.35">
      <c r="A1320" t="s">
        <v>270</v>
      </c>
      <c r="B1320" t="s">
        <v>1111</v>
      </c>
      <c r="C1320" t="s">
        <v>2412</v>
      </c>
      <c r="D1320">
        <v>25</v>
      </c>
      <c r="E1320">
        <v>25</v>
      </c>
      <c r="F1320">
        <v>0</v>
      </c>
      <c r="G1320">
        <v>-1.75E-4</v>
      </c>
      <c r="H1320">
        <v>49.998437500000001</v>
      </c>
      <c r="J1320">
        <v>-1</v>
      </c>
      <c r="N1320" t="s">
        <v>190</v>
      </c>
      <c r="O1320">
        <f t="shared" si="60"/>
        <v>49.992999999999995</v>
      </c>
      <c r="P1320">
        <f t="shared" si="61"/>
        <v>6.7968750000080291E-3</v>
      </c>
      <c r="Q1320">
        <f t="shared" si="62"/>
        <v>6.7968750000080291E-3</v>
      </c>
      <c r="Y1320">
        <f>TREND(H1318:H1322,G1318:G1322,G1320)</f>
        <v>49.998437500000001</v>
      </c>
      <c r="Z1320">
        <f>ABS((Y1320-H1320)/80*100)</f>
        <v>0</v>
      </c>
      <c r="AH1320">
        <f>H1320-AG1262</f>
        <v>50.006120000000003</v>
      </c>
      <c r="AI1320">
        <f>100*(AH1320-O1320)/80</f>
        <v>1.640000000000974E-2</v>
      </c>
    </row>
    <row r="1321" spans="1:41" x14ac:dyDescent="0.35">
      <c r="A1321" t="s">
        <v>270</v>
      </c>
      <c r="B1321" t="s">
        <v>1111</v>
      </c>
      <c r="C1321" t="s">
        <v>2449</v>
      </c>
      <c r="D1321">
        <v>25</v>
      </c>
      <c r="E1321">
        <v>25</v>
      </c>
      <c r="F1321">
        <v>0.5</v>
      </c>
      <c r="G1321">
        <v>0.499973</v>
      </c>
      <c r="H1321">
        <v>49.998437500000001</v>
      </c>
      <c r="J1321">
        <v>-1</v>
      </c>
      <c r="N1321" t="s">
        <v>190</v>
      </c>
      <c r="O1321">
        <f t="shared" si="60"/>
        <v>69.998919999999998</v>
      </c>
      <c r="P1321">
        <f t="shared" si="61"/>
        <v>-25.000603124999994</v>
      </c>
      <c r="Q1321">
        <f t="shared" si="62"/>
        <v>25.000603124999994</v>
      </c>
      <c r="Y1321">
        <f>TREND(H1318:H1322,G1318:G1322,G1321)</f>
        <v>49.998437500000001</v>
      </c>
      <c r="Z1321">
        <f>ABS((Y1321-H1321)/80*100)</f>
        <v>0</v>
      </c>
      <c r="AH1321">
        <f>H1321-AG1262</f>
        <v>50.006120000000003</v>
      </c>
      <c r="AI1321">
        <f>100*(AH1321-O1321)/80</f>
        <v>-24.990999999999993</v>
      </c>
    </row>
    <row r="1322" spans="1:41" x14ac:dyDescent="0.35">
      <c r="A1322" t="s">
        <v>270</v>
      </c>
      <c r="B1322" t="s">
        <v>1111</v>
      </c>
      <c r="C1322" t="s">
        <v>2486</v>
      </c>
      <c r="D1322">
        <v>25</v>
      </c>
      <c r="E1322">
        <v>25</v>
      </c>
      <c r="F1322">
        <v>1</v>
      </c>
      <c r="G1322">
        <v>1.000402</v>
      </c>
      <c r="H1322">
        <v>49.998437500000001</v>
      </c>
      <c r="J1322">
        <v>-1</v>
      </c>
      <c r="N1322" t="s">
        <v>190</v>
      </c>
      <c r="O1322">
        <f t="shared" si="60"/>
        <v>90.016080000000017</v>
      </c>
      <c r="P1322">
        <f t="shared" si="61"/>
        <v>-50.022053125000021</v>
      </c>
      <c r="Q1322">
        <f t="shared" si="62"/>
        <v>50.022053125000021</v>
      </c>
      <c r="Y1322">
        <f>TREND(H1318:H1322,G1318:G1322,G1322)</f>
        <v>49.998437500000001</v>
      </c>
      <c r="Z1322">
        <f>ABS((Y1322-H1322)/80*100)</f>
        <v>0</v>
      </c>
      <c r="AH1322">
        <f>H1322-AG1262</f>
        <v>50.006120000000003</v>
      </c>
      <c r="AI1322">
        <f>100*(AH1322-O1322)/80</f>
        <v>-50.012450000000015</v>
      </c>
    </row>
    <row r="1323" spans="1:41" x14ac:dyDescent="0.35">
      <c r="A1323" t="s">
        <v>270</v>
      </c>
      <c r="B1323" t="s">
        <v>1111</v>
      </c>
      <c r="C1323" t="s">
        <v>2523</v>
      </c>
      <c r="D1323">
        <v>25</v>
      </c>
      <c r="E1323">
        <v>25</v>
      </c>
      <c r="F1323">
        <v>0</v>
      </c>
      <c r="G1323">
        <v>-1.12E-4</v>
      </c>
      <c r="H1323">
        <v>49.998437500000001</v>
      </c>
      <c r="J1323">
        <v>-1</v>
      </c>
      <c r="N1323" t="s">
        <v>190</v>
      </c>
      <c r="O1323">
        <f t="shared" si="60"/>
        <v>49.995519999999999</v>
      </c>
      <c r="P1323">
        <f t="shared" si="61"/>
        <v>3.646875000002936E-3</v>
      </c>
      <c r="Q1323">
        <f t="shared" si="62"/>
        <v>3.646875000002936E-3</v>
      </c>
      <c r="Y1323">
        <f>TREND(H1318:H1322,G1318:G1322,G1323)</f>
        <v>49.998437500000001</v>
      </c>
      <c r="Z1323">
        <f>ABS((Y1323-H1323)/80*100)</f>
        <v>0</v>
      </c>
      <c r="AH1323">
        <f>H1323-AG1262</f>
        <v>50.006120000000003</v>
      </c>
      <c r="AI1323">
        <f>100*(AH1323-O1323)/80</f>
        <v>1.3250000000004647E-2</v>
      </c>
    </row>
    <row r="1324" spans="1:41" x14ac:dyDescent="0.35">
      <c r="A1324" t="s">
        <v>270</v>
      </c>
      <c r="B1324" t="s">
        <v>1111</v>
      </c>
      <c r="C1324" t="s">
        <v>2558</v>
      </c>
      <c r="D1324">
        <v>25</v>
      </c>
      <c r="E1324">
        <v>25</v>
      </c>
      <c r="F1324">
        <v>-1</v>
      </c>
      <c r="G1324">
        <v>-1.000424</v>
      </c>
      <c r="H1324">
        <v>49.998437500000001</v>
      </c>
      <c r="J1324">
        <v>-1</v>
      </c>
      <c r="N1324" t="s">
        <v>190</v>
      </c>
      <c r="O1324">
        <f t="shared" si="60"/>
        <v>9.9830400000000008</v>
      </c>
      <c r="P1324">
        <f t="shared" si="61"/>
        <v>50.019246875</v>
      </c>
      <c r="Q1324">
        <f t="shared" si="62"/>
        <v>50.019246875</v>
      </c>
      <c r="Y1324">
        <f>TREND(H1318:H1322,G1318:G1322,G1324)</f>
        <v>49.998437500000001</v>
      </c>
      <c r="Z1324">
        <f>ABS((Y1324-H1324)/80*100)</f>
        <v>0</v>
      </c>
      <c r="AH1324">
        <f>H1324-AG1262</f>
        <v>50.006120000000003</v>
      </c>
      <c r="AI1324">
        <f>100*(AH1324-O1324)/80</f>
        <v>50.028849999999998</v>
      </c>
    </row>
    <row r="1325" spans="1:41" x14ac:dyDescent="0.35">
      <c r="A1325" t="s">
        <v>272</v>
      </c>
      <c r="B1325" t="s">
        <v>231</v>
      </c>
      <c r="C1325" t="s">
        <v>273</v>
      </c>
      <c r="D1325">
        <v>25</v>
      </c>
      <c r="E1325">
        <v>25</v>
      </c>
      <c r="F1325">
        <v>-1</v>
      </c>
      <c r="G1325">
        <v>-1.0001230000000001</v>
      </c>
      <c r="H1325">
        <v>49.998437500000001</v>
      </c>
      <c r="J1325">
        <v>-1</v>
      </c>
      <c r="N1325" t="s">
        <v>191</v>
      </c>
      <c r="O1325">
        <f t="shared" si="60"/>
        <v>9.9950799999999962</v>
      </c>
      <c r="P1325">
        <f t="shared" si="61"/>
        <v>50.004196875000005</v>
      </c>
      <c r="Q1325">
        <f t="shared" si="62"/>
        <v>50.004196875000005</v>
      </c>
      <c r="S1325">
        <v>49.998437500000001</v>
      </c>
      <c r="T1325">
        <v>-1.1003124999993119E-2</v>
      </c>
      <c r="U1325">
        <v>49.998437500000001</v>
      </c>
      <c r="V1325">
        <v>-50.008153124999993</v>
      </c>
      <c r="W1325">
        <v>-1.5258789076710855E-6</v>
      </c>
      <c r="X1325">
        <f>(W1325-80)/80*100</f>
        <v>-100.00000190734863</v>
      </c>
      <c r="Y1325">
        <f>TREND(H1325:H1329,G1325:G1329,G1325)</f>
        <v>49.998437500000001</v>
      </c>
      <c r="Z1325">
        <f>ABS((Y1325-H1325)/80*100)</f>
        <v>0</v>
      </c>
      <c r="AA1325">
        <f>MAX(Z1325:Z1329)</f>
        <v>0</v>
      </c>
      <c r="AB1325">
        <f>IF(ABS(MAX(P1325:P1331)) &gt; ABS(MIN(P1325:P1331)),MAX(P1325:P1331), MIN(P1325:P1331))</f>
        <v>-50.008153124999993</v>
      </c>
      <c r="AC1325">
        <f>IF(ABS(AB1326)&gt;ABS(AB1325),AB1326,AB1325)</f>
        <v>-50.008153124999993</v>
      </c>
      <c r="AD1325">
        <f>MAX(AD1326:AD1327)</f>
        <v>6.5499999999918401E-3</v>
      </c>
      <c r="AE1325">
        <f>MAX(AE1326:AE1346)</f>
        <v>3.83499999999799E-2</v>
      </c>
      <c r="AF1325">
        <f>MAX(AD1325,AA1325)</f>
        <v>6.5499999999918401E-3</v>
      </c>
      <c r="AG1325">
        <f>H1327-O1327</f>
        <v>-8.8024999999944953E-3</v>
      </c>
      <c r="AH1325">
        <f>H1325-AG1325</f>
        <v>50.007239999999996</v>
      </c>
      <c r="AI1325">
        <f>100*(AH1325-O1325)/80</f>
        <v>50.015200000000007</v>
      </c>
      <c r="AJ1325">
        <v>50.007239999999996</v>
      </c>
      <c r="AK1325">
        <v>0</v>
      </c>
      <c r="AL1325">
        <v>50.007239999999996</v>
      </c>
      <c r="AM1325">
        <v>-49.997149999999998</v>
      </c>
      <c r="AN1325">
        <f>IF(ABS(MAX(AI1325:AI1331)) &gt; ABS(MIN(AI1325:AI1331)),MAX(AI1325:AI1331), MIN(AI1325:AI1331))</f>
        <v>50.015200000000007</v>
      </c>
      <c r="AO1325">
        <f>IF(ABS(AN1326)&gt;ABS(AN1325),AN1326,AN1325)</f>
        <v>50.015200000000007</v>
      </c>
    </row>
    <row r="1326" spans="1:41" x14ac:dyDescent="0.35">
      <c r="A1326" t="s">
        <v>272</v>
      </c>
      <c r="B1326" t="s">
        <v>231</v>
      </c>
      <c r="C1326" t="s">
        <v>327</v>
      </c>
      <c r="D1326">
        <v>25</v>
      </c>
      <c r="E1326">
        <v>25</v>
      </c>
      <c r="F1326">
        <v>-0.5</v>
      </c>
      <c r="G1326">
        <v>-0.50013300000000005</v>
      </c>
      <c r="H1326">
        <v>49.998437500000001</v>
      </c>
      <c r="J1326">
        <v>-1</v>
      </c>
      <c r="N1326" t="s">
        <v>191</v>
      </c>
      <c r="O1326">
        <f t="shared" si="60"/>
        <v>29.994679999999999</v>
      </c>
      <c r="P1326">
        <f t="shared" si="61"/>
        <v>25.004696875</v>
      </c>
      <c r="Q1326">
        <f t="shared" si="62"/>
        <v>25.004696875</v>
      </c>
      <c r="Y1326">
        <f>TREND(H1325:H1329,G1325:G1329,G1326)</f>
        <v>49.998437500000001</v>
      </c>
      <c r="Z1326">
        <f>ABS((Y1326-H1326)/80*100)</f>
        <v>0</v>
      </c>
      <c r="AB1326">
        <f>IF(ABS(T1325) &gt; ABS(V1325),T1325,V1325)</f>
        <v>-50.008153124999993</v>
      </c>
      <c r="AD1326">
        <f>ABS(P1327-P1330)</f>
        <v>6.5499999999918401E-3</v>
      </c>
      <c r="AE1326">
        <f>ABS(P1353-P1325)</f>
        <v>2.0000000000024443E-3</v>
      </c>
      <c r="AH1326">
        <f>H1326-AG1325</f>
        <v>50.007239999999996</v>
      </c>
      <c r="AI1326">
        <f>100*(AH1326-O1326)/80</f>
        <v>25.015699999999995</v>
      </c>
      <c r="AN1326">
        <f>IF(ABS(AK1325) &gt; ABS(AM1325),AK1325,AM1325)</f>
        <v>-49.997149999999998</v>
      </c>
    </row>
    <row r="1327" spans="1:41" x14ac:dyDescent="0.35">
      <c r="A1327" t="s">
        <v>272</v>
      </c>
      <c r="B1327" t="s">
        <v>231</v>
      </c>
      <c r="C1327" t="s">
        <v>363</v>
      </c>
      <c r="D1327">
        <v>25</v>
      </c>
      <c r="E1327">
        <v>25</v>
      </c>
      <c r="F1327">
        <v>0</v>
      </c>
      <c r="G1327">
        <v>1.8100000000000001E-4</v>
      </c>
      <c r="H1327">
        <v>49.998437500000001</v>
      </c>
      <c r="J1327">
        <v>-1</v>
      </c>
      <c r="N1327" t="s">
        <v>191</v>
      </c>
      <c r="O1327">
        <f t="shared" si="60"/>
        <v>50.007239999999996</v>
      </c>
      <c r="P1327">
        <f t="shared" si="61"/>
        <v>-1.1003124999993119E-2</v>
      </c>
      <c r="Q1327">
        <f t="shared" si="62"/>
        <v>1.1003124999993119E-2</v>
      </c>
      <c r="Y1327">
        <f>TREND(H1325:H1329,G1325:G1329,G1327)</f>
        <v>49.998437500000001</v>
      </c>
      <c r="Z1327">
        <f>ABS((Y1327-H1327)/80*100)</f>
        <v>0</v>
      </c>
      <c r="AD1327">
        <f>ABS(P1325-P1331)</f>
        <v>1.2000000000043087E-3</v>
      </c>
      <c r="AE1327">
        <f>ABS(P1354-P1326)</f>
        <v>3.4500000000008413E-3</v>
      </c>
      <c r="AH1327">
        <f>H1327-AG1325</f>
        <v>50.007239999999996</v>
      </c>
      <c r="AI1327">
        <f>100*(AH1327-O1327)/80</f>
        <v>0</v>
      </c>
    </row>
    <row r="1328" spans="1:41" x14ac:dyDescent="0.35">
      <c r="A1328" t="s">
        <v>272</v>
      </c>
      <c r="B1328" t="s">
        <v>231</v>
      </c>
      <c r="C1328" t="s">
        <v>400</v>
      </c>
      <c r="D1328">
        <v>25</v>
      </c>
      <c r="E1328">
        <v>25</v>
      </c>
      <c r="F1328">
        <v>0.5</v>
      </c>
      <c r="G1328">
        <v>0.50021499999999997</v>
      </c>
      <c r="H1328">
        <v>49.998437500000001</v>
      </c>
      <c r="J1328">
        <v>-1</v>
      </c>
      <c r="N1328" t="s">
        <v>191</v>
      </c>
      <c r="O1328">
        <f t="shared" si="60"/>
        <v>70.008600000000001</v>
      </c>
      <c r="P1328">
        <f t="shared" si="61"/>
        <v>-25.012703124999998</v>
      </c>
      <c r="Q1328">
        <f t="shared" si="62"/>
        <v>25.012703124999998</v>
      </c>
      <c r="Y1328">
        <f>TREND(H1325:H1329,G1325:G1329,G1328)</f>
        <v>49.998437500000001</v>
      </c>
      <c r="Z1328">
        <f>ABS((Y1328-H1328)/80*100)</f>
        <v>0</v>
      </c>
      <c r="AE1328">
        <f>ABS(P1355-P1327)</f>
        <v>2.3149999999994009E-2</v>
      </c>
      <c r="AH1328">
        <f>H1328-AG1325</f>
        <v>50.007239999999996</v>
      </c>
      <c r="AI1328">
        <f>100*(AH1328-O1328)/80</f>
        <v>-25.001700000000007</v>
      </c>
    </row>
    <row r="1329" spans="1:41" x14ac:dyDescent="0.35">
      <c r="A1329" t="s">
        <v>272</v>
      </c>
      <c r="B1329" t="s">
        <v>231</v>
      </c>
      <c r="C1329" t="s">
        <v>437</v>
      </c>
      <c r="D1329">
        <v>25</v>
      </c>
      <c r="E1329">
        <v>25</v>
      </c>
      <c r="F1329">
        <v>1</v>
      </c>
      <c r="G1329">
        <v>1.000124</v>
      </c>
      <c r="H1329">
        <v>49.998437500000001</v>
      </c>
      <c r="J1329">
        <v>-1</v>
      </c>
      <c r="N1329" t="s">
        <v>191</v>
      </c>
      <c r="O1329">
        <f t="shared" si="60"/>
        <v>90.004959999999997</v>
      </c>
      <c r="P1329">
        <f t="shared" si="61"/>
        <v>-50.008153124999993</v>
      </c>
      <c r="Q1329">
        <f t="shared" si="62"/>
        <v>50.008153124999993</v>
      </c>
      <c r="Y1329">
        <f>TREND(H1325:H1329,G1325:G1329,G1329)</f>
        <v>49.998437500000001</v>
      </c>
      <c r="Z1329">
        <f>ABS((Y1329-H1329)/80*100)</f>
        <v>0</v>
      </c>
      <c r="AE1329">
        <f>ABS(P1356-P1328)</f>
        <v>3.1500000000050932E-3</v>
      </c>
      <c r="AH1329">
        <f>H1329-AG1325</f>
        <v>50.007239999999996</v>
      </c>
      <c r="AI1329">
        <f>100*(AH1329-O1329)/80</f>
        <v>-49.997149999999998</v>
      </c>
    </row>
    <row r="1330" spans="1:41" x14ac:dyDescent="0.35">
      <c r="A1330" t="s">
        <v>272</v>
      </c>
      <c r="B1330" t="s">
        <v>231</v>
      </c>
      <c r="C1330" t="s">
        <v>474</v>
      </c>
      <c r="D1330">
        <v>25</v>
      </c>
      <c r="E1330">
        <v>25</v>
      </c>
      <c r="F1330">
        <v>0</v>
      </c>
      <c r="G1330">
        <v>5.0000000000000002E-5</v>
      </c>
      <c r="H1330">
        <v>49.998437500000001</v>
      </c>
      <c r="J1330">
        <v>-1</v>
      </c>
      <c r="N1330" t="s">
        <v>191</v>
      </c>
      <c r="O1330">
        <f t="shared" si="60"/>
        <v>50.002000000000002</v>
      </c>
      <c r="P1330">
        <f t="shared" si="61"/>
        <v>-4.453125000001279E-3</v>
      </c>
      <c r="Q1330">
        <f t="shared" si="62"/>
        <v>4.453125000001279E-3</v>
      </c>
      <c r="Y1330">
        <f>TREND(H1325:H1329,G1325:G1329,G1330)</f>
        <v>49.998437500000001</v>
      </c>
      <c r="Z1330">
        <f>ABS((Y1330-H1330)/80*100)</f>
        <v>0</v>
      </c>
      <c r="AE1330">
        <f>ABS(P1357-P1329)</f>
        <v>2.8349999999988995E-2</v>
      </c>
      <c r="AH1330">
        <f>H1330-AG1325</f>
        <v>50.007239999999996</v>
      </c>
      <c r="AI1330">
        <f>100*(AH1330-O1330)/80</f>
        <v>6.5499999999918401E-3</v>
      </c>
    </row>
    <row r="1331" spans="1:41" x14ac:dyDescent="0.35">
      <c r="A1331" t="s">
        <v>272</v>
      </c>
      <c r="B1331" t="s">
        <v>231</v>
      </c>
      <c r="C1331" t="s">
        <v>511</v>
      </c>
      <c r="D1331">
        <v>25</v>
      </c>
      <c r="E1331">
        <v>25</v>
      </c>
      <c r="F1331">
        <v>-1</v>
      </c>
      <c r="G1331">
        <v>-1.0000990000000001</v>
      </c>
      <c r="H1331">
        <v>49.998437500000001</v>
      </c>
      <c r="J1331">
        <v>-1</v>
      </c>
      <c r="N1331" t="s">
        <v>191</v>
      </c>
      <c r="O1331">
        <f t="shared" si="60"/>
        <v>9.9960399999999971</v>
      </c>
      <c r="P1331">
        <f t="shared" si="61"/>
        <v>50.002996875000001</v>
      </c>
      <c r="Q1331">
        <f t="shared" si="62"/>
        <v>50.002996875000001</v>
      </c>
      <c r="Y1331">
        <f>TREND(H1325:H1329,G1325:G1329,G1331)</f>
        <v>49.998437500000001</v>
      </c>
      <c r="Z1331">
        <f>ABS((Y1331-H1331)/80*100)</f>
        <v>0</v>
      </c>
      <c r="AE1331">
        <f>ABS(P1358-P1330)</f>
        <v>2.2000000000002018E-2</v>
      </c>
      <c r="AH1331">
        <f>H1331-AG1325</f>
        <v>50.007239999999996</v>
      </c>
      <c r="AI1331">
        <f>100*(AH1331-O1331)/80</f>
        <v>50.014000000000003</v>
      </c>
    </row>
    <row r="1332" spans="1:41" x14ac:dyDescent="0.35">
      <c r="A1332" t="s">
        <v>272</v>
      </c>
      <c r="B1332" t="s">
        <v>231</v>
      </c>
      <c r="C1332" t="s">
        <v>548</v>
      </c>
      <c r="D1332">
        <v>-20</v>
      </c>
      <c r="E1332">
        <v>-20.100000000000001</v>
      </c>
      <c r="F1332">
        <v>-1</v>
      </c>
      <c r="G1332">
        <v>-1.000121</v>
      </c>
      <c r="H1332">
        <v>49.998437500000001</v>
      </c>
      <c r="J1332">
        <v>-1</v>
      </c>
      <c r="N1332" t="s">
        <v>191</v>
      </c>
      <c r="O1332">
        <f t="shared" si="60"/>
        <v>9.9951599999999985</v>
      </c>
      <c r="P1332">
        <f t="shared" si="61"/>
        <v>50.004096875000002</v>
      </c>
      <c r="Q1332">
        <f t="shared" si="62"/>
        <v>50.004096875000002</v>
      </c>
      <c r="S1332">
        <v>49.998437500000001</v>
      </c>
      <c r="T1332">
        <v>2.3468749999988603E-3</v>
      </c>
      <c r="U1332">
        <v>49.998437500000001</v>
      </c>
      <c r="V1332">
        <v>-50.003703125000001</v>
      </c>
      <c r="W1332">
        <v>-1.5258789076710855E-6</v>
      </c>
      <c r="X1332">
        <f>(W1332-80)/80*100</f>
        <v>-100.00000190734863</v>
      </c>
      <c r="Y1332">
        <f>TREND(H1332:H1336,G1332:G1336,G1332)</f>
        <v>49.998437500000001</v>
      </c>
      <c r="Z1332">
        <f>ABS((Y1332-H1332)/80*100)</f>
        <v>0</v>
      </c>
      <c r="AA1332">
        <f>MAX(Z1332:Z1336)</f>
        <v>0</v>
      </c>
      <c r="AB1332">
        <f>IF(ABS(MAX(P1332:P1338)) &gt; ABS(MIN(P1332:P1338)),MAX(P1332:P1338), MIN(P1332:P1338))</f>
        <v>50.004096875000002</v>
      </c>
      <c r="AC1332">
        <f>IF(ABS(AB1333)&gt;ABS(AB1332),AB1333,AB1332)</f>
        <v>50.004096875000002</v>
      </c>
      <c r="AE1332">
        <f>ABS(P1359-P1331)</f>
        <v>2.5500000000064915E-3</v>
      </c>
      <c r="AH1332">
        <f>H1332-AG1325</f>
        <v>50.007239999999996</v>
      </c>
      <c r="AI1332">
        <f>100*(AH1332-O1332)/80</f>
        <v>50.015099999999997</v>
      </c>
      <c r="AJ1332">
        <v>50.007239999999996</v>
      </c>
      <c r="AK1332">
        <v>1.3349999999991979E-2</v>
      </c>
      <c r="AL1332">
        <v>50.007239999999996</v>
      </c>
      <c r="AM1332">
        <v>-49.992700000000006</v>
      </c>
      <c r="AN1332">
        <f>IF(ABS(MAX(AI1332:AI1338)) &gt; ABS(MIN(AI1332:AI1338)),MAX(AI1332:AI1338), MIN(AI1332:AI1338))</f>
        <v>50.015099999999997</v>
      </c>
      <c r="AO1332">
        <f>IF(ABS(AN1333)&gt;ABS(AN1332),AN1333,AN1332)</f>
        <v>50.015099999999997</v>
      </c>
    </row>
    <row r="1333" spans="1:41" x14ac:dyDescent="0.35">
      <c r="A1333" t="s">
        <v>272</v>
      </c>
      <c r="B1333" t="s">
        <v>231</v>
      </c>
      <c r="C1333" t="s">
        <v>585</v>
      </c>
      <c r="D1333">
        <v>-20</v>
      </c>
      <c r="E1333">
        <v>-20</v>
      </c>
      <c r="F1333">
        <v>-0.5</v>
      </c>
      <c r="G1333">
        <v>-0.50027299999999997</v>
      </c>
      <c r="H1333">
        <v>49.998437500000001</v>
      </c>
      <c r="J1333">
        <v>-1</v>
      </c>
      <c r="N1333" t="s">
        <v>191</v>
      </c>
      <c r="O1333">
        <f t="shared" si="60"/>
        <v>29.989080000000001</v>
      </c>
      <c r="P1333">
        <f t="shared" si="61"/>
        <v>25.011696875000002</v>
      </c>
      <c r="Q1333">
        <f t="shared" si="62"/>
        <v>25.011696875000002</v>
      </c>
      <c r="Y1333">
        <f>TREND(H1332:H1336,G1332:G1336,G1333)</f>
        <v>49.998437500000001</v>
      </c>
      <c r="Z1333">
        <f>ABS((Y1333-H1333)/80*100)</f>
        <v>0</v>
      </c>
      <c r="AB1333">
        <f>IF(ABS(T1332) &gt; ABS(V1332),T1332,V1332)</f>
        <v>-50.003703125000001</v>
      </c>
      <c r="AE1333">
        <f>ABS(P1381-P1325)</f>
        <v>5.2499999999895408E-3</v>
      </c>
      <c r="AH1333">
        <f>H1333-AG1325</f>
        <v>50.007239999999996</v>
      </c>
      <c r="AI1333">
        <f>100*(AH1333-O1333)/80</f>
        <v>25.022699999999993</v>
      </c>
      <c r="AN1333">
        <f>IF(ABS(AK1332) &gt; ABS(AM1332),AK1332,AM1332)</f>
        <v>-49.992700000000006</v>
      </c>
    </row>
    <row r="1334" spans="1:41" x14ac:dyDescent="0.35">
      <c r="A1334" t="s">
        <v>272</v>
      </c>
      <c r="B1334" t="s">
        <v>231</v>
      </c>
      <c r="C1334" t="s">
        <v>622</v>
      </c>
      <c r="D1334">
        <v>-20</v>
      </c>
      <c r="E1334">
        <v>-20</v>
      </c>
      <c r="F1334">
        <v>0</v>
      </c>
      <c r="G1334">
        <v>-8.6000000000000003E-5</v>
      </c>
      <c r="H1334">
        <v>49.998437500000001</v>
      </c>
      <c r="J1334">
        <v>-1</v>
      </c>
      <c r="N1334" t="s">
        <v>191</v>
      </c>
      <c r="O1334">
        <f t="shared" si="60"/>
        <v>49.996560000000002</v>
      </c>
      <c r="P1334">
        <f t="shared" si="61"/>
        <v>2.3468749999988603E-3</v>
      </c>
      <c r="Q1334">
        <f t="shared" si="62"/>
        <v>2.3468749999988603E-3</v>
      </c>
      <c r="Y1334">
        <f>TREND(H1332:H1336,G1332:G1336,G1334)</f>
        <v>49.998437500000001</v>
      </c>
      <c r="Z1334">
        <f>ABS((Y1334-H1334)/80*100)</f>
        <v>0</v>
      </c>
      <c r="AE1334">
        <f>ABS(P1382-P1326)</f>
        <v>3.5549999999997084E-2</v>
      </c>
      <c r="AH1334">
        <f>H1334-AG1325</f>
        <v>50.007239999999996</v>
      </c>
      <c r="AI1334">
        <f>100*(AH1334-O1334)/80</f>
        <v>1.3349999999991979E-2</v>
      </c>
    </row>
    <row r="1335" spans="1:41" x14ac:dyDescent="0.35">
      <c r="A1335" t="s">
        <v>272</v>
      </c>
      <c r="B1335" t="s">
        <v>231</v>
      </c>
      <c r="C1335" t="s">
        <v>658</v>
      </c>
      <c r="D1335">
        <v>-20</v>
      </c>
      <c r="E1335">
        <v>-19.899999999999999</v>
      </c>
      <c r="F1335">
        <v>0.5</v>
      </c>
      <c r="G1335">
        <v>0.49932900000000002</v>
      </c>
      <c r="H1335">
        <v>49.998437500000001</v>
      </c>
      <c r="J1335">
        <v>-1</v>
      </c>
      <c r="N1335" t="s">
        <v>191</v>
      </c>
      <c r="O1335">
        <f t="shared" si="60"/>
        <v>69.973159999999993</v>
      </c>
      <c r="P1335">
        <f t="shared" si="61"/>
        <v>-24.968403124999988</v>
      </c>
      <c r="Q1335">
        <f t="shared" si="62"/>
        <v>24.968403124999988</v>
      </c>
      <c r="Y1335">
        <f>TREND(H1332:H1336,G1332:G1336,G1335)</f>
        <v>49.998437500000001</v>
      </c>
      <c r="Z1335">
        <f>ABS((Y1335-H1335)/80*100)</f>
        <v>0</v>
      </c>
      <c r="AE1335">
        <f>ABS(P1383-P1327)</f>
        <v>1.6349999999993869E-2</v>
      </c>
      <c r="AH1335">
        <f>H1335-AG1325</f>
        <v>50.007239999999996</v>
      </c>
      <c r="AI1335">
        <f>100*(AH1335-O1335)/80</f>
        <v>-24.957399999999996</v>
      </c>
    </row>
    <row r="1336" spans="1:41" x14ac:dyDescent="0.35">
      <c r="A1336" t="s">
        <v>272</v>
      </c>
      <c r="B1336" t="s">
        <v>231</v>
      </c>
      <c r="C1336" t="s">
        <v>694</v>
      </c>
      <c r="D1336">
        <v>-20</v>
      </c>
      <c r="E1336">
        <v>-19.899999999999999</v>
      </c>
      <c r="F1336">
        <v>1</v>
      </c>
      <c r="G1336">
        <v>1.000035</v>
      </c>
      <c r="H1336">
        <v>49.998437500000001</v>
      </c>
      <c r="J1336">
        <v>-1</v>
      </c>
      <c r="N1336" t="s">
        <v>191</v>
      </c>
      <c r="O1336">
        <f t="shared" si="60"/>
        <v>90.001400000000004</v>
      </c>
      <c r="P1336">
        <f t="shared" si="61"/>
        <v>-50.003703125000001</v>
      </c>
      <c r="Q1336">
        <f t="shared" si="62"/>
        <v>50.003703125000001</v>
      </c>
      <c r="Y1336">
        <f>TREND(H1332:H1336,G1332:G1336,G1336)</f>
        <v>49.998437500000001</v>
      </c>
      <c r="Z1336">
        <f>ABS((Y1336-H1336)/80*100)</f>
        <v>0</v>
      </c>
      <c r="AE1336">
        <f>ABS(P1384-P1328)</f>
        <v>1.2100000000003774E-2</v>
      </c>
      <c r="AH1336">
        <f>H1336-AG1325</f>
        <v>50.007239999999996</v>
      </c>
      <c r="AI1336">
        <f>100*(AH1336-O1336)/80</f>
        <v>-49.992700000000006</v>
      </c>
    </row>
    <row r="1337" spans="1:41" x14ac:dyDescent="0.35">
      <c r="A1337" t="s">
        <v>272</v>
      </c>
      <c r="B1337" t="s">
        <v>231</v>
      </c>
      <c r="C1337" t="s">
        <v>731</v>
      </c>
      <c r="D1337">
        <v>-20</v>
      </c>
      <c r="E1337">
        <v>-20</v>
      </c>
      <c r="F1337">
        <v>0</v>
      </c>
      <c r="G1337">
        <v>7.7200000000000001E-4</v>
      </c>
      <c r="H1337">
        <v>49.998437500000001</v>
      </c>
      <c r="J1337">
        <v>-1</v>
      </c>
      <c r="N1337" t="s">
        <v>191</v>
      </c>
      <c r="O1337">
        <f t="shared" si="60"/>
        <v>50.030879999999996</v>
      </c>
      <c r="P1337">
        <f t="shared" si="61"/>
        <v>-4.0553124999993528E-2</v>
      </c>
      <c r="Q1337">
        <f t="shared" si="62"/>
        <v>4.0553124999993528E-2</v>
      </c>
      <c r="Y1337">
        <f>TREND(H1332:H1336,G1332:G1336,G1337)</f>
        <v>49.998437500000001</v>
      </c>
      <c r="Z1337">
        <f>ABS((Y1337-H1337)/80*100)</f>
        <v>0</v>
      </c>
      <c r="AE1337">
        <f>ABS(P1385-P1329)</f>
        <v>9.9999999999909051E-3</v>
      </c>
      <c r="AH1337">
        <f>H1337-AG1325</f>
        <v>50.007239999999996</v>
      </c>
      <c r="AI1337">
        <f>100*(AH1337-O1337)/80</f>
        <v>-2.9550000000000409E-2</v>
      </c>
    </row>
    <row r="1338" spans="1:41" x14ac:dyDescent="0.35">
      <c r="A1338" t="s">
        <v>272</v>
      </c>
      <c r="B1338" t="s">
        <v>231</v>
      </c>
      <c r="C1338" t="s">
        <v>767</v>
      </c>
      <c r="D1338">
        <v>-20</v>
      </c>
      <c r="E1338">
        <v>-20.100000000000001</v>
      </c>
      <c r="F1338">
        <v>-1</v>
      </c>
      <c r="G1338">
        <v>-0.99986299999999995</v>
      </c>
      <c r="H1338">
        <v>49.998437500000001</v>
      </c>
      <c r="J1338">
        <v>-1</v>
      </c>
      <c r="N1338" t="s">
        <v>191</v>
      </c>
      <c r="O1338">
        <f t="shared" si="60"/>
        <v>10.005480000000002</v>
      </c>
      <c r="P1338">
        <f t="shared" si="61"/>
        <v>49.991196875</v>
      </c>
      <c r="Q1338">
        <f t="shared" si="62"/>
        <v>49.991196875</v>
      </c>
      <c r="Y1338">
        <f>TREND(H1332:H1336,G1332:G1336,G1338)</f>
        <v>49.998437500000001</v>
      </c>
      <c r="Z1338">
        <f>ABS((Y1338-H1338)/80*100)</f>
        <v>0</v>
      </c>
      <c r="AE1338">
        <f>ABS(P1386-P1330)</f>
        <v>6.5500000000007219E-3</v>
      </c>
      <c r="AH1338">
        <f>H1338-AG1325</f>
        <v>50.007239999999996</v>
      </c>
      <c r="AI1338">
        <f>100*(AH1338-O1338)/80</f>
        <v>50.002199999999988</v>
      </c>
    </row>
    <row r="1339" spans="1:41" x14ac:dyDescent="0.35">
      <c r="A1339" t="s">
        <v>272</v>
      </c>
      <c r="B1339" t="s">
        <v>231</v>
      </c>
      <c r="C1339" t="s">
        <v>804</v>
      </c>
      <c r="D1339">
        <v>0</v>
      </c>
      <c r="E1339">
        <v>0</v>
      </c>
      <c r="F1339">
        <v>-1</v>
      </c>
      <c r="G1339">
        <v>-1.0003770000000001</v>
      </c>
      <c r="H1339">
        <v>49.998437500000001</v>
      </c>
      <c r="J1339">
        <v>-1</v>
      </c>
      <c r="N1339" t="s">
        <v>191</v>
      </c>
      <c r="O1339">
        <f t="shared" si="60"/>
        <v>9.9849199999999971</v>
      </c>
      <c r="P1339">
        <f t="shared" si="61"/>
        <v>50.016896875000008</v>
      </c>
      <c r="Q1339">
        <f t="shared" si="62"/>
        <v>50.016896875000008</v>
      </c>
      <c r="S1339">
        <v>49.998437500000001</v>
      </c>
      <c r="T1339">
        <v>-7.8031249999899188E-3</v>
      </c>
      <c r="U1339">
        <v>49.998437500000001</v>
      </c>
      <c r="V1339">
        <v>-49.992003125000004</v>
      </c>
      <c r="W1339">
        <v>-1.5258789076710855E-6</v>
      </c>
      <c r="X1339">
        <f>(W1339-80)/80*100</f>
        <v>-100.00000190734863</v>
      </c>
      <c r="Y1339">
        <f>TREND(H1339:H1343,G1339:G1343,G1339)</f>
        <v>49.998437500000001</v>
      </c>
      <c r="Z1339">
        <f>ABS((Y1339-H1339)/80*100)</f>
        <v>0</v>
      </c>
      <c r="AA1339">
        <f>MAX(Z1339:Z1343)</f>
        <v>0</v>
      </c>
      <c r="AB1339">
        <f>IF(ABS(MAX(P1339:P1345)) &gt; ABS(MIN(P1339:P1345)),MAX(P1339:P1345), MIN(P1339:P1345))</f>
        <v>50.016896875000008</v>
      </c>
      <c r="AC1339">
        <f>IF(ABS(AB1340)&gt;ABS(AB1339),AB1340,AB1339)</f>
        <v>50.016896875000008</v>
      </c>
      <c r="AE1339">
        <f>ABS(P1387-P1331)</f>
        <v>1.4800000000001035E-2</v>
      </c>
      <c r="AH1339">
        <f>H1339-AG1325</f>
        <v>50.007239999999996</v>
      </c>
      <c r="AI1339">
        <f>100*(AH1339-O1339)/80</f>
        <v>50.027900000000002</v>
      </c>
      <c r="AJ1339">
        <v>50.007239999999996</v>
      </c>
      <c r="AK1339">
        <v>3.2000000000032003E-3</v>
      </c>
      <c r="AL1339">
        <v>50.007239999999996</v>
      </c>
      <c r="AM1339">
        <v>-49.981000000000009</v>
      </c>
      <c r="AN1339">
        <f>IF(ABS(MAX(AI1339:AI1345)) &gt; ABS(MIN(AI1339:AI1345)),MAX(AI1339:AI1345), MIN(AI1339:AI1345))</f>
        <v>50.027900000000002</v>
      </c>
      <c r="AO1339">
        <f>IF(ABS(AN1340)&gt;ABS(AN1339),AN1340,AN1339)</f>
        <v>50.027900000000002</v>
      </c>
    </row>
    <row r="1340" spans="1:41" x14ac:dyDescent="0.35">
      <c r="A1340" t="s">
        <v>272</v>
      </c>
      <c r="B1340" t="s">
        <v>231</v>
      </c>
      <c r="C1340" t="s">
        <v>840</v>
      </c>
      <c r="D1340">
        <v>0</v>
      </c>
      <c r="E1340">
        <v>0.1</v>
      </c>
      <c r="F1340">
        <v>-0.5</v>
      </c>
      <c r="G1340">
        <v>-0.50036599999999998</v>
      </c>
      <c r="H1340">
        <v>49.998437500000001</v>
      </c>
      <c r="J1340">
        <v>-1</v>
      </c>
      <c r="N1340" t="s">
        <v>191</v>
      </c>
      <c r="O1340">
        <f t="shared" si="60"/>
        <v>29.98536</v>
      </c>
      <c r="P1340">
        <f t="shared" si="61"/>
        <v>25.016346875000004</v>
      </c>
      <c r="Q1340">
        <f t="shared" si="62"/>
        <v>25.016346875000004</v>
      </c>
      <c r="Y1340">
        <f>TREND(H1339:H1343,G1339:G1343,G1340)</f>
        <v>49.998437500000001</v>
      </c>
      <c r="Z1340">
        <f>ABS((Y1340-H1340)/80*100)</f>
        <v>0</v>
      </c>
      <c r="AB1340">
        <f>IF(ABS(T1339) &gt; ABS(V1339),T1339,V1339)</f>
        <v>-49.992003125000004</v>
      </c>
      <c r="AE1340">
        <f>ABS(P1381-P1353)</f>
        <v>7.2499999999919851E-3</v>
      </c>
      <c r="AH1340">
        <f>H1340-AG1325</f>
        <v>50.007239999999996</v>
      </c>
      <c r="AI1340">
        <f>100*(AH1340-O1340)/80</f>
        <v>25.027349999999995</v>
      </c>
      <c r="AN1340">
        <f>IF(ABS(AK1339) &gt; ABS(AM1339),AK1339,AM1339)</f>
        <v>-49.981000000000009</v>
      </c>
    </row>
    <row r="1341" spans="1:41" x14ac:dyDescent="0.35">
      <c r="A1341" t="s">
        <v>272</v>
      </c>
      <c r="B1341" t="s">
        <v>231</v>
      </c>
      <c r="C1341" t="s">
        <v>876</v>
      </c>
      <c r="D1341">
        <v>0</v>
      </c>
      <c r="E1341">
        <v>0</v>
      </c>
      <c r="F1341">
        <v>0</v>
      </c>
      <c r="G1341">
        <v>1.17E-4</v>
      </c>
      <c r="H1341">
        <v>49.998437500000001</v>
      </c>
      <c r="J1341">
        <v>-1</v>
      </c>
      <c r="N1341" t="s">
        <v>191</v>
      </c>
      <c r="O1341">
        <f t="shared" si="60"/>
        <v>50.004679999999993</v>
      </c>
      <c r="P1341">
        <f t="shared" si="61"/>
        <v>-7.8031249999899188E-3</v>
      </c>
      <c r="Q1341">
        <f t="shared" si="62"/>
        <v>7.8031249999899188E-3</v>
      </c>
      <c r="Y1341">
        <f>TREND(H1339:H1343,G1339:G1343,G1341)</f>
        <v>49.998437500000001</v>
      </c>
      <c r="Z1341">
        <f>ABS((Y1341-H1341)/80*100)</f>
        <v>0</v>
      </c>
      <c r="AE1341">
        <f>ABS(P1382-P1354)</f>
        <v>3.2099999999996243E-2</v>
      </c>
      <c r="AH1341">
        <f>H1341-AG1325</f>
        <v>50.007239999999996</v>
      </c>
      <c r="AI1341">
        <f>100*(AH1341-O1341)/80</f>
        <v>3.2000000000032003E-3</v>
      </c>
    </row>
    <row r="1342" spans="1:41" x14ac:dyDescent="0.35">
      <c r="A1342" t="s">
        <v>272</v>
      </c>
      <c r="B1342" t="s">
        <v>231</v>
      </c>
      <c r="C1342" t="s">
        <v>912</v>
      </c>
      <c r="D1342">
        <v>0</v>
      </c>
      <c r="E1342">
        <v>0</v>
      </c>
      <c r="F1342">
        <v>0.5</v>
      </c>
      <c r="G1342">
        <v>0.49994</v>
      </c>
      <c r="H1342">
        <v>49.998437500000001</v>
      </c>
      <c r="J1342">
        <v>-1</v>
      </c>
      <c r="N1342" t="s">
        <v>191</v>
      </c>
      <c r="O1342">
        <f t="shared" si="60"/>
        <v>69.997600000000006</v>
      </c>
      <c r="P1342">
        <f t="shared" si="61"/>
        <v>-24.998953125000007</v>
      </c>
      <c r="Q1342">
        <f t="shared" si="62"/>
        <v>24.998953125000007</v>
      </c>
      <c r="Y1342">
        <f>TREND(H1339:H1343,G1339:G1343,G1342)</f>
        <v>49.998437500000001</v>
      </c>
      <c r="Z1342">
        <f>ABS((Y1342-H1342)/80*100)</f>
        <v>0</v>
      </c>
      <c r="AE1342">
        <f>ABS(P1383-P1355)</f>
        <v>6.8000000000001393E-3</v>
      </c>
      <c r="AH1342">
        <f>H1342-AG1325</f>
        <v>50.007239999999996</v>
      </c>
      <c r="AI1342">
        <f>100*(AH1342-O1342)/80</f>
        <v>-24.987950000000012</v>
      </c>
    </row>
    <row r="1343" spans="1:41" x14ac:dyDescent="0.35">
      <c r="A1343" t="s">
        <v>272</v>
      </c>
      <c r="B1343" t="s">
        <v>231</v>
      </c>
      <c r="C1343" t="s">
        <v>949</v>
      </c>
      <c r="D1343">
        <v>0</v>
      </c>
      <c r="E1343">
        <v>0.1</v>
      </c>
      <c r="F1343">
        <v>1</v>
      </c>
      <c r="G1343">
        <v>0.99980100000000005</v>
      </c>
      <c r="H1343">
        <v>49.998437500000001</v>
      </c>
      <c r="J1343">
        <v>-1</v>
      </c>
      <c r="N1343" t="s">
        <v>191</v>
      </c>
      <c r="O1343">
        <f t="shared" si="60"/>
        <v>89.992040000000003</v>
      </c>
      <c r="P1343">
        <f t="shared" si="61"/>
        <v>-49.992003125000004</v>
      </c>
      <c r="Q1343">
        <f t="shared" si="62"/>
        <v>49.992003125000004</v>
      </c>
      <c r="Y1343">
        <f>TREND(H1339:H1343,G1339:G1343,G1343)</f>
        <v>49.998437500000001</v>
      </c>
      <c r="Z1343">
        <f>ABS((Y1343-H1343)/80*100)</f>
        <v>0</v>
      </c>
      <c r="AE1343">
        <f>ABS(P1384-P1356)</f>
        <v>8.9499999999986812E-3</v>
      </c>
      <c r="AH1343">
        <f>H1343-AG1325</f>
        <v>50.007239999999996</v>
      </c>
      <c r="AI1343">
        <f>100*(AH1343-O1343)/80</f>
        <v>-49.981000000000009</v>
      </c>
    </row>
    <row r="1344" spans="1:41" x14ac:dyDescent="0.35">
      <c r="A1344" t="s">
        <v>272</v>
      </c>
      <c r="B1344" t="s">
        <v>231</v>
      </c>
      <c r="C1344" t="s">
        <v>986</v>
      </c>
      <c r="D1344">
        <v>0</v>
      </c>
      <c r="E1344">
        <v>0</v>
      </c>
      <c r="F1344">
        <v>0</v>
      </c>
      <c r="G1344">
        <v>1.9999999999999999E-6</v>
      </c>
      <c r="H1344">
        <v>49.998437500000001</v>
      </c>
      <c r="J1344">
        <v>-1</v>
      </c>
      <c r="N1344" t="s">
        <v>191</v>
      </c>
      <c r="O1344">
        <f t="shared" si="60"/>
        <v>50.000080000000004</v>
      </c>
      <c r="P1344">
        <f t="shared" si="61"/>
        <v>-2.0531250000033197E-3</v>
      </c>
      <c r="Q1344">
        <f t="shared" si="62"/>
        <v>2.0531250000033197E-3</v>
      </c>
      <c r="Y1344">
        <f>TREND(H1339:H1343,G1339:G1343,G1344)</f>
        <v>49.998437500000001</v>
      </c>
      <c r="Z1344">
        <f>ABS((Y1344-H1344)/80*100)</f>
        <v>0</v>
      </c>
      <c r="AE1344">
        <f>ABS(P1385-P1357)</f>
        <v>3.83499999999799E-2</v>
      </c>
      <c r="AH1344">
        <f>H1344-AG1325</f>
        <v>50.007239999999996</v>
      </c>
      <c r="AI1344">
        <f>100*(AH1344-O1344)/80</f>
        <v>8.9499999999897994E-3</v>
      </c>
    </row>
    <row r="1345" spans="1:41" x14ac:dyDescent="0.35">
      <c r="A1345" t="s">
        <v>272</v>
      </c>
      <c r="B1345" t="s">
        <v>231</v>
      </c>
      <c r="C1345" t="s">
        <v>1022</v>
      </c>
      <c r="D1345">
        <v>0</v>
      </c>
      <c r="E1345">
        <v>0</v>
      </c>
      <c r="F1345">
        <v>-1</v>
      </c>
      <c r="G1345">
        <v>-1.0002409999999999</v>
      </c>
      <c r="H1345">
        <v>49.998437500000001</v>
      </c>
      <c r="J1345">
        <v>-1</v>
      </c>
      <c r="N1345" t="s">
        <v>191</v>
      </c>
      <c r="O1345">
        <f t="shared" si="60"/>
        <v>9.9903600000000026</v>
      </c>
      <c r="P1345">
        <f t="shared" si="61"/>
        <v>50.010096875000002</v>
      </c>
      <c r="Q1345">
        <f t="shared" si="62"/>
        <v>50.010096875000002</v>
      </c>
      <c r="Y1345">
        <f>TREND(H1339:H1343,G1339:G1343,G1345)</f>
        <v>49.998437500000001</v>
      </c>
      <c r="Z1345">
        <f>ABS((Y1345-H1345)/80*100)</f>
        <v>0</v>
      </c>
      <c r="AE1345">
        <f>ABS(P1386-P1358)</f>
        <v>1.5450000000001296E-2</v>
      </c>
      <c r="AH1345">
        <f>H1345-AG1325</f>
        <v>50.007239999999996</v>
      </c>
      <c r="AI1345">
        <f>100*(AH1345-O1345)/80</f>
        <v>50.02109999999999</v>
      </c>
    </row>
    <row r="1346" spans="1:41" x14ac:dyDescent="0.35">
      <c r="A1346" t="s">
        <v>272</v>
      </c>
      <c r="B1346" t="s">
        <v>231</v>
      </c>
      <c r="C1346" t="s">
        <v>1058</v>
      </c>
      <c r="D1346">
        <v>10</v>
      </c>
      <c r="E1346">
        <v>10</v>
      </c>
      <c r="F1346">
        <v>-1</v>
      </c>
      <c r="G1346">
        <v>-1.0000230000000001</v>
      </c>
      <c r="H1346">
        <v>49.998437500000001</v>
      </c>
      <c r="J1346">
        <v>-1</v>
      </c>
      <c r="N1346" t="s">
        <v>191</v>
      </c>
      <c r="O1346">
        <f t="shared" si="60"/>
        <v>9.9990799999999957</v>
      </c>
      <c r="P1346">
        <f t="shared" si="61"/>
        <v>49.999196875000003</v>
      </c>
      <c r="Q1346">
        <f t="shared" si="62"/>
        <v>49.999196875000003</v>
      </c>
      <c r="S1346">
        <v>49.998437500000001</v>
      </c>
      <c r="T1346">
        <v>1.0796874999998707E-2</v>
      </c>
      <c r="U1346">
        <v>49.998437500000001</v>
      </c>
      <c r="V1346">
        <v>-49.996253124999996</v>
      </c>
      <c r="W1346">
        <v>-1.5258789076710855E-6</v>
      </c>
      <c r="X1346">
        <f>(W1346-80)/80*100</f>
        <v>-100.00000190734863</v>
      </c>
      <c r="Y1346">
        <f>TREND(H1346:H1350,G1346:G1350,G1346)</f>
        <v>49.998437500000001</v>
      </c>
      <c r="Z1346">
        <f>ABS((Y1346-H1346)/80*100)</f>
        <v>0</v>
      </c>
      <c r="AA1346">
        <f>MAX(Z1346:Z1350)</f>
        <v>0</v>
      </c>
      <c r="AB1346">
        <f>IF(ABS(MAX(P1346:P1352)) &gt; ABS(MIN(P1346:P1352)),MAX(P1346:P1352), MIN(P1346:P1352))</f>
        <v>50.008096874999993</v>
      </c>
      <c r="AC1346">
        <f>IF(ABS(AB1347)&gt;ABS(AB1346),AB1347,AB1346)</f>
        <v>50.008096874999993</v>
      </c>
      <c r="AE1346">
        <f>ABS(P1387-P1359)</f>
        <v>1.2249999999994543E-2</v>
      </c>
      <c r="AH1346">
        <f>H1346-AG1325</f>
        <v>50.007239999999996</v>
      </c>
      <c r="AI1346">
        <f>100*(AH1346-O1346)/80</f>
        <v>50.010200000000005</v>
      </c>
      <c r="AJ1346">
        <v>50.007239999999996</v>
      </c>
      <c r="AK1346">
        <v>2.1799999999991826E-2</v>
      </c>
      <c r="AL1346">
        <v>50.007239999999996</v>
      </c>
      <c r="AM1346">
        <v>-49.985250000000008</v>
      </c>
      <c r="AN1346">
        <f>IF(ABS(MAX(AI1346:AI1352)) &gt; ABS(MIN(AI1346:AI1352)),MAX(AI1346:AI1352), MIN(AI1346:AI1352))</f>
        <v>50.019099999999987</v>
      </c>
      <c r="AO1346">
        <f>IF(ABS(AN1347)&gt;ABS(AN1346),AN1347,AN1346)</f>
        <v>50.019099999999987</v>
      </c>
    </row>
    <row r="1347" spans="1:41" x14ac:dyDescent="0.35">
      <c r="A1347" t="s">
        <v>272</v>
      </c>
      <c r="B1347" t="s">
        <v>231</v>
      </c>
      <c r="C1347" t="s">
        <v>1094</v>
      </c>
      <c r="D1347">
        <v>10</v>
      </c>
      <c r="E1347">
        <v>10</v>
      </c>
      <c r="F1347">
        <v>-0.5</v>
      </c>
      <c r="G1347">
        <v>-0.50028600000000001</v>
      </c>
      <c r="H1347">
        <v>49.998437500000001</v>
      </c>
      <c r="J1347">
        <v>-1</v>
      </c>
      <c r="N1347" t="s">
        <v>191</v>
      </c>
      <c r="O1347">
        <f t="shared" si="60"/>
        <v>29.98856</v>
      </c>
      <c r="P1347">
        <f t="shared" si="61"/>
        <v>25.012346875000002</v>
      </c>
      <c r="Q1347">
        <f t="shared" si="62"/>
        <v>25.012346875000002</v>
      </c>
      <c r="Y1347">
        <f>TREND(H1346:H1350,G1346:G1350,G1347)</f>
        <v>49.998437500000001</v>
      </c>
      <c r="Z1347">
        <f>ABS((Y1347-H1347)/80*100)</f>
        <v>0</v>
      </c>
      <c r="AB1347">
        <f>IF(ABS(T1346) &gt; ABS(V1346),T1346,V1346)</f>
        <v>-49.996253124999996</v>
      </c>
      <c r="AH1347">
        <f>H1347-AG1325</f>
        <v>50.007239999999996</v>
      </c>
      <c r="AI1347">
        <f>100*(AH1347-O1347)/80</f>
        <v>25.023349999999997</v>
      </c>
      <c r="AN1347">
        <f>IF(ABS(AK1346) &gt; ABS(AM1346),AK1346,AM1346)</f>
        <v>-49.985250000000008</v>
      </c>
    </row>
    <row r="1348" spans="1:41" x14ac:dyDescent="0.35">
      <c r="A1348" t="s">
        <v>272</v>
      </c>
      <c r="B1348" t="s">
        <v>1111</v>
      </c>
      <c r="C1348" t="s">
        <v>1131</v>
      </c>
      <c r="D1348">
        <v>10</v>
      </c>
      <c r="E1348">
        <v>10</v>
      </c>
      <c r="F1348">
        <v>0</v>
      </c>
      <c r="G1348">
        <v>-2.5500000000000002E-4</v>
      </c>
      <c r="H1348">
        <v>49.998437500000001</v>
      </c>
      <c r="J1348">
        <v>-1</v>
      </c>
      <c r="N1348" t="s">
        <v>191</v>
      </c>
      <c r="O1348">
        <f t="shared" si="60"/>
        <v>49.989800000000002</v>
      </c>
      <c r="P1348">
        <f t="shared" si="61"/>
        <v>1.0796874999998707E-2</v>
      </c>
      <c r="Q1348">
        <f t="shared" si="62"/>
        <v>1.0796874999998707E-2</v>
      </c>
      <c r="Y1348">
        <f>TREND(H1346:H1350,G1346:G1350,G1348)</f>
        <v>49.998437500000001</v>
      </c>
      <c r="Z1348">
        <f>ABS((Y1348-H1348)/80*100)</f>
        <v>0</v>
      </c>
      <c r="AH1348">
        <f>H1348-AG1325</f>
        <v>50.007239999999996</v>
      </c>
      <c r="AI1348">
        <f>100*(AH1348-O1348)/80</f>
        <v>2.1799999999991826E-2</v>
      </c>
    </row>
    <row r="1349" spans="1:41" x14ac:dyDescent="0.35">
      <c r="A1349" t="s">
        <v>272</v>
      </c>
      <c r="B1349" t="s">
        <v>1111</v>
      </c>
      <c r="C1349" t="s">
        <v>1168</v>
      </c>
      <c r="D1349">
        <v>10</v>
      </c>
      <c r="E1349">
        <v>10</v>
      </c>
      <c r="F1349">
        <v>0.5</v>
      </c>
      <c r="G1349">
        <v>0.50013200000000002</v>
      </c>
      <c r="H1349">
        <v>49.998437500000001</v>
      </c>
      <c r="J1349">
        <v>-1</v>
      </c>
      <c r="N1349" t="s">
        <v>191</v>
      </c>
      <c r="O1349">
        <f t="shared" si="60"/>
        <v>70.005279999999999</v>
      </c>
      <c r="P1349">
        <f t="shared" si="61"/>
        <v>-25.008553124999999</v>
      </c>
      <c r="Q1349">
        <f t="shared" si="62"/>
        <v>25.008553124999999</v>
      </c>
      <c r="Y1349">
        <f>TREND(H1346:H1350,G1346:G1350,G1349)</f>
        <v>49.998437500000001</v>
      </c>
      <c r="Z1349">
        <f>ABS((Y1349-H1349)/80*100)</f>
        <v>0</v>
      </c>
      <c r="AH1349">
        <f>H1349-AG1325</f>
        <v>50.007239999999996</v>
      </c>
      <c r="AI1349">
        <f>100*(AH1349-O1349)/80</f>
        <v>-24.997550000000004</v>
      </c>
    </row>
    <row r="1350" spans="1:41" x14ac:dyDescent="0.35">
      <c r="A1350" t="s">
        <v>272</v>
      </c>
      <c r="B1350" t="s">
        <v>1111</v>
      </c>
      <c r="C1350" t="s">
        <v>1206</v>
      </c>
      <c r="D1350">
        <v>10</v>
      </c>
      <c r="E1350">
        <v>10</v>
      </c>
      <c r="F1350">
        <v>1</v>
      </c>
      <c r="G1350">
        <v>0.99988600000000005</v>
      </c>
      <c r="H1350">
        <v>49.998437500000001</v>
      </c>
      <c r="J1350">
        <v>-1</v>
      </c>
      <c r="N1350" t="s">
        <v>191</v>
      </c>
      <c r="O1350">
        <f t="shared" si="60"/>
        <v>89.995440000000002</v>
      </c>
      <c r="P1350">
        <f t="shared" si="61"/>
        <v>-49.996253124999996</v>
      </c>
      <c r="Q1350">
        <f t="shared" si="62"/>
        <v>49.996253124999996</v>
      </c>
      <c r="Y1350">
        <f>TREND(H1346:H1350,G1346:G1350,G1350)</f>
        <v>49.998437500000001</v>
      </c>
      <c r="Z1350">
        <f>ABS((Y1350-H1350)/80*100)</f>
        <v>0</v>
      </c>
      <c r="AH1350">
        <f>H1350-AG1325</f>
        <v>50.007239999999996</v>
      </c>
      <c r="AI1350">
        <f>100*(AH1350-O1350)/80</f>
        <v>-49.985250000000008</v>
      </c>
    </row>
    <row r="1351" spans="1:41" x14ac:dyDescent="0.35">
      <c r="A1351" t="s">
        <v>272</v>
      </c>
      <c r="B1351" t="s">
        <v>1111</v>
      </c>
      <c r="C1351" t="s">
        <v>1242</v>
      </c>
      <c r="D1351">
        <v>10</v>
      </c>
      <c r="E1351">
        <v>10</v>
      </c>
      <c r="F1351">
        <v>0</v>
      </c>
      <c r="G1351">
        <v>2.03E-4</v>
      </c>
      <c r="H1351">
        <v>49.998437500000001</v>
      </c>
      <c r="J1351">
        <v>-1</v>
      </c>
      <c r="N1351" t="s">
        <v>191</v>
      </c>
      <c r="O1351">
        <f t="shared" si="60"/>
        <v>50.008119999999998</v>
      </c>
      <c r="P1351">
        <f t="shared" si="61"/>
        <v>-1.2103124999995885E-2</v>
      </c>
      <c r="Q1351">
        <f t="shared" si="62"/>
        <v>1.2103124999995885E-2</v>
      </c>
      <c r="Y1351">
        <f>TREND(H1346:H1350,G1346:G1350,G1351)</f>
        <v>49.998437500000001</v>
      </c>
      <c r="Z1351">
        <f>ABS((Y1351-H1351)/80*100)</f>
        <v>0</v>
      </c>
      <c r="AH1351">
        <f>H1351-AG1325</f>
        <v>50.007239999999996</v>
      </c>
      <c r="AI1351">
        <f>100*(AH1351-O1351)/80</f>
        <v>-1.1000000000027654E-3</v>
      </c>
    </row>
    <row r="1352" spans="1:41" x14ac:dyDescent="0.35">
      <c r="A1352" t="s">
        <v>272</v>
      </c>
      <c r="B1352" t="s">
        <v>1111</v>
      </c>
      <c r="C1352" t="s">
        <v>1278</v>
      </c>
      <c r="D1352">
        <v>10</v>
      </c>
      <c r="E1352">
        <v>10</v>
      </c>
      <c r="F1352">
        <v>-1</v>
      </c>
      <c r="G1352">
        <v>-1.0002009999999999</v>
      </c>
      <c r="H1352">
        <v>49.998437500000001</v>
      </c>
      <c r="J1352">
        <v>-1</v>
      </c>
      <c r="N1352" t="s">
        <v>191</v>
      </c>
      <c r="O1352">
        <f t="shared" si="60"/>
        <v>9.9919600000000042</v>
      </c>
      <c r="P1352">
        <f t="shared" si="61"/>
        <v>50.008096874999993</v>
      </c>
      <c r="Q1352">
        <f t="shared" si="62"/>
        <v>50.008096874999993</v>
      </c>
      <c r="Y1352">
        <f>TREND(H1346:H1350,G1346:G1350,G1352)</f>
        <v>49.998437500000001</v>
      </c>
      <c r="Z1352">
        <f>ABS((Y1352-H1352)/80*100)</f>
        <v>0</v>
      </c>
      <c r="AH1352">
        <f>H1352-AG1325</f>
        <v>50.007239999999996</v>
      </c>
      <c r="AI1352">
        <f>100*(AH1352-O1352)/80</f>
        <v>50.019099999999987</v>
      </c>
    </row>
    <row r="1353" spans="1:41" x14ac:dyDescent="0.35">
      <c r="A1353" t="s">
        <v>272</v>
      </c>
      <c r="B1353" t="s">
        <v>1111</v>
      </c>
      <c r="C1353" t="s">
        <v>1314</v>
      </c>
      <c r="D1353">
        <v>25</v>
      </c>
      <c r="E1353">
        <v>25</v>
      </c>
      <c r="F1353">
        <v>-1</v>
      </c>
      <c r="G1353">
        <v>-1.0000830000000001</v>
      </c>
      <c r="H1353">
        <v>49.998437500000001</v>
      </c>
      <c r="J1353">
        <v>-1</v>
      </c>
      <c r="N1353" t="s">
        <v>191</v>
      </c>
      <c r="O1353">
        <f t="shared" ref="O1353:O1416" si="63">(((G1353--1)*(40))+10)</f>
        <v>9.9966799999999978</v>
      </c>
      <c r="P1353">
        <f t="shared" ref="P1353:P1416" si="64">100*(H1353-O1353)/80</f>
        <v>50.002196875000003</v>
      </c>
      <c r="Q1353">
        <f t="shared" ref="Q1353:Q1416" si="65">ABS(P1353)</f>
        <v>50.002196875000003</v>
      </c>
      <c r="S1353">
        <v>49.998437500000001</v>
      </c>
      <c r="T1353">
        <v>1.214687500000089E-2</v>
      </c>
      <c r="U1353">
        <v>49.998437500000001</v>
      </c>
      <c r="V1353">
        <v>-49.979803125000004</v>
      </c>
      <c r="W1353">
        <v>-1.5258789076710855E-6</v>
      </c>
      <c r="X1353">
        <f>(W1353-80)/80*100</f>
        <v>-100.00000190734863</v>
      </c>
      <c r="Y1353">
        <f>TREND(H1353:H1357,G1353:G1357,G1353)</f>
        <v>49.998437500000001</v>
      </c>
      <c r="Z1353">
        <f>ABS((Y1353-H1353)/80*100)</f>
        <v>0</v>
      </c>
      <c r="AA1353">
        <f>MAX(Z1353:Z1357)</f>
        <v>0</v>
      </c>
      <c r="AB1353">
        <f>IF(ABS(MAX(P1353:P1359)) &gt; ABS(MIN(P1353:P1359)),MAX(P1353:P1359), MIN(P1353:P1359))</f>
        <v>50.005546875000007</v>
      </c>
      <c r="AC1353">
        <f>IF(ABS(AB1354)&gt;ABS(AB1353),AB1354,AB1353)</f>
        <v>50.005546875000007</v>
      </c>
      <c r="AH1353">
        <f>H1353-AG1325</f>
        <v>50.007239999999996</v>
      </c>
      <c r="AI1353">
        <f>100*(AH1353-O1353)/80</f>
        <v>50.013199999999998</v>
      </c>
      <c r="AJ1353">
        <v>50.007239999999996</v>
      </c>
      <c r="AK1353">
        <v>2.3149999999994009E-2</v>
      </c>
      <c r="AL1353">
        <v>50.007239999999996</v>
      </c>
      <c r="AM1353">
        <v>-49.968800000000009</v>
      </c>
      <c r="AN1353">
        <f>IF(ABS(MAX(AI1353:AI1359)) &gt; ABS(MIN(AI1353:AI1359)),MAX(AI1353:AI1359), MIN(AI1353:AI1359))</f>
        <v>50.016549999999995</v>
      </c>
      <c r="AO1353">
        <f>IF(ABS(AN1354)&gt;ABS(AN1353),AN1354,AN1353)</f>
        <v>50.016549999999995</v>
      </c>
    </row>
    <row r="1354" spans="1:41" x14ac:dyDescent="0.35">
      <c r="A1354" t="s">
        <v>272</v>
      </c>
      <c r="B1354" t="s">
        <v>1111</v>
      </c>
      <c r="C1354" t="s">
        <v>1351</v>
      </c>
      <c r="D1354">
        <v>25</v>
      </c>
      <c r="E1354">
        <v>25</v>
      </c>
      <c r="F1354">
        <v>-0.5</v>
      </c>
      <c r="G1354">
        <v>-0.50006399999999995</v>
      </c>
      <c r="H1354">
        <v>49.998437500000001</v>
      </c>
      <c r="J1354">
        <v>-1</v>
      </c>
      <c r="N1354" t="s">
        <v>191</v>
      </c>
      <c r="O1354">
        <f t="shared" si="63"/>
        <v>29.997440000000001</v>
      </c>
      <c r="P1354">
        <f t="shared" si="64"/>
        <v>25.001246875</v>
      </c>
      <c r="Q1354">
        <f t="shared" si="65"/>
        <v>25.001246875</v>
      </c>
      <c r="Y1354">
        <f>TREND(H1353:H1357,G1353:G1357,G1354)</f>
        <v>49.998437500000001</v>
      </c>
      <c r="Z1354">
        <f>ABS((Y1354-H1354)/80*100)</f>
        <v>0</v>
      </c>
      <c r="AB1354">
        <f>IF(ABS(T1353) &gt; ABS(V1353),T1353,V1353)</f>
        <v>-49.979803125000004</v>
      </c>
      <c r="AH1354">
        <f>H1354-AG1325</f>
        <v>50.007239999999996</v>
      </c>
      <c r="AI1354">
        <f>100*(AH1354-O1354)/80</f>
        <v>25.012249999999995</v>
      </c>
      <c r="AN1354">
        <f>IF(ABS(AK1353) &gt; ABS(AM1353),AK1353,AM1353)</f>
        <v>-49.968800000000009</v>
      </c>
    </row>
    <row r="1355" spans="1:41" x14ac:dyDescent="0.35">
      <c r="A1355" t="s">
        <v>272</v>
      </c>
      <c r="B1355" t="s">
        <v>1111</v>
      </c>
      <c r="C1355" t="s">
        <v>1387</v>
      </c>
      <c r="D1355">
        <v>25</v>
      </c>
      <c r="E1355">
        <v>25</v>
      </c>
      <c r="F1355">
        <v>0</v>
      </c>
      <c r="G1355">
        <v>-2.8200000000000002E-4</v>
      </c>
      <c r="H1355">
        <v>49.998437500000001</v>
      </c>
      <c r="J1355">
        <v>-1</v>
      </c>
      <c r="N1355" t="s">
        <v>191</v>
      </c>
      <c r="O1355">
        <f t="shared" si="63"/>
        <v>49.988720000000001</v>
      </c>
      <c r="P1355">
        <f t="shared" si="64"/>
        <v>1.214687500000089E-2</v>
      </c>
      <c r="Q1355">
        <f t="shared" si="65"/>
        <v>1.214687500000089E-2</v>
      </c>
      <c r="Y1355">
        <f>TREND(H1353:H1357,G1353:G1357,G1355)</f>
        <v>49.998437500000001</v>
      </c>
      <c r="Z1355">
        <f>ABS((Y1355-H1355)/80*100)</f>
        <v>0</v>
      </c>
      <c r="AH1355">
        <f>H1355-AG1325</f>
        <v>50.007239999999996</v>
      </c>
      <c r="AI1355">
        <f>100*(AH1355-O1355)/80</f>
        <v>2.3149999999994009E-2</v>
      </c>
    </row>
    <row r="1356" spans="1:41" x14ac:dyDescent="0.35">
      <c r="A1356" t="s">
        <v>272</v>
      </c>
      <c r="B1356" t="s">
        <v>1111</v>
      </c>
      <c r="C1356" t="s">
        <v>1424</v>
      </c>
      <c r="D1356">
        <v>25</v>
      </c>
      <c r="E1356">
        <v>25</v>
      </c>
      <c r="F1356">
        <v>0.5</v>
      </c>
      <c r="G1356">
        <v>0.50015200000000004</v>
      </c>
      <c r="H1356">
        <v>49.998437500000001</v>
      </c>
      <c r="J1356">
        <v>-1</v>
      </c>
      <c r="N1356" t="s">
        <v>191</v>
      </c>
      <c r="O1356">
        <f t="shared" si="63"/>
        <v>70.006079999999997</v>
      </c>
      <c r="P1356">
        <f t="shared" si="64"/>
        <v>-25.009553124999993</v>
      </c>
      <c r="Q1356">
        <f t="shared" si="65"/>
        <v>25.009553124999993</v>
      </c>
      <c r="Y1356">
        <f>TREND(H1353:H1357,G1353:G1357,G1356)</f>
        <v>49.998437500000001</v>
      </c>
      <c r="Z1356">
        <f>ABS((Y1356-H1356)/80*100)</f>
        <v>0</v>
      </c>
      <c r="AH1356">
        <f>H1356-AG1325</f>
        <v>50.007239999999996</v>
      </c>
      <c r="AI1356">
        <f>100*(AH1356-O1356)/80</f>
        <v>-24.998550000000002</v>
      </c>
    </row>
    <row r="1357" spans="1:41" x14ac:dyDescent="0.35">
      <c r="A1357" t="s">
        <v>272</v>
      </c>
      <c r="B1357" t="s">
        <v>1111</v>
      </c>
      <c r="C1357" t="s">
        <v>1461</v>
      </c>
      <c r="D1357">
        <v>25</v>
      </c>
      <c r="E1357">
        <v>25</v>
      </c>
      <c r="F1357">
        <v>1</v>
      </c>
      <c r="G1357">
        <v>0.99955700000000003</v>
      </c>
      <c r="H1357">
        <v>49.998437500000001</v>
      </c>
      <c r="J1357">
        <v>-1</v>
      </c>
      <c r="N1357" t="s">
        <v>191</v>
      </c>
      <c r="O1357">
        <f t="shared" si="63"/>
        <v>89.982280000000003</v>
      </c>
      <c r="P1357">
        <f t="shared" si="64"/>
        <v>-49.979803125000004</v>
      </c>
      <c r="Q1357">
        <f t="shared" si="65"/>
        <v>49.979803125000004</v>
      </c>
      <c r="Y1357">
        <f>TREND(H1353:H1357,G1353:G1357,G1357)</f>
        <v>49.998437500000001</v>
      </c>
      <c r="Z1357">
        <f>ABS((Y1357-H1357)/80*100)</f>
        <v>0</v>
      </c>
      <c r="AH1357">
        <f>H1357-AG1325</f>
        <v>50.007239999999996</v>
      </c>
      <c r="AI1357">
        <f>100*(AH1357-O1357)/80</f>
        <v>-49.968800000000009</v>
      </c>
    </row>
    <row r="1358" spans="1:41" x14ac:dyDescent="0.35">
      <c r="A1358" t="s">
        <v>272</v>
      </c>
      <c r="B1358" t="s">
        <v>1111</v>
      </c>
      <c r="C1358" t="s">
        <v>1498</v>
      </c>
      <c r="D1358">
        <v>25</v>
      </c>
      <c r="E1358">
        <v>25</v>
      </c>
      <c r="F1358">
        <v>0</v>
      </c>
      <c r="G1358">
        <v>-3.8999999999999999E-4</v>
      </c>
      <c r="H1358">
        <v>49.998437500000001</v>
      </c>
      <c r="J1358">
        <v>-1</v>
      </c>
      <c r="N1358" t="s">
        <v>191</v>
      </c>
      <c r="O1358">
        <f t="shared" si="63"/>
        <v>49.984400000000001</v>
      </c>
      <c r="P1358">
        <f t="shared" si="64"/>
        <v>1.7546875000000739E-2</v>
      </c>
      <c r="Q1358">
        <f t="shared" si="65"/>
        <v>1.7546875000000739E-2</v>
      </c>
      <c r="Y1358">
        <f>TREND(H1353:H1357,G1353:G1357,G1358)</f>
        <v>49.998437500000001</v>
      </c>
      <c r="Z1358">
        <f>ABS((Y1358-H1358)/80*100)</f>
        <v>0</v>
      </c>
      <c r="AH1358">
        <f>H1358-AG1325</f>
        <v>50.007239999999996</v>
      </c>
      <c r="AI1358">
        <f>100*(AH1358-O1358)/80</f>
        <v>2.8549999999993858E-2</v>
      </c>
    </row>
    <row r="1359" spans="1:41" x14ac:dyDescent="0.35">
      <c r="A1359" t="s">
        <v>272</v>
      </c>
      <c r="B1359" t="s">
        <v>1111</v>
      </c>
      <c r="C1359" t="s">
        <v>1534</v>
      </c>
      <c r="D1359">
        <v>25</v>
      </c>
      <c r="E1359">
        <v>25</v>
      </c>
      <c r="F1359">
        <v>-1</v>
      </c>
      <c r="G1359">
        <v>-1.0001500000000001</v>
      </c>
      <c r="H1359">
        <v>49.998437500000001</v>
      </c>
      <c r="J1359">
        <v>0</v>
      </c>
      <c r="N1359" t="s">
        <v>191</v>
      </c>
      <c r="O1359">
        <f t="shared" si="63"/>
        <v>9.9939999999999962</v>
      </c>
      <c r="P1359">
        <f t="shared" si="64"/>
        <v>50.005546875000007</v>
      </c>
      <c r="Q1359">
        <f t="shared" si="65"/>
        <v>50.005546875000007</v>
      </c>
      <c r="Y1359">
        <f>TREND(H1353:H1357,G1353:G1357,G1359)</f>
        <v>49.998437500000001</v>
      </c>
      <c r="Z1359">
        <f>ABS((Y1359-H1359)/80*100)</f>
        <v>0</v>
      </c>
      <c r="AH1359">
        <f>H1359-AG1325</f>
        <v>50.007239999999996</v>
      </c>
      <c r="AI1359">
        <f>100*(AH1359-O1359)/80</f>
        <v>50.016549999999995</v>
      </c>
    </row>
    <row r="1360" spans="1:41" x14ac:dyDescent="0.35">
      <c r="A1360" t="s">
        <v>272</v>
      </c>
      <c r="B1360" t="s">
        <v>1111</v>
      </c>
      <c r="C1360" t="s">
        <v>1571</v>
      </c>
      <c r="D1360">
        <v>50</v>
      </c>
      <c r="E1360">
        <v>50</v>
      </c>
      <c r="F1360">
        <v>-1</v>
      </c>
      <c r="G1360">
        <v>-1.0002489999999999</v>
      </c>
      <c r="H1360">
        <v>49.998437500000001</v>
      </c>
      <c r="J1360">
        <v>-1</v>
      </c>
      <c r="N1360" t="s">
        <v>191</v>
      </c>
      <c r="O1360">
        <f t="shared" si="63"/>
        <v>9.9900400000000023</v>
      </c>
      <c r="P1360">
        <f t="shared" si="64"/>
        <v>50.010496875000001</v>
      </c>
      <c r="Q1360">
        <f t="shared" si="65"/>
        <v>50.010496875000001</v>
      </c>
      <c r="S1360">
        <v>49.998437500000001</v>
      </c>
      <c r="T1360">
        <v>-1.320312499999865E-2</v>
      </c>
      <c r="U1360">
        <v>49.998437500000001</v>
      </c>
      <c r="V1360">
        <v>-50.002753125000005</v>
      </c>
      <c r="W1360">
        <v>-1.5258789076710855E-6</v>
      </c>
      <c r="X1360">
        <f>(W1360-80)/80*100</f>
        <v>-100.00000190734863</v>
      </c>
      <c r="Y1360">
        <f>TREND(H1360:H1364,G1360:G1364,G1360)</f>
        <v>49.998437500000001</v>
      </c>
      <c r="Z1360">
        <f>ABS((Y1360-H1360)/80*100)</f>
        <v>0</v>
      </c>
      <c r="AA1360">
        <f>MAX(Z1360:Z1364)</f>
        <v>0</v>
      </c>
      <c r="AB1360">
        <f>IF(ABS(MAX(P1360:P1366)) &gt; ABS(MIN(P1360:P1366)),MAX(P1360:P1366), MIN(P1360:P1366))</f>
        <v>50.010496875000001</v>
      </c>
      <c r="AC1360">
        <f>IF(ABS(AB1361)&gt;ABS(AB1360),AB1361,AB1360)</f>
        <v>50.010496875000001</v>
      </c>
      <c r="AH1360">
        <f>H1360-AG1325</f>
        <v>50.007239999999996</v>
      </c>
      <c r="AI1360">
        <f>100*(AH1360-O1360)/80</f>
        <v>50.021499999999989</v>
      </c>
      <c r="AJ1360">
        <v>50.007239999999996</v>
      </c>
      <c r="AK1360">
        <v>-2.2000000000055309E-3</v>
      </c>
      <c r="AL1360">
        <v>50.007239999999996</v>
      </c>
      <c r="AM1360">
        <v>-49.99175000000001</v>
      </c>
      <c r="AN1360">
        <f>IF(ABS(MAX(AI1360:AI1366)) &gt; ABS(MIN(AI1360:AI1366)),MAX(AI1360:AI1366), MIN(AI1360:AI1366))</f>
        <v>50.021499999999989</v>
      </c>
      <c r="AO1360">
        <f>IF(ABS(AN1361)&gt;ABS(AN1360),AN1361,AN1360)</f>
        <v>50.021499999999989</v>
      </c>
    </row>
    <row r="1361" spans="1:41" x14ac:dyDescent="0.35">
      <c r="A1361" t="s">
        <v>272</v>
      </c>
      <c r="B1361" t="s">
        <v>1111</v>
      </c>
      <c r="C1361" t="s">
        <v>1607</v>
      </c>
      <c r="D1361">
        <v>50</v>
      </c>
      <c r="E1361">
        <v>50</v>
      </c>
      <c r="F1361">
        <v>-0.5</v>
      </c>
      <c r="G1361">
        <v>-0.50025200000000003</v>
      </c>
      <c r="H1361">
        <v>49.998437500000001</v>
      </c>
      <c r="J1361">
        <v>-1</v>
      </c>
      <c r="N1361" t="s">
        <v>191</v>
      </c>
      <c r="O1361">
        <f t="shared" si="63"/>
        <v>29.989919999999998</v>
      </c>
      <c r="P1361">
        <f t="shared" si="64"/>
        <v>25.010646875000003</v>
      </c>
      <c r="Q1361">
        <f t="shared" si="65"/>
        <v>25.010646875000003</v>
      </c>
      <c r="Y1361">
        <f>TREND(H1360:H1364,G1360:G1364,G1361)</f>
        <v>49.998437500000001</v>
      </c>
      <c r="Z1361">
        <f>ABS((Y1361-H1361)/80*100)</f>
        <v>0</v>
      </c>
      <c r="AB1361">
        <f>IF(ABS(T1360) &gt; ABS(V1360),T1360,V1360)</f>
        <v>-50.002753125000005</v>
      </c>
      <c r="AH1361">
        <f>H1361-AG1325</f>
        <v>50.007239999999996</v>
      </c>
      <c r="AI1361">
        <f>100*(AH1361-O1361)/80</f>
        <v>25.021649999999998</v>
      </c>
      <c r="AN1361">
        <f>IF(ABS(AK1360) &gt; ABS(AM1360),AK1360,AM1360)</f>
        <v>-49.99175000000001</v>
      </c>
    </row>
    <row r="1362" spans="1:41" x14ac:dyDescent="0.35">
      <c r="A1362" t="s">
        <v>272</v>
      </c>
      <c r="B1362" t="s">
        <v>1111</v>
      </c>
      <c r="C1362" t="s">
        <v>1645</v>
      </c>
      <c r="D1362">
        <v>50</v>
      </c>
      <c r="E1362">
        <v>50</v>
      </c>
      <c r="F1362">
        <v>0</v>
      </c>
      <c r="G1362">
        <v>2.2499999999999999E-4</v>
      </c>
      <c r="H1362">
        <v>49.998437500000001</v>
      </c>
      <c r="J1362">
        <v>-1</v>
      </c>
      <c r="N1362" t="s">
        <v>191</v>
      </c>
      <c r="O1362">
        <f t="shared" si="63"/>
        <v>50.009</v>
      </c>
      <c r="P1362">
        <f t="shared" si="64"/>
        <v>-1.320312499999865E-2</v>
      </c>
      <c r="Q1362">
        <f t="shared" si="65"/>
        <v>1.320312499999865E-2</v>
      </c>
      <c r="Y1362">
        <f>TREND(H1360:H1364,G1360:G1364,G1362)</f>
        <v>49.998437500000001</v>
      </c>
      <c r="Z1362">
        <f>ABS((Y1362-H1362)/80*100)</f>
        <v>0</v>
      </c>
      <c r="AH1362">
        <f>H1362-AG1325</f>
        <v>50.007239999999996</v>
      </c>
      <c r="AI1362">
        <f>100*(AH1362-O1362)/80</f>
        <v>-2.2000000000055309E-3</v>
      </c>
    </row>
    <row r="1363" spans="1:41" x14ac:dyDescent="0.35">
      <c r="A1363" t="s">
        <v>272</v>
      </c>
      <c r="B1363" t="s">
        <v>1111</v>
      </c>
      <c r="C1363" t="s">
        <v>1681</v>
      </c>
      <c r="D1363">
        <v>50</v>
      </c>
      <c r="E1363">
        <v>50</v>
      </c>
      <c r="F1363">
        <v>0.5</v>
      </c>
      <c r="G1363">
        <v>0.499919</v>
      </c>
      <c r="H1363">
        <v>49.998437500000001</v>
      </c>
      <c r="J1363">
        <v>-1</v>
      </c>
      <c r="N1363" t="s">
        <v>191</v>
      </c>
      <c r="O1363">
        <f t="shared" si="63"/>
        <v>69.996759999999995</v>
      </c>
      <c r="P1363">
        <f t="shared" si="64"/>
        <v>-24.99790312499999</v>
      </c>
      <c r="Q1363">
        <f t="shared" si="65"/>
        <v>24.99790312499999</v>
      </c>
      <c r="Y1363">
        <f>TREND(H1360:H1364,G1360:G1364,G1363)</f>
        <v>49.998437500000001</v>
      </c>
      <c r="Z1363">
        <f>ABS((Y1363-H1363)/80*100)</f>
        <v>0</v>
      </c>
      <c r="AH1363">
        <f>H1363-AG1325</f>
        <v>50.007239999999996</v>
      </c>
      <c r="AI1363">
        <f>100*(AH1363-O1363)/80</f>
        <v>-24.986899999999999</v>
      </c>
    </row>
    <row r="1364" spans="1:41" x14ac:dyDescent="0.35">
      <c r="A1364" t="s">
        <v>272</v>
      </c>
      <c r="B1364" t="s">
        <v>1111</v>
      </c>
      <c r="C1364" t="s">
        <v>1718</v>
      </c>
      <c r="D1364">
        <v>50</v>
      </c>
      <c r="E1364">
        <v>50</v>
      </c>
      <c r="F1364">
        <v>1</v>
      </c>
      <c r="G1364">
        <v>1.000016</v>
      </c>
      <c r="H1364">
        <v>49.998437500000001</v>
      </c>
      <c r="J1364">
        <v>-1</v>
      </c>
      <c r="N1364" t="s">
        <v>191</v>
      </c>
      <c r="O1364">
        <f t="shared" si="63"/>
        <v>90.000640000000004</v>
      </c>
      <c r="P1364">
        <f t="shared" si="64"/>
        <v>-50.002753125000005</v>
      </c>
      <c r="Q1364">
        <f t="shared" si="65"/>
        <v>50.002753125000005</v>
      </c>
      <c r="Y1364">
        <f>TREND(H1360:H1364,G1360:G1364,G1364)</f>
        <v>49.998437500000001</v>
      </c>
      <c r="Z1364">
        <f>ABS((Y1364-H1364)/80*100)</f>
        <v>0</v>
      </c>
      <c r="AH1364">
        <f>H1364-AG1325</f>
        <v>50.007239999999996</v>
      </c>
      <c r="AI1364">
        <f>100*(AH1364-O1364)/80</f>
        <v>-49.99175000000001</v>
      </c>
    </row>
    <row r="1365" spans="1:41" x14ac:dyDescent="0.35">
      <c r="A1365" t="s">
        <v>272</v>
      </c>
      <c r="B1365" t="s">
        <v>1111</v>
      </c>
      <c r="C1365" t="s">
        <v>1755</v>
      </c>
      <c r="D1365">
        <v>50</v>
      </c>
      <c r="E1365">
        <v>50</v>
      </c>
      <c r="F1365">
        <v>0</v>
      </c>
      <c r="G1365">
        <v>1.2999999999999999E-5</v>
      </c>
      <c r="H1365">
        <v>49.998437500000001</v>
      </c>
      <c r="J1365">
        <v>-1</v>
      </c>
      <c r="N1365" t="s">
        <v>191</v>
      </c>
      <c r="O1365">
        <f t="shared" si="63"/>
        <v>50.000520000000002</v>
      </c>
      <c r="P1365">
        <f t="shared" si="64"/>
        <v>-2.6031250000002615E-3</v>
      </c>
      <c r="Q1365">
        <f t="shared" si="65"/>
        <v>2.6031250000002615E-3</v>
      </c>
      <c r="Y1365">
        <f>TREND(H1360:H1364,G1360:G1364,G1365)</f>
        <v>49.998437500000001</v>
      </c>
      <c r="Z1365">
        <f>ABS((Y1365-H1365)/80*100)</f>
        <v>0</v>
      </c>
      <c r="AH1365">
        <f>H1365-AG1325</f>
        <v>50.007239999999996</v>
      </c>
      <c r="AI1365">
        <f>100*(AH1365-O1365)/80</f>
        <v>8.3999999999928576E-3</v>
      </c>
    </row>
    <row r="1366" spans="1:41" x14ac:dyDescent="0.35">
      <c r="A1366" t="s">
        <v>272</v>
      </c>
      <c r="B1366" t="s">
        <v>1111</v>
      </c>
      <c r="C1366" t="s">
        <v>1791</v>
      </c>
      <c r="D1366">
        <v>50</v>
      </c>
      <c r="E1366">
        <v>50</v>
      </c>
      <c r="F1366">
        <v>-1</v>
      </c>
      <c r="G1366">
        <v>-1.0001690000000001</v>
      </c>
      <c r="H1366">
        <v>49.998437500000001</v>
      </c>
      <c r="J1366">
        <v>-1</v>
      </c>
      <c r="N1366" t="s">
        <v>191</v>
      </c>
      <c r="O1366">
        <f t="shared" si="63"/>
        <v>9.9932399999999966</v>
      </c>
      <c r="P1366">
        <f t="shared" si="64"/>
        <v>50.006496875000011</v>
      </c>
      <c r="Q1366">
        <f t="shared" si="65"/>
        <v>50.006496875000011</v>
      </c>
      <c r="Y1366">
        <f>TREND(H1360:H1364,G1360:G1364,G1366)</f>
        <v>49.998437500000001</v>
      </c>
      <c r="Z1366">
        <f>ABS((Y1366-H1366)/80*100)</f>
        <v>0</v>
      </c>
      <c r="AH1366">
        <f>H1366-AG1325</f>
        <v>50.007239999999996</v>
      </c>
      <c r="AI1366">
        <f>100*(AH1366-O1366)/80</f>
        <v>50.017499999999998</v>
      </c>
    </row>
    <row r="1367" spans="1:41" x14ac:dyDescent="0.35">
      <c r="A1367" t="s">
        <v>272</v>
      </c>
      <c r="B1367" t="s">
        <v>1111</v>
      </c>
      <c r="C1367" t="s">
        <v>1829</v>
      </c>
      <c r="D1367">
        <v>70</v>
      </c>
      <c r="E1367">
        <v>70</v>
      </c>
      <c r="F1367">
        <v>-1</v>
      </c>
      <c r="G1367">
        <v>-1.0000530000000001</v>
      </c>
      <c r="H1367">
        <v>49.998437500000001</v>
      </c>
      <c r="J1367">
        <v>-1</v>
      </c>
      <c r="N1367" t="s">
        <v>191</v>
      </c>
      <c r="O1367">
        <f t="shared" si="63"/>
        <v>9.9978799999999968</v>
      </c>
      <c r="P1367">
        <f t="shared" si="64"/>
        <v>50.000696875000003</v>
      </c>
      <c r="Q1367">
        <f t="shared" si="65"/>
        <v>50.000696875000003</v>
      </c>
      <c r="S1367">
        <v>49.998437500000001</v>
      </c>
      <c r="T1367">
        <v>-1.8531250000020094E-3</v>
      </c>
      <c r="U1367">
        <v>49.998437500000001</v>
      </c>
      <c r="V1367">
        <v>-50.001703124999992</v>
      </c>
      <c r="W1367">
        <v>-1.5258789076710855E-6</v>
      </c>
      <c r="X1367">
        <f>(W1367-80)/80*100</f>
        <v>-100.00000190734863</v>
      </c>
      <c r="Y1367">
        <f>TREND(H1367:H1371,G1367:G1371,G1367)</f>
        <v>49.998437500000001</v>
      </c>
      <c r="Z1367">
        <f>ABS((Y1367-H1367)/80*100)</f>
        <v>0</v>
      </c>
      <c r="AA1367">
        <f>MAX(Z1367:Z1371)</f>
        <v>0</v>
      </c>
      <c r="AB1367">
        <f>IF(ABS(MAX(P1367:P1373)) &gt; ABS(MIN(P1367:P1373)),MAX(P1367:P1373), MIN(P1367:P1373))</f>
        <v>-50.001703124999992</v>
      </c>
      <c r="AC1367">
        <f>IF(ABS(AB1368)&gt;ABS(AB1367),AB1368,AB1367)</f>
        <v>-50.001703124999992</v>
      </c>
      <c r="AH1367">
        <f>H1367-AG1325</f>
        <v>50.007239999999996</v>
      </c>
      <c r="AI1367">
        <f>100*(AH1367-O1367)/80</f>
        <v>50.011700000000005</v>
      </c>
      <c r="AJ1367">
        <v>50.007239999999996</v>
      </c>
      <c r="AK1367">
        <v>9.1499999999911097E-3</v>
      </c>
      <c r="AL1367">
        <v>50.007239999999996</v>
      </c>
      <c r="AM1367">
        <v>-49.990699999999997</v>
      </c>
      <c r="AN1367">
        <f>IF(ABS(MAX(AI1367:AI1373)) &gt; ABS(MIN(AI1367:AI1373)),MAX(AI1367:AI1373), MIN(AI1367:AI1373))</f>
        <v>50.011700000000005</v>
      </c>
      <c r="AO1367">
        <f>IF(ABS(AN1368)&gt;ABS(AN1367),AN1368,AN1367)</f>
        <v>50.011700000000005</v>
      </c>
    </row>
    <row r="1368" spans="1:41" x14ac:dyDescent="0.35">
      <c r="A1368" t="s">
        <v>272</v>
      </c>
      <c r="B1368" t="s">
        <v>1111</v>
      </c>
      <c r="C1368" t="s">
        <v>1866</v>
      </c>
      <c r="D1368">
        <v>70</v>
      </c>
      <c r="E1368">
        <v>70</v>
      </c>
      <c r="F1368">
        <v>-0.5</v>
      </c>
      <c r="G1368">
        <v>-0.50012900000000005</v>
      </c>
      <c r="H1368">
        <v>49.998437500000001</v>
      </c>
      <c r="J1368">
        <v>-1</v>
      </c>
      <c r="N1368" t="s">
        <v>191</v>
      </c>
      <c r="O1368">
        <f t="shared" si="63"/>
        <v>29.994839999999996</v>
      </c>
      <c r="P1368">
        <f t="shared" si="64"/>
        <v>25.004496875000008</v>
      </c>
      <c r="Q1368">
        <f t="shared" si="65"/>
        <v>25.004496875000008</v>
      </c>
      <c r="Y1368">
        <f>TREND(H1367:H1371,G1367:G1371,G1368)</f>
        <v>49.998437500000001</v>
      </c>
      <c r="Z1368">
        <f>ABS((Y1368-H1368)/80*100)</f>
        <v>0</v>
      </c>
      <c r="AB1368">
        <f>IF(ABS(T1367) &gt; ABS(V1367),T1367,V1367)</f>
        <v>-50.001703124999992</v>
      </c>
      <c r="AH1368">
        <f>H1368-AG1325</f>
        <v>50.007239999999996</v>
      </c>
      <c r="AI1368">
        <f>100*(AH1368-O1368)/80</f>
        <v>25.015499999999999</v>
      </c>
      <c r="AN1368">
        <f>IF(ABS(AK1367) &gt; ABS(AM1367),AK1367,AM1367)</f>
        <v>-49.990699999999997</v>
      </c>
    </row>
    <row r="1369" spans="1:41" x14ac:dyDescent="0.35">
      <c r="A1369" t="s">
        <v>272</v>
      </c>
      <c r="B1369" t="s">
        <v>1111</v>
      </c>
      <c r="C1369" t="s">
        <v>1902</v>
      </c>
      <c r="D1369">
        <v>70</v>
      </c>
      <c r="E1369">
        <v>70</v>
      </c>
      <c r="F1369">
        <v>0</v>
      </c>
      <c r="G1369">
        <v>-1.9999999999999999E-6</v>
      </c>
      <c r="H1369">
        <v>49.998437500000001</v>
      </c>
      <c r="J1369">
        <v>-1</v>
      </c>
      <c r="N1369" t="s">
        <v>191</v>
      </c>
      <c r="O1369">
        <f t="shared" si="63"/>
        <v>49.999920000000003</v>
      </c>
      <c r="P1369">
        <f t="shared" si="64"/>
        <v>-1.8531250000020094E-3</v>
      </c>
      <c r="Q1369">
        <f t="shared" si="65"/>
        <v>1.8531250000020094E-3</v>
      </c>
      <c r="Y1369">
        <f>TREND(H1367:H1371,G1367:G1371,G1369)</f>
        <v>49.998437500000001</v>
      </c>
      <c r="Z1369">
        <f>ABS((Y1369-H1369)/80*100)</f>
        <v>0</v>
      </c>
      <c r="AH1369">
        <f>H1369-AG1325</f>
        <v>50.007239999999996</v>
      </c>
      <c r="AI1369">
        <f>100*(AH1369-O1369)/80</f>
        <v>9.1499999999911097E-3</v>
      </c>
    </row>
    <row r="1370" spans="1:41" x14ac:dyDescent="0.35">
      <c r="A1370" t="s">
        <v>272</v>
      </c>
      <c r="B1370" t="s">
        <v>1111</v>
      </c>
      <c r="C1370" t="s">
        <v>1938</v>
      </c>
      <c r="D1370">
        <v>70</v>
      </c>
      <c r="E1370">
        <v>70</v>
      </c>
      <c r="F1370">
        <v>0.5</v>
      </c>
      <c r="G1370">
        <v>0.49997599999999998</v>
      </c>
      <c r="H1370">
        <v>49.998437500000001</v>
      </c>
      <c r="J1370">
        <v>-1</v>
      </c>
      <c r="N1370" t="s">
        <v>191</v>
      </c>
      <c r="O1370">
        <f t="shared" si="63"/>
        <v>69.999040000000008</v>
      </c>
      <c r="P1370">
        <f t="shared" si="64"/>
        <v>-25.00075312500001</v>
      </c>
      <c r="Q1370">
        <f t="shared" si="65"/>
        <v>25.00075312500001</v>
      </c>
      <c r="Y1370">
        <f>TREND(H1367:H1371,G1367:G1371,G1370)</f>
        <v>49.998437500000001</v>
      </c>
      <c r="Z1370">
        <f>ABS((Y1370-H1370)/80*100)</f>
        <v>0</v>
      </c>
      <c r="AH1370">
        <f>H1370-AG1325</f>
        <v>50.007239999999996</v>
      </c>
      <c r="AI1370">
        <f>100*(AH1370-O1370)/80</f>
        <v>-24.989750000000015</v>
      </c>
    </row>
    <row r="1371" spans="1:41" x14ac:dyDescent="0.35">
      <c r="A1371" t="s">
        <v>272</v>
      </c>
      <c r="B1371" t="s">
        <v>1111</v>
      </c>
      <c r="C1371" t="s">
        <v>1975</v>
      </c>
      <c r="D1371">
        <v>70</v>
      </c>
      <c r="E1371">
        <v>70</v>
      </c>
      <c r="F1371">
        <v>1</v>
      </c>
      <c r="G1371">
        <v>0.99999499999999997</v>
      </c>
      <c r="H1371">
        <v>49.998437500000001</v>
      </c>
      <c r="J1371">
        <v>-1</v>
      </c>
      <c r="N1371" t="s">
        <v>191</v>
      </c>
      <c r="O1371">
        <f t="shared" si="63"/>
        <v>89.999799999999993</v>
      </c>
      <c r="P1371">
        <f t="shared" si="64"/>
        <v>-50.001703124999992</v>
      </c>
      <c r="Q1371">
        <f t="shared" si="65"/>
        <v>50.001703124999992</v>
      </c>
      <c r="Y1371">
        <f>TREND(H1367:H1371,G1367:G1371,G1371)</f>
        <v>49.998437500000001</v>
      </c>
      <c r="Z1371">
        <f>ABS((Y1371-H1371)/80*100)</f>
        <v>0</v>
      </c>
      <c r="AH1371">
        <f>H1371-AG1325</f>
        <v>50.007239999999996</v>
      </c>
      <c r="AI1371">
        <f>100*(AH1371-O1371)/80</f>
        <v>-49.990699999999997</v>
      </c>
    </row>
    <row r="1372" spans="1:41" x14ac:dyDescent="0.35">
      <c r="A1372" t="s">
        <v>272</v>
      </c>
      <c r="B1372" t="s">
        <v>1111</v>
      </c>
      <c r="C1372" t="s">
        <v>2011</v>
      </c>
      <c r="D1372">
        <v>70</v>
      </c>
      <c r="E1372">
        <v>70</v>
      </c>
      <c r="F1372">
        <v>0</v>
      </c>
      <c r="G1372">
        <v>9.6000000000000002E-5</v>
      </c>
      <c r="H1372">
        <v>49.998437500000001</v>
      </c>
      <c r="J1372">
        <v>-1</v>
      </c>
      <c r="N1372" t="s">
        <v>191</v>
      </c>
      <c r="O1372">
        <f t="shared" si="63"/>
        <v>50.003840000000004</v>
      </c>
      <c r="P1372">
        <f t="shared" si="64"/>
        <v>-6.7531250000030241E-3</v>
      </c>
      <c r="Q1372">
        <f t="shared" si="65"/>
        <v>6.7531250000030241E-3</v>
      </c>
      <c r="Y1372">
        <f>TREND(H1367:H1371,G1367:G1371,G1372)</f>
        <v>49.998437500000001</v>
      </c>
      <c r="Z1372">
        <f>ABS((Y1372-H1372)/80*100)</f>
        <v>0</v>
      </c>
      <c r="AH1372">
        <f>H1372-AG1325</f>
        <v>50.007239999999996</v>
      </c>
      <c r="AI1372">
        <f>100*(AH1372-O1372)/80</f>
        <v>4.249999999990095E-3</v>
      </c>
    </row>
    <row r="1373" spans="1:41" x14ac:dyDescent="0.35">
      <c r="A1373" t="s">
        <v>272</v>
      </c>
      <c r="B1373" t="s">
        <v>1111</v>
      </c>
      <c r="C1373" t="s">
        <v>2048</v>
      </c>
      <c r="D1373">
        <v>70</v>
      </c>
      <c r="E1373">
        <v>70</v>
      </c>
      <c r="F1373">
        <v>-1</v>
      </c>
      <c r="G1373">
        <v>-1.000014</v>
      </c>
      <c r="H1373">
        <v>49.998437500000001</v>
      </c>
      <c r="J1373">
        <v>-1</v>
      </c>
      <c r="N1373" t="s">
        <v>191</v>
      </c>
      <c r="O1373">
        <f t="shared" si="63"/>
        <v>9.9994400000000017</v>
      </c>
      <c r="P1373">
        <f t="shared" si="64"/>
        <v>49.998746875000002</v>
      </c>
      <c r="Q1373">
        <f t="shared" si="65"/>
        <v>49.998746875000002</v>
      </c>
      <c r="Y1373">
        <f>TREND(H1367:H1371,G1367:G1371,G1373)</f>
        <v>49.998437500000001</v>
      </c>
      <c r="Z1373">
        <f>ABS((Y1373-H1373)/80*100)</f>
        <v>0</v>
      </c>
      <c r="AH1373">
        <f>H1373-AG1325</f>
        <v>50.007239999999996</v>
      </c>
      <c r="AI1373">
        <f>100*(AH1373-O1373)/80</f>
        <v>50.009749999999997</v>
      </c>
    </row>
    <row r="1374" spans="1:41" x14ac:dyDescent="0.35">
      <c r="A1374" t="s">
        <v>272</v>
      </c>
      <c r="B1374" t="s">
        <v>1111</v>
      </c>
      <c r="C1374" t="s">
        <v>2084</v>
      </c>
      <c r="D1374">
        <v>85</v>
      </c>
      <c r="E1374">
        <v>85</v>
      </c>
      <c r="F1374">
        <v>-1</v>
      </c>
      <c r="G1374">
        <v>-0.99996300000000005</v>
      </c>
      <c r="H1374">
        <v>49.998437500000001</v>
      </c>
      <c r="J1374">
        <v>-1</v>
      </c>
      <c r="N1374" t="s">
        <v>191</v>
      </c>
      <c r="O1374">
        <f t="shared" si="63"/>
        <v>10.001479999999997</v>
      </c>
      <c r="P1374">
        <f t="shared" si="64"/>
        <v>49.99619687500001</v>
      </c>
      <c r="Q1374">
        <f t="shared" si="65"/>
        <v>49.99619687500001</v>
      </c>
      <c r="S1374">
        <v>49.998437500000001</v>
      </c>
      <c r="T1374">
        <v>-1.2553125000005494E-2</v>
      </c>
      <c r="U1374">
        <v>49.998437500000001</v>
      </c>
      <c r="V1374">
        <v>-49.996603125000007</v>
      </c>
      <c r="W1374">
        <v>-1.5258789076710855E-6</v>
      </c>
      <c r="X1374">
        <f>(W1374-80)/80*100</f>
        <v>-100.00000190734863</v>
      </c>
      <c r="Y1374">
        <f>TREND(H1374:H1378,G1374:G1378,G1374)</f>
        <v>49.998437500000001</v>
      </c>
      <c r="Z1374">
        <f>ABS((Y1374-H1374)/80*100)</f>
        <v>0</v>
      </c>
      <c r="AA1374">
        <f>MAX(Z1374:Z1378)</f>
        <v>0</v>
      </c>
      <c r="AB1374">
        <f>IF(ABS(MAX(P1374:P1380)) &gt; ABS(MIN(P1374:P1380)),MAX(P1374:P1380), MIN(P1374:P1380))</f>
        <v>50.017646874999997</v>
      </c>
      <c r="AC1374">
        <f>IF(ABS(AB1375)&gt;ABS(AB1374),AB1375,AB1374)</f>
        <v>50.017646874999997</v>
      </c>
      <c r="AH1374">
        <f>H1374-AG1325</f>
        <v>50.007239999999996</v>
      </c>
      <c r="AI1374">
        <f>100*(AH1374-O1374)/80</f>
        <v>50.007199999999997</v>
      </c>
      <c r="AJ1374">
        <v>50.007239999999996</v>
      </c>
      <c r="AK1374">
        <v>-1.5500000000123748E-3</v>
      </c>
      <c r="AL1374">
        <v>50.007239999999996</v>
      </c>
      <c r="AM1374">
        <v>-49.985600000000012</v>
      </c>
      <c r="AN1374">
        <f>IF(ABS(MAX(AI1374:AI1380)) &gt; ABS(MIN(AI1374:AI1380)),MAX(AI1374:AI1380), MIN(AI1374:AI1380))</f>
        <v>50.028649999999985</v>
      </c>
      <c r="AO1374">
        <f>IF(ABS(AN1375)&gt;ABS(AN1374),AN1375,AN1374)</f>
        <v>50.028649999999985</v>
      </c>
    </row>
    <row r="1375" spans="1:41" x14ac:dyDescent="0.35">
      <c r="A1375" t="s">
        <v>272</v>
      </c>
      <c r="B1375" t="s">
        <v>1111</v>
      </c>
      <c r="C1375" t="s">
        <v>2120</v>
      </c>
      <c r="D1375">
        <v>85</v>
      </c>
      <c r="E1375">
        <v>85</v>
      </c>
      <c r="F1375">
        <v>-0.5</v>
      </c>
      <c r="G1375">
        <v>-0.49982300000000002</v>
      </c>
      <c r="H1375">
        <v>49.998437500000001</v>
      </c>
      <c r="J1375">
        <v>-1</v>
      </c>
      <c r="N1375" t="s">
        <v>191</v>
      </c>
      <c r="O1375">
        <f t="shared" si="63"/>
        <v>30.007079999999998</v>
      </c>
      <c r="P1375">
        <f t="shared" si="64"/>
        <v>24.989196875000005</v>
      </c>
      <c r="Q1375">
        <f t="shared" si="65"/>
        <v>24.989196875000005</v>
      </c>
      <c r="Y1375">
        <f>TREND(H1374:H1378,G1374:G1378,G1375)</f>
        <v>49.998437500000001</v>
      </c>
      <c r="Z1375">
        <f>ABS((Y1375-H1375)/80*100)</f>
        <v>0</v>
      </c>
      <c r="AB1375">
        <f>IF(ABS(T1374) &gt; ABS(V1374),T1374,V1374)</f>
        <v>-49.996603125000007</v>
      </c>
      <c r="AH1375">
        <f>H1375-AG1325</f>
        <v>50.007239999999996</v>
      </c>
      <c r="AI1375">
        <f>100*(AH1375-O1375)/80</f>
        <v>25.0002</v>
      </c>
      <c r="AN1375">
        <f>IF(ABS(AK1374) &gt; ABS(AM1374),AK1374,AM1374)</f>
        <v>-49.985600000000012</v>
      </c>
    </row>
    <row r="1376" spans="1:41" x14ac:dyDescent="0.35">
      <c r="A1376" t="s">
        <v>272</v>
      </c>
      <c r="B1376" t="s">
        <v>1111</v>
      </c>
      <c r="C1376" t="s">
        <v>2156</v>
      </c>
      <c r="D1376">
        <v>85</v>
      </c>
      <c r="E1376">
        <v>85</v>
      </c>
      <c r="F1376">
        <v>0</v>
      </c>
      <c r="G1376">
        <v>2.12E-4</v>
      </c>
      <c r="H1376">
        <v>49.998437500000001</v>
      </c>
      <c r="J1376">
        <v>-1</v>
      </c>
      <c r="N1376" t="s">
        <v>191</v>
      </c>
      <c r="O1376">
        <f t="shared" si="63"/>
        <v>50.008480000000006</v>
      </c>
      <c r="P1376">
        <f t="shared" si="64"/>
        <v>-1.2553125000005494E-2</v>
      </c>
      <c r="Q1376">
        <f t="shared" si="65"/>
        <v>1.2553125000005494E-2</v>
      </c>
      <c r="Y1376">
        <f>TREND(H1374:H1378,G1374:G1378,G1376)</f>
        <v>49.998437500000001</v>
      </c>
      <c r="Z1376">
        <f>ABS((Y1376-H1376)/80*100)</f>
        <v>0</v>
      </c>
      <c r="AH1376">
        <f>H1376-AG1325</f>
        <v>50.007239999999996</v>
      </c>
      <c r="AI1376">
        <f>100*(AH1376-O1376)/80</f>
        <v>-1.5500000000123748E-3</v>
      </c>
    </row>
    <row r="1377" spans="1:41" x14ac:dyDescent="0.35">
      <c r="A1377" t="s">
        <v>272</v>
      </c>
      <c r="B1377" t="s">
        <v>1111</v>
      </c>
      <c r="C1377" t="s">
        <v>2194</v>
      </c>
      <c r="D1377">
        <v>85</v>
      </c>
      <c r="E1377">
        <v>85</v>
      </c>
      <c r="F1377">
        <v>0.5</v>
      </c>
      <c r="G1377">
        <v>0.49988199999999999</v>
      </c>
      <c r="H1377">
        <v>49.998437500000001</v>
      </c>
      <c r="J1377">
        <v>-1</v>
      </c>
      <c r="N1377" t="s">
        <v>191</v>
      </c>
      <c r="O1377">
        <f t="shared" si="63"/>
        <v>69.995279999999994</v>
      </c>
      <c r="P1377">
        <f t="shared" si="64"/>
        <v>-24.996053124999992</v>
      </c>
      <c r="Q1377">
        <f t="shared" si="65"/>
        <v>24.996053124999992</v>
      </c>
      <c r="Y1377">
        <f>TREND(H1374:H1378,G1374:G1378,G1377)</f>
        <v>49.998437500000001</v>
      </c>
      <c r="Z1377">
        <f>ABS((Y1377-H1377)/80*100)</f>
        <v>0</v>
      </c>
      <c r="AH1377">
        <f>H1377-AG1325</f>
        <v>50.007239999999996</v>
      </c>
      <c r="AI1377">
        <f>100*(AH1377-O1377)/80</f>
        <v>-24.985049999999998</v>
      </c>
    </row>
    <row r="1378" spans="1:41" x14ac:dyDescent="0.35">
      <c r="A1378" t="s">
        <v>272</v>
      </c>
      <c r="B1378" t="s">
        <v>1111</v>
      </c>
      <c r="C1378" t="s">
        <v>2230</v>
      </c>
      <c r="D1378">
        <v>85</v>
      </c>
      <c r="E1378">
        <v>85</v>
      </c>
      <c r="F1378">
        <v>1</v>
      </c>
      <c r="G1378">
        <v>0.99989300000000003</v>
      </c>
      <c r="H1378">
        <v>49.998437500000001</v>
      </c>
      <c r="J1378">
        <v>-1</v>
      </c>
      <c r="N1378" t="s">
        <v>191</v>
      </c>
      <c r="O1378">
        <f t="shared" si="63"/>
        <v>89.995720000000006</v>
      </c>
      <c r="P1378">
        <f t="shared" si="64"/>
        <v>-49.996603125000007</v>
      </c>
      <c r="Q1378">
        <f t="shared" si="65"/>
        <v>49.996603125000007</v>
      </c>
      <c r="Y1378">
        <f>TREND(H1374:H1378,G1374:G1378,G1378)</f>
        <v>49.998437500000001</v>
      </c>
      <c r="Z1378">
        <f>ABS((Y1378-H1378)/80*100)</f>
        <v>0</v>
      </c>
      <c r="AH1378">
        <f>H1378-AG1325</f>
        <v>50.007239999999996</v>
      </c>
      <c r="AI1378">
        <f>100*(AH1378-O1378)/80</f>
        <v>-49.985600000000012</v>
      </c>
    </row>
    <row r="1379" spans="1:41" x14ac:dyDescent="0.35">
      <c r="A1379" t="s">
        <v>272</v>
      </c>
      <c r="B1379" t="s">
        <v>1111</v>
      </c>
      <c r="C1379" t="s">
        <v>2266</v>
      </c>
      <c r="D1379">
        <v>85</v>
      </c>
      <c r="E1379">
        <v>85</v>
      </c>
      <c r="F1379">
        <v>0</v>
      </c>
      <c r="G1379">
        <v>-3.1000000000000001E-5</v>
      </c>
      <c r="H1379">
        <v>49.998437500000001</v>
      </c>
      <c r="J1379">
        <v>-1</v>
      </c>
      <c r="N1379" t="s">
        <v>191</v>
      </c>
      <c r="O1379">
        <f t="shared" si="63"/>
        <v>49.998759999999997</v>
      </c>
      <c r="P1379">
        <f t="shared" si="64"/>
        <v>-4.0312499999473062E-4</v>
      </c>
      <c r="Q1379">
        <f t="shared" si="65"/>
        <v>4.0312499999473062E-4</v>
      </c>
      <c r="Y1379">
        <f>TREND(H1374:H1378,G1374:G1378,G1379)</f>
        <v>49.998437500000001</v>
      </c>
      <c r="Z1379">
        <f>ABS((Y1379-H1379)/80*100)</f>
        <v>0</v>
      </c>
      <c r="AH1379">
        <f>H1379-AG1325</f>
        <v>50.007239999999996</v>
      </c>
      <c r="AI1379">
        <f>100*(AH1379-O1379)/80</f>
        <v>1.0599999999998388E-2</v>
      </c>
    </row>
    <row r="1380" spans="1:41" x14ac:dyDescent="0.35">
      <c r="A1380" t="s">
        <v>272</v>
      </c>
      <c r="B1380" t="s">
        <v>1111</v>
      </c>
      <c r="C1380" t="s">
        <v>2303</v>
      </c>
      <c r="D1380">
        <v>85</v>
      </c>
      <c r="E1380">
        <v>85</v>
      </c>
      <c r="F1380">
        <v>-1</v>
      </c>
      <c r="G1380">
        <v>-1.0003919999999999</v>
      </c>
      <c r="H1380">
        <v>49.998437500000001</v>
      </c>
      <c r="J1380">
        <v>-1</v>
      </c>
      <c r="N1380" t="s">
        <v>191</v>
      </c>
      <c r="O1380">
        <f t="shared" si="63"/>
        <v>9.9843200000000021</v>
      </c>
      <c r="P1380">
        <f t="shared" si="64"/>
        <v>50.017646874999997</v>
      </c>
      <c r="Q1380">
        <f t="shared" si="65"/>
        <v>50.017646874999997</v>
      </c>
      <c r="Y1380">
        <f>TREND(H1374:H1378,G1374:G1378,G1380)</f>
        <v>49.998437500000001</v>
      </c>
      <c r="Z1380">
        <f>ABS((Y1380-H1380)/80*100)</f>
        <v>0</v>
      </c>
      <c r="AH1380">
        <f>H1380-AG1325</f>
        <v>50.007239999999996</v>
      </c>
      <c r="AI1380">
        <f>100*(AH1380-O1380)/80</f>
        <v>50.028649999999985</v>
      </c>
    </row>
    <row r="1381" spans="1:41" x14ac:dyDescent="0.35">
      <c r="A1381" t="s">
        <v>272</v>
      </c>
      <c r="B1381" t="s">
        <v>1111</v>
      </c>
      <c r="C1381" t="s">
        <v>2340</v>
      </c>
      <c r="D1381">
        <v>25</v>
      </c>
      <c r="E1381">
        <v>25</v>
      </c>
      <c r="F1381">
        <v>-1</v>
      </c>
      <c r="G1381">
        <v>-1.0002279999999999</v>
      </c>
      <c r="H1381">
        <v>49.998437500000001</v>
      </c>
      <c r="J1381">
        <v>-1</v>
      </c>
      <c r="N1381" t="s">
        <v>191</v>
      </c>
      <c r="O1381">
        <f t="shared" si="63"/>
        <v>9.9908800000000042</v>
      </c>
      <c r="P1381">
        <f t="shared" si="64"/>
        <v>50.009446874999995</v>
      </c>
      <c r="Q1381">
        <f t="shared" si="65"/>
        <v>50.009446874999995</v>
      </c>
      <c r="S1381">
        <v>49.998437500000001</v>
      </c>
      <c r="T1381">
        <v>5.3468750000007503E-3</v>
      </c>
      <c r="U1381">
        <v>49.998437500000001</v>
      </c>
      <c r="V1381">
        <v>-50.018153124999984</v>
      </c>
      <c r="W1381">
        <v>-1.5258789076710855E-6</v>
      </c>
      <c r="X1381">
        <f>(W1381-80)/80*100</f>
        <v>-100.00000190734863</v>
      </c>
      <c r="Y1381">
        <f>TREND(H1381:H1385,G1381:G1385,G1381)</f>
        <v>49.998437500000001</v>
      </c>
      <c r="Z1381">
        <f>ABS((Y1381-H1381)/80*100)</f>
        <v>0</v>
      </c>
      <c r="AA1381">
        <f>MAX(Z1381:Z1385)</f>
        <v>0</v>
      </c>
      <c r="AB1381">
        <f>IF(ABS(MAX(P1381:P1387)) &gt; ABS(MIN(P1381:P1387)),MAX(P1381:P1387), MIN(P1381:P1387))</f>
        <v>-50.018153124999984</v>
      </c>
      <c r="AC1381">
        <f>IF(ABS(AB1382)&gt;ABS(AB1381),AB1382,AB1381)</f>
        <v>-50.018153124999984</v>
      </c>
      <c r="AH1381">
        <f>H1381-AG1325</f>
        <v>50.007239999999996</v>
      </c>
      <c r="AI1381">
        <f>100*(AH1381-O1381)/80</f>
        <v>50.02044999999999</v>
      </c>
      <c r="AJ1381">
        <v>50.007239999999996</v>
      </c>
      <c r="AK1381">
        <v>1.6349999999993869E-2</v>
      </c>
      <c r="AL1381">
        <v>50.007239999999996</v>
      </c>
      <c r="AM1381">
        <v>-50.007149999999996</v>
      </c>
      <c r="AN1381">
        <f>IF(ABS(MAX(AI1381:AI1387)) &gt; ABS(MIN(AI1381:AI1387)),MAX(AI1381:AI1387), MIN(AI1381:AI1387))</f>
        <v>50.028799999999997</v>
      </c>
      <c r="AO1381">
        <f>IF(ABS(AN1382)&gt;ABS(AN1381),AN1382,AN1381)</f>
        <v>50.028799999999997</v>
      </c>
    </row>
    <row r="1382" spans="1:41" x14ac:dyDescent="0.35">
      <c r="A1382" t="s">
        <v>272</v>
      </c>
      <c r="B1382" t="s">
        <v>1111</v>
      </c>
      <c r="C1382" t="s">
        <v>2377</v>
      </c>
      <c r="D1382">
        <v>25</v>
      </c>
      <c r="E1382">
        <v>25</v>
      </c>
      <c r="F1382">
        <v>-0.5</v>
      </c>
      <c r="G1382">
        <v>-0.49942199999999998</v>
      </c>
      <c r="H1382">
        <v>49.998437500000001</v>
      </c>
      <c r="J1382">
        <v>-1</v>
      </c>
      <c r="N1382" t="s">
        <v>191</v>
      </c>
      <c r="O1382">
        <f t="shared" si="63"/>
        <v>30.023119999999999</v>
      </c>
      <c r="P1382">
        <f t="shared" si="64"/>
        <v>24.969146875000003</v>
      </c>
      <c r="Q1382">
        <f t="shared" si="65"/>
        <v>24.969146875000003</v>
      </c>
      <c r="Y1382">
        <f>TREND(H1381:H1385,G1381:G1385,G1382)</f>
        <v>49.998437500000001</v>
      </c>
      <c r="Z1382">
        <f>ABS((Y1382-H1382)/80*100)</f>
        <v>0</v>
      </c>
      <c r="AB1382">
        <f>IF(ABS(T1381) &gt; ABS(V1381),T1381,V1381)</f>
        <v>-50.018153124999984</v>
      </c>
      <c r="AH1382">
        <f>H1382-AG1325</f>
        <v>50.007239999999996</v>
      </c>
      <c r="AI1382">
        <f>100*(AH1382-O1382)/80</f>
        <v>24.980149999999998</v>
      </c>
      <c r="AN1382">
        <f>IF(ABS(AK1381) &gt; ABS(AM1381),AK1381,AM1381)</f>
        <v>-50.007149999999996</v>
      </c>
    </row>
    <row r="1383" spans="1:41" x14ac:dyDescent="0.35">
      <c r="A1383" t="s">
        <v>272</v>
      </c>
      <c r="B1383" t="s">
        <v>1111</v>
      </c>
      <c r="C1383" t="s">
        <v>2413</v>
      </c>
      <c r="D1383">
        <v>25</v>
      </c>
      <c r="E1383">
        <v>25</v>
      </c>
      <c r="F1383">
        <v>0</v>
      </c>
      <c r="G1383">
        <v>-1.46E-4</v>
      </c>
      <c r="H1383">
        <v>49.998437500000001</v>
      </c>
      <c r="J1383">
        <v>-1</v>
      </c>
      <c r="N1383" t="s">
        <v>191</v>
      </c>
      <c r="O1383">
        <f t="shared" si="63"/>
        <v>49.994160000000001</v>
      </c>
      <c r="P1383">
        <f t="shared" si="64"/>
        <v>5.3468750000007503E-3</v>
      </c>
      <c r="Q1383">
        <f t="shared" si="65"/>
        <v>5.3468750000007503E-3</v>
      </c>
      <c r="Y1383">
        <f>TREND(H1381:H1385,G1381:G1385,G1383)</f>
        <v>49.998437500000001</v>
      </c>
      <c r="Z1383">
        <f>ABS((Y1383-H1383)/80*100)</f>
        <v>0</v>
      </c>
      <c r="AH1383">
        <f>H1383-AG1325</f>
        <v>50.007239999999996</v>
      </c>
      <c r="AI1383">
        <f>100*(AH1383-O1383)/80</f>
        <v>1.6349999999993869E-2</v>
      </c>
    </row>
    <row r="1384" spans="1:41" x14ac:dyDescent="0.35">
      <c r="A1384" t="s">
        <v>272</v>
      </c>
      <c r="B1384" t="s">
        <v>1111</v>
      </c>
      <c r="C1384" t="s">
        <v>2450</v>
      </c>
      <c r="D1384">
        <v>25</v>
      </c>
      <c r="E1384">
        <v>25</v>
      </c>
      <c r="F1384">
        <v>0.5</v>
      </c>
      <c r="G1384">
        <v>0.499973</v>
      </c>
      <c r="H1384">
        <v>49.998437500000001</v>
      </c>
      <c r="J1384">
        <v>-1</v>
      </c>
      <c r="N1384" t="s">
        <v>191</v>
      </c>
      <c r="O1384">
        <f t="shared" si="63"/>
        <v>69.998919999999998</v>
      </c>
      <c r="P1384">
        <f t="shared" si="64"/>
        <v>-25.000603124999994</v>
      </c>
      <c r="Q1384">
        <f t="shared" si="65"/>
        <v>25.000603124999994</v>
      </c>
      <c r="Y1384">
        <f>TREND(H1381:H1385,G1381:G1385,G1384)</f>
        <v>49.998437500000001</v>
      </c>
      <c r="Z1384">
        <f>ABS((Y1384-H1384)/80*100)</f>
        <v>0</v>
      </c>
      <c r="AH1384">
        <f>H1384-AG1325</f>
        <v>50.007239999999996</v>
      </c>
      <c r="AI1384">
        <f>100*(AH1384-O1384)/80</f>
        <v>-24.989600000000003</v>
      </c>
    </row>
    <row r="1385" spans="1:41" x14ac:dyDescent="0.35">
      <c r="A1385" t="s">
        <v>272</v>
      </c>
      <c r="B1385" t="s">
        <v>1111</v>
      </c>
      <c r="C1385" t="s">
        <v>2487</v>
      </c>
      <c r="D1385">
        <v>25</v>
      </c>
      <c r="E1385">
        <v>25</v>
      </c>
      <c r="F1385">
        <v>1</v>
      </c>
      <c r="G1385">
        <v>1.000324</v>
      </c>
      <c r="H1385">
        <v>49.998437500000001</v>
      </c>
      <c r="J1385">
        <v>-1</v>
      </c>
      <c r="N1385" t="s">
        <v>191</v>
      </c>
      <c r="O1385">
        <f t="shared" si="63"/>
        <v>90.012959999999993</v>
      </c>
      <c r="P1385">
        <f t="shared" si="64"/>
        <v>-50.018153124999984</v>
      </c>
      <c r="Q1385">
        <f t="shared" si="65"/>
        <v>50.018153124999984</v>
      </c>
      <c r="Y1385">
        <f>TREND(H1381:H1385,G1381:G1385,G1385)</f>
        <v>49.998437500000001</v>
      </c>
      <c r="Z1385">
        <f>ABS((Y1385-H1385)/80*100)</f>
        <v>0</v>
      </c>
      <c r="AH1385">
        <f>H1385-AG1325</f>
        <v>50.007239999999996</v>
      </c>
      <c r="AI1385">
        <f>100*(AH1385-O1385)/80</f>
        <v>-50.007149999999996</v>
      </c>
    </row>
    <row r="1386" spans="1:41" x14ac:dyDescent="0.35">
      <c r="A1386" t="s">
        <v>272</v>
      </c>
      <c r="B1386" t="s">
        <v>1111</v>
      </c>
      <c r="C1386" t="s">
        <v>2524</v>
      </c>
      <c r="D1386">
        <v>25</v>
      </c>
      <c r="E1386">
        <v>25</v>
      </c>
      <c r="F1386">
        <v>0</v>
      </c>
      <c r="G1386">
        <v>-8.1000000000000004E-5</v>
      </c>
      <c r="H1386">
        <v>49.998437500000001</v>
      </c>
      <c r="J1386">
        <v>-1</v>
      </c>
      <c r="N1386" t="s">
        <v>191</v>
      </c>
      <c r="O1386">
        <f t="shared" si="63"/>
        <v>49.996760000000002</v>
      </c>
      <c r="P1386">
        <f t="shared" si="64"/>
        <v>2.0968749999994429E-3</v>
      </c>
      <c r="Q1386">
        <f t="shared" si="65"/>
        <v>2.0968749999994429E-3</v>
      </c>
      <c r="Y1386">
        <f>TREND(H1381:H1385,G1381:G1385,G1386)</f>
        <v>49.998437500000001</v>
      </c>
      <c r="Z1386">
        <f>ABS((Y1386-H1386)/80*100)</f>
        <v>0</v>
      </c>
      <c r="AH1386">
        <f>H1386-AG1325</f>
        <v>50.007239999999996</v>
      </c>
      <c r="AI1386">
        <f>100*(AH1386-O1386)/80</f>
        <v>1.3099999999992562E-2</v>
      </c>
    </row>
    <row r="1387" spans="1:41" x14ac:dyDescent="0.35">
      <c r="A1387" t="s">
        <v>272</v>
      </c>
      <c r="B1387" t="s">
        <v>1111</v>
      </c>
      <c r="C1387" t="s">
        <v>2559</v>
      </c>
      <c r="D1387">
        <v>25</v>
      </c>
      <c r="E1387">
        <v>25</v>
      </c>
      <c r="F1387">
        <v>-1</v>
      </c>
      <c r="G1387">
        <v>-1.0003949999999999</v>
      </c>
      <c r="H1387">
        <v>49.998437500000001</v>
      </c>
      <c r="J1387">
        <v>-1</v>
      </c>
      <c r="N1387" t="s">
        <v>191</v>
      </c>
      <c r="O1387">
        <f t="shared" si="63"/>
        <v>9.9842000000000031</v>
      </c>
      <c r="P1387">
        <f t="shared" si="64"/>
        <v>50.017796875000002</v>
      </c>
      <c r="Q1387">
        <f t="shared" si="65"/>
        <v>50.017796875000002</v>
      </c>
      <c r="Y1387">
        <f>TREND(H1381:H1385,G1381:G1385,G1387)</f>
        <v>49.998437500000001</v>
      </c>
      <c r="Z1387">
        <f>ABS((Y1387-H1387)/80*100)</f>
        <v>0</v>
      </c>
      <c r="AH1387">
        <f>H1387-AG1325</f>
        <v>50.007239999999996</v>
      </c>
      <c r="AI1387">
        <f>100*(AH1387-O1387)/80</f>
        <v>50.028799999999997</v>
      </c>
    </row>
    <row r="1388" spans="1:41" x14ac:dyDescent="0.35">
      <c r="A1388" t="s">
        <v>274</v>
      </c>
      <c r="B1388" t="s">
        <v>231</v>
      </c>
      <c r="C1388" t="s">
        <v>273</v>
      </c>
      <c r="D1388">
        <v>25</v>
      </c>
      <c r="E1388">
        <v>25</v>
      </c>
      <c r="F1388">
        <v>-1</v>
      </c>
      <c r="G1388">
        <v>-1.000143</v>
      </c>
      <c r="H1388">
        <v>10.089062500000001</v>
      </c>
      <c r="J1388">
        <v>-6240</v>
      </c>
      <c r="N1388" t="s">
        <v>192</v>
      </c>
      <c r="O1388">
        <f t="shared" si="63"/>
        <v>9.9942799999999998</v>
      </c>
      <c r="P1388">
        <f t="shared" si="64"/>
        <v>0.1184781250000011</v>
      </c>
      <c r="Q1388">
        <f t="shared" si="65"/>
        <v>0.1184781250000011</v>
      </c>
      <c r="S1388">
        <v>50.048437499999999</v>
      </c>
      <c r="T1388">
        <v>4.9446875000001E-2</v>
      </c>
      <c r="U1388">
        <v>90.259375000000006</v>
      </c>
      <c r="V1388">
        <v>0.31956875000002327</v>
      </c>
      <c r="W1388">
        <v>80.170314025878909</v>
      </c>
      <c r="X1388">
        <f>(W1388-80)/80*100</f>
        <v>0.21289253234863639</v>
      </c>
      <c r="Y1388">
        <f>TREND(H1388:H1392,G1388:G1392,G1388)</f>
        <v>9.9950893517053601</v>
      </c>
      <c r="Z1388">
        <f>ABS((Y1388-H1388)/80*100)</f>
        <v>0.11746643536830081</v>
      </c>
      <c r="AA1388">
        <f>MAX(Z1388:Z1392)</f>
        <v>0.11746643536830081</v>
      </c>
      <c r="AB1388">
        <f>IF(ABS(MAX(P1388:P1394)) &gt; ABS(MIN(P1388:P1394)),MAX(P1388:P1394), MIN(P1388:P1394))</f>
        <v>0.31956875000002327</v>
      </c>
      <c r="AC1388">
        <f>IF(ABS(AB1389)&gt;ABS(AB1388),AB1389,AB1388)</f>
        <v>0.31956875000002327</v>
      </c>
      <c r="AD1388">
        <f>MAX(AD1389:AD1390)</f>
        <v>0.13556249999999714</v>
      </c>
      <c r="AE1388">
        <f>MAX(AE1389:AE1409)</f>
        <v>0.19010624999998171</v>
      </c>
      <c r="AF1388">
        <f>MAX(AD1388,AA1388)</f>
        <v>0.13556249999999714</v>
      </c>
      <c r="AG1388">
        <f>H1390-O1390</f>
        <v>3.95575000000008E-2</v>
      </c>
      <c r="AH1388">
        <f>H1388-AG1388</f>
        <v>10.049505</v>
      </c>
      <c r="AI1388">
        <f>100*(AH1388-O1388)/80</f>
        <v>6.9031250000000099E-2</v>
      </c>
      <c r="AJ1388">
        <v>50.008879999999998</v>
      </c>
      <c r="AK1388">
        <v>0</v>
      </c>
      <c r="AL1388">
        <v>90.219817500000005</v>
      </c>
      <c r="AM1388">
        <v>0.27012187500002227</v>
      </c>
      <c r="AN1388">
        <f>IF(ABS(MAX(AI1388:AI1394)) &gt; ABS(MIN(AI1388:AI1394)),MAX(AI1388:AI1394), MIN(AI1388:AI1394))</f>
        <v>0.27012187500002227</v>
      </c>
      <c r="AO1388">
        <f>IF(ABS(AN1389)&gt;ABS(AN1388),AN1389,AN1388)</f>
        <v>0.27012187500002227</v>
      </c>
    </row>
    <row r="1389" spans="1:41" x14ac:dyDescent="0.35">
      <c r="A1389" t="s">
        <v>274</v>
      </c>
      <c r="B1389" t="s">
        <v>231</v>
      </c>
      <c r="C1389" t="s">
        <v>328</v>
      </c>
      <c r="D1389">
        <v>25</v>
      </c>
      <c r="E1389">
        <v>25</v>
      </c>
      <c r="F1389">
        <v>-0.5</v>
      </c>
      <c r="G1389">
        <v>-0.50009599999999998</v>
      </c>
      <c r="H1389">
        <v>29.964062500000001</v>
      </c>
      <c r="J1389">
        <v>-6242</v>
      </c>
      <c r="N1389" t="s">
        <v>192</v>
      </c>
      <c r="O1389">
        <f t="shared" si="63"/>
        <v>29.99616</v>
      </c>
      <c r="P1389">
        <f t="shared" si="64"/>
        <v>-4.0121874999998752E-2</v>
      </c>
      <c r="Q1389">
        <f t="shared" si="65"/>
        <v>4.0121874999998752E-2</v>
      </c>
      <c r="Y1389">
        <f>TREND(H1388:H1392,G1388:G1392,G1389)</f>
        <v>30.056600367910885</v>
      </c>
      <c r="Z1389">
        <f>ABS((Y1389-H1389)/80*100)</f>
        <v>0.11567233488860573</v>
      </c>
      <c r="AB1389">
        <f>IF(ABS(T1388) &gt; ABS(V1388),T1388,V1388)</f>
        <v>0.31956875000002327</v>
      </c>
      <c r="AD1389">
        <f>ABS(P1390-P1393)</f>
        <v>3.4946874999999267E-2</v>
      </c>
      <c r="AE1389">
        <f>ABS(P1416-P1388)</f>
        <v>9.4300000000000495E-2</v>
      </c>
      <c r="AH1389">
        <f>H1389-AG1388</f>
        <v>29.924505</v>
      </c>
      <c r="AI1389">
        <f>100*(AH1389-O1389)/80</f>
        <v>-8.9568749999999753E-2</v>
      </c>
      <c r="AN1389">
        <f>IF(ABS(AK1388) &gt; ABS(AM1388),AK1388,AM1388)</f>
        <v>0.27012187500002227</v>
      </c>
    </row>
    <row r="1390" spans="1:41" x14ac:dyDescent="0.35">
      <c r="A1390" t="s">
        <v>274</v>
      </c>
      <c r="B1390" t="s">
        <v>231</v>
      </c>
      <c r="C1390" t="s">
        <v>364</v>
      </c>
      <c r="D1390">
        <v>25</v>
      </c>
      <c r="E1390">
        <v>25</v>
      </c>
      <c r="F1390">
        <v>0</v>
      </c>
      <c r="G1390">
        <v>2.22E-4</v>
      </c>
      <c r="H1390">
        <v>50.048437499999999</v>
      </c>
      <c r="J1390">
        <v>-6236</v>
      </c>
      <c r="N1390" t="s">
        <v>192</v>
      </c>
      <c r="O1390">
        <f t="shared" si="63"/>
        <v>50.008879999999998</v>
      </c>
      <c r="P1390">
        <f t="shared" si="64"/>
        <v>4.9446875000001E-2</v>
      </c>
      <c r="Q1390">
        <f t="shared" si="65"/>
        <v>4.9446875000001E-2</v>
      </c>
      <c r="Y1390">
        <f>TREND(H1388:H1392,G1388:G1392,G1390)</f>
        <v>50.128983701089396</v>
      </c>
      <c r="Z1390">
        <f>ABS((Y1390-H1390)/80*100)</f>
        <v>0.10068275136174698</v>
      </c>
      <c r="AD1390">
        <f>ABS(P1388-P1394)</f>
        <v>0.13556249999999714</v>
      </c>
      <c r="AE1390">
        <f>ABS(P1417-P1389)</f>
        <v>0.11218437499999734</v>
      </c>
      <c r="AH1390">
        <f>H1390-AG1388</f>
        <v>50.008879999999998</v>
      </c>
      <c r="AI1390">
        <f>100*(AH1390-O1390)/80</f>
        <v>0</v>
      </c>
    </row>
    <row r="1391" spans="1:41" x14ac:dyDescent="0.35">
      <c r="A1391" t="s">
        <v>274</v>
      </c>
      <c r="B1391" t="s">
        <v>231</v>
      </c>
      <c r="C1391" t="s">
        <v>401</v>
      </c>
      <c r="D1391">
        <v>25</v>
      </c>
      <c r="E1391">
        <v>25</v>
      </c>
      <c r="F1391">
        <v>0.5</v>
      </c>
      <c r="G1391">
        <v>0.50018700000000005</v>
      </c>
      <c r="H1391">
        <v>70.25</v>
      </c>
      <c r="J1391">
        <v>-6251</v>
      </c>
      <c r="N1391" t="s">
        <v>192</v>
      </c>
      <c r="O1391">
        <f t="shared" si="63"/>
        <v>70.007480000000001</v>
      </c>
      <c r="P1391">
        <f t="shared" si="64"/>
        <v>0.3031499999999987</v>
      </c>
      <c r="Q1391">
        <f t="shared" si="65"/>
        <v>0.3031499999999987</v>
      </c>
      <c r="Y1391">
        <f>TREND(H1388:H1392,G1388:G1392,G1391)</f>
        <v>70.187204938727447</v>
      </c>
      <c r="Z1391">
        <f>ABS((Y1391-H1391)/80*100)</f>
        <v>7.8493826590690929E-2</v>
      </c>
      <c r="AE1391">
        <f>ABS(P1418-P1390)</f>
        <v>0.13382812500000618</v>
      </c>
      <c r="AH1391">
        <f>H1391-AG1388</f>
        <v>70.210442499999999</v>
      </c>
      <c r="AI1391">
        <f>100*(AH1391-O1391)/80</f>
        <v>0.2537031249999977</v>
      </c>
    </row>
    <row r="1392" spans="1:41" x14ac:dyDescent="0.35">
      <c r="A1392" t="s">
        <v>274</v>
      </c>
      <c r="B1392" t="s">
        <v>231</v>
      </c>
      <c r="C1392" t="s">
        <v>438</v>
      </c>
      <c r="D1392">
        <v>25</v>
      </c>
      <c r="E1392">
        <v>25</v>
      </c>
      <c r="F1392">
        <v>1</v>
      </c>
      <c r="G1392">
        <v>1.0000929999999999</v>
      </c>
      <c r="H1392">
        <v>90.259375000000006</v>
      </c>
      <c r="J1392">
        <v>-6244</v>
      </c>
      <c r="N1392" t="s">
        <v>192</v>
      </c>
      <c r="O1392">
        <f t="shared" si="63"/>
        <v>90.003719999999987</v>
      </c>
      <c r="P1392">
        <f t="shared" si="64"/>
        <v>0.31956875000002327</v>
      </c>
      <c r="Q1392">
        <f t="shared" si="65"/>
        <v>0.31956875000002327</v>
      </c>
      <c r="Y1392">
        <f>TREND(H1388:H1392,G1388:G1392,G1392)</f>
        <v>90.243059140566942</v>
      </c>
      <c r="Z1392">
        <f>ABS((Y1392-H1392)/80*100)</f>
        <v>2.0394824291329883E-2</v>
      </c>
      <c r="AE1392">
        <f>ABS(P1419-P1391)</f>
        <v>1.6184375000012352E-2</v>
      </c>
      <c r="AH1392">
        <f>H1392-AG1388</f>
        <v>90.219817500000005</v>
      </c>
      <c r="AI1392">
        <f>100*(AH1392-O1392)/80</f>
        <v>0.27012187500002227</v>
      </c>
    </row>
    <row r="1393" spans="1:41" x14ac:dyDescent="0.35">
      <c r="A1393" t="s">
        <v>274</v>
      </c>
      <c r="B1393" t="s">
        <v>231</v>
      </c>
      <c r="C1393" t="s">
        <v>475</v>
      </c>
      <c r="D1393">
        <v>25</v>
      </c>
      <c r="E1393">
        <v>25</v>
      </c>
      <c r="F1393">
        <v>0</v>
      </c>
      <c r="G1393">
        <v>1.0900000000000001E-4</v>
      </c>
      <c r="H1393">
        <v>50.071874999999999</v>
      </c>
      <c r="J1393">
        <v>-6238</v>
      </c>
      <c r="N1393" t="s">
        <v>192</v>
      </c>
      <c r="O1393">
        <f t="shared" si="63"/>
        <v>50.004359999999998</v>
      </c>
      <c r="P1393">
        <f t="shared" si="64"/>
        <v>8.4393750000000267E-2</v>
      </c>
      <c r="Q1393">
        <f t="shared" si="65"/>
        <v>8.4393750000000267E-2</v>
      </c>
      <c r="Y1393">
        <f>TREND(H1388:H1392,G1388:G1392,G1393)</f>
        <v>50.124450225746415</v>
      </c>
      <c r="Z1393">
        <f>ABS((Y1393-H1393)/80*100)</f>
        <v>6.5719032183020332E-2</v>
      </c>
      <c r="AE1393">
        <f>ABS(P1420-P1392)</f>
        <v>7.9249999999753129E-3</v>
      </c>
      <c r="AH1393">
        <f>H1393-AG1388</f>
        <v>50.032317499999998</v>
      </c>
      <c r="AI1393">
        <f>100*(AH1393-O1393)/80</f>
        <v>3.4946874999999267E-2</v>
      </c>
    </row>
    <row r="1394" spans="1:41" x14ac:dyDescent="0.35">
      <c r="A1394" t="s">
        <v>274</v>
      </c>
      <c r="B1394" t="s">
        <v>231</v>
      </c>
      <c r="C1394" t="s">
        <v>512</v>
      </c>
      <c r="D1394">
        <v>25</v>
      </c>
      <c r="E1394">
        <v>25</v>
      </c>
      <c r="F1394">
        <v>-1</v>
      </c>
      <c r="G1394">
        <v>-1.0000880000000001</v>
      </c>
      <c r="H1394">
        <v>9.9828124999999996</v>
      </c>
      <c r="J1394">
        <v>-6249</v>
      </c>
      <c r="N1394" t="s">
        <v>192</v>
      </c>
      <c r="O1394">
        <f t="shared" si="63"/>
        <v>9.9964799999999965</v>
      </c>
      <c r="P1394">
        <f t="shared" si="64"/>
        <v>-1.7084374999996044E-2</v>
      </c>
      <c r="Q1394">
        <f t="shared" si="65"/>
        <v>1.7084374999996044E-2</v>
      </c>
      <c r="Y1394">
        <f>TREND(H1388:H1392,G1388:G1392,G1394)</f>
        <v>9.9972959105006112</v>
      </c>
      <c r="Z1394">
        <f>ABS((Y1394-H1394)/80*100)</f>
        <v>1.8104263125764408E-2</v>
      </c>
      <c r="AE1394">
        <f>ABS(P1421-P1393)</f>
        <v>9.721875000000324E-2</v>
      </c>
      <c r="AH1394">
        <f>H1394-AG1388</f>
        <v>9.9432549999999988</v>
      </c>
      <c r="AI1394">
        <f>100*(AH1394-O1394)/80</f>
        <v>-6.6531249999997044E-2</v>
      </c>
    </row>
    <row r="1395" spans="1:41" x14ac:dyDescent="0.35">
      <c r="A1395" t="s">
        <v>274</v>
      </c>
      <c r="B1395" t="s">
        <v>231</v>
      </c>
      <c r="C1395" t="s">
        <v>549</v>
      </c>
      <c r="D1395">
        <v>-20</v>
      </c>
      <c r="E1395">
        <v>-20.100000000000001</v>
      </c>
      <c r="F1395">
        <v>-1</v>
      </c>
      <c r="G1395">
        <v>-1.000086</v>
      </c>
      <c r="H1395">
        <v>10.573437500000001</v>
      </c>
      <c r="J1395">
        <v>-24174</v>
      </c>
      <c r="N1395" t="s">
        <v>192</v>
      </c>
      <c r="O1395">
        <f t="shared" si="63"/>
        <v>9.9965599999999988</v>
      </c>
      <c r="P1395">
        <f t="shared" si="64"/>
        <v>0.72109687500000241</v>
      </c>
      <c r="Q1395">
        <f t="shared" si="65"/>
        <v>0.72109687500000241</v>
      </c>
      <c r="S1395">
        <v>50.639062500000001</v>
      </c>
      <c r="T1395">
        <v>0.81012812500000031</v>
      </c>
      <c r="U1395">
        <v>90.504687500000003</v>
      </c>
      <c r="V1395">
        <v>0.6270593750000053</v>
      </c>
      <c r="W1395">
        <v>79.93124694824219</v>
      </c>
      <c r="X1395">
        <f>(W1395-80)/80*100</f>
        <v>-8.5941314697262072E-2</v>
      </c>
      <c r="Y1395">
        <f>TREND(H1395:H1399,G1395:G1399,G1395)</f>
        <v>10.534869081073055</v>
      </c>
      <c r="Z1395">
        <f>ABS((Y1395-H1395)/80*100)</f>
        <v>4.8210523658682725E-2</v>
      </c>
      <c r="AA1395">
        <f>MAX(Z1395:Z1399)</f>
        <v>0.17893144382696402</v>
      </c>
      <c r="AB1395">
        <f>IF(ABS(MAX(P1395:P1401)) &gt; ABS(MIN(P1395:P1401)),MAX(P1395:P1401), MIN(P1395:P1401))</f>
        <v>0.84715937500000393</v>
      </c>
      <c r="AC1395">
        <f>IF(ABS(AB1396)&gt;ABS(AB1395),AB1396,AB1395)</f>
        <v>0.84715937500000393</v>
      </c>
      <c r="AE1395">
        <f>ABS(P1422-P1394)</f>
        <v>0.13867499999999477</v>
      </c>
      <c r="AH1395">
        <f>H1395-AG1388</f>
        <v>10.53388</v>
      </c>
      <c r="AI1395">
        <f>100*(AH1395-O1395)/80</f>
        <v>0.67165000000000141</v>
      </c>
      <c r="AJ1395">
        <v>50.599505000000001</v>
      </c>
      <c r="AK1395">
        <v>0.76068124999999931</v>
      </c>
      <c r="AL1395">
        <v>90.465130000000002</v>
      </c>
      <c r="AM1395">
        <v>0.5776125000000043</v>
      </c>
      <c r="AN1395">
        <f>IF(ABS(MAX(AI1395:AI1401)) &gt; ABS(MIN(AI1395:AI1401)),MAX(AI1395:AI1401), MIN(AI1395:AI1401))</f>
        <v>0.79771250000000293</v>
      </c>
      <c r="AO1395">
        <f>IF(ABS(AN1396)&gt;ABS(AN1395),AN1396,AN1395)</f>
        <v>0.79771250000000293</v>
      </c>
    </row>
    <row r="1396" spans="1:41" x14ac:dyDescent="0.35">
      <c r="A1396" t="s">
        <v>274</v>
      </c>
      <c r="B1396" t="s">
        <v>231</v>
      </c>
      <c r="C1396" t="s">
        <v>586</v>
      </c>
      <c r="D1396">
        <v>-20</v>
      </c>
      <c r="E1396">
        <v>-20</v>
      </c>
      <c r="F1396">
        <v>-0.5</v>
      </c>
      <c r="G1396">
        <v>-0.50017900000000004</v>
      </c>
      <c r="H1396">
        <v>30.4</v>
      </c>
      <c r="J1396">
        <v>-24211</v>
      </c>
      <c r="N1396" t="s">
        <v>192</v>
      </c>
      <c r="O1396">
        <f t="shared" si="63"/>
        <v>29.992839999999998</v>
      </c>
      <c r="P1396">
        <f t="shared" si="64"/>
        <v>0.50895000000000135</v>
      </c>
      <c r="Q1396">
        <f t="shared" si="65"/>
        <v>0.50895000000000135</v>
      </c>
      <c r="Y1396">
        <f>TREND(H1395:H1399,G1395:G1399,G1396)</f>
        <v>30.54314515506157</v>
      </c>
      <c r="Z1396">
        <f>ABS((Y1396-H1396)/80*100)</f>
        <v>0.17893144382696402</v>
      </c>
      <c r="AB1396">
        <f>IF(ABS(T1395) &gt; ABS(V1395),T1395,V1395)</f>
        <v>0.81012812500000031</v>
      </c>
      <c r="AE1396">
        <f>ABS(P1444-P1388)</f>
        <v>0.17598437500000008</v>
      </c>
      <c r="AH1396">
        <f>H1396-AG1388</f>
        <v>30.360442499999998</v>
      </c>
      <c r="AI1396">
        <f>100*(AH1396-O1396)/80</f>
        <v>0.45950312500000035</v>
      </c>
      <c r="AN1396">
        <f>IF(ABS(AK1395) &gt; ABS(AM1395),AK1395,AM1395)</f>
        <v>0.76068124999999931</v>
      </c>
    </row>
    <row r="1397" spans="1:41" x14ac:dyDescent="0.35">
      <c r="A1397" t="s">
        <v>274</v>
      </c>
      <c r="B1397" t="s">
        <v>231</v>
      </c>
      <c r="C1397" t="s">
        <v>623</v>
      </c>
      <c r="D1397">
        <v>-20</v>
      </c>
      <c r="E1397">
        <v>-20</v>
      </c>
      <c r="F1397">
        <v>0</v>
      </c>
      <c r="G1397">
        <v>-2.2599999999999999E-4</v>
      </c>
      <c r="H1397">
        <v>50.639062500000001</v>
      </c>
      <c r="J1397">
        <v>-24245</v>
      </c>
      <c r="N1397" t="s">
        <v>192</v>
      </c>
      <c r="O1397">
        <f t="shared" si="63"/>
        <v>49.990960000000001</v>
      </c>
      <c r="P1397">
        <f t="shared" si="64"/>
        <v>0.81012812500000031</v>
      </c>
      <c r="Q1397">
        <f t="shared" si="65"/>
        <v>0.81012812500000031</v>
      </c>
      <c r="Y1397">
        <f>TREND(H1395:H1399,G1395:G1399,G1397)</f>
        <v>50.553262332894214</v>
      </c>
      <c r="Z1397">
        <f>ABS((Y1397-H1397)/80*100)</f>
        <v>0.1072502088822347</v>
      </c>
      <c r="AE1397">
        <f>ABS(P1445-P1389)</f>
        <v>2.9740624999998744E-2</v>
      </c>
      <c r="AH1397">
        <f>H1397-AG1388</f>
        <v>50.599505000000001</v>
      </c>
      <c r="AI1397">
        <f>100*(AH1397-O1397)/80</f>
        <v>0.76068124999999931</v>
      </c>
    </row>
    <row r="1398" spans="1:41" x14ac:dyDescent="0.35">
      <c r="A1398" t="s">
        <v>274</v>
      </c>
      <c r="B1398" t="s">
        <v>231</v>
      </c>
      <c r="C1398" t="s">
        <v>659</v>
      </c>
      <c r="D1398">
        <v>-20</v>
      </c>
      <c r="E1398">
        <v>-20</v>
      </c>
      <c r="F1398">
        <v>0.5</v>
      </c>
      <c r="G1398">
        <v>0.49942399999999998</v>
      </c>
      <c r="H1398">
        <v>70.654687499999994</v>
      </c>
      <c r="J1398">
        <v>-24273</v>
      </c>
      <c r="N1398" t="s">
        <v>192</v>
      </c>
      <c r="O1398">
        <f t="shared" si="63"/>
        <v>69.976959999999991</v>
      </c>
      <c r="P1398">
        <f t="shared" si="64"/>
        <v>0.84715937500000393</v>
      </c>
      <c r="Q1398">
        <f t="shared" si="65"/>
        <v>0.84715937500000393</v>
      </c>
      <c r="Y1398">
        <f>TREND(H1395:H1399,G1395:G1399,G1398)</f>
        <v>70.551252239753609</v>
      </c>
      <c r="Z1398">
        <f>ABS((Y1398-H1398)/80*100)</f>
        <v>0.12929407530798187</v>
      </c>
      <c r="AE1398">
        <f>ABS(P1446-P1390)</f>
        <v>3.6581249999994014E-2</v>
      </c>
      <c r="AH1398">
        <f>H1398-AG1388</f>
        <v>70.615129999999994</v>
      </c>
      <c r="AI1398">
        <f>100*(AH1398-O1398)/80</f>
        <v>0.79771250000000293</v>
      </c>
    </row>
    <row r="1399" spans="1:41" x14ac:dyDescent="0.35">
      <c r="A1399" t="s">
        <v>274</v>
      </c>
      <c r="B1399" t="s">
        <v>231</v>
      </c>
      <c r="C1399" t="s">
        <v>695</v>
      </c>
      <c r="D1399">
        <v>-20</v>
      </c>
      <c r="E1399">
        <v>-19.899999999999999</v>
      </c>
      <c r="F1399">
        <v>1</v>
      </c>
      <c r="G1399">
        <v>1.000076</v>
      </c>
      <c r="H1399">
        <v>90.504687500000003</v>
      </c>
      <c r="J1399">
        <v>-24301</v>
      </c>
      <c r="N1399" t="s">
        <v>192</v>
      </c>
      <c r="O1399">
        <f t="shared" si="63"/>
        <v>90.003039999999999</v>
      </c>
      <c r="P1399">
        <f t="shared" si="64"/>
        <v>0.6270593750000053</v>
      </c>
      <c r="Q1399">
        <f t="shared" si="65"/>
        <v>0.6270593750000053</v>
      </c>
      <c r="Y1399">
        <f>TREND(H1395:H1399,G1395:G1399,G1399)</f>
        <v>90.589346191217587</v>
      </c>
      <c r="Z1399">
        <f>ABS((Y1399-H1399)/80*100)</f>
        <v>0.10582336402197967</v>
      </c>
      <c r="AE1399">
        <f>ABS(P1447-P1391)</f>
        <v>1.9771874999996442E-2</v>
      </c>
      <c r="AH1399">
        <f>H1399-AG1388</f>
        <v>90.465130000000002</v>
      </c>
      <c r="AI1399">
        <f>100*(AH1399-O1399)/80</f>
        <v>0.5776125000000043</v>
      </c>
    </row>
    <row r="1400" spans="1:41" x14ac:dyDescent="0.35">
      <c r="A1400" t="s">
        <v>274</v>
      </c>
      <c r="B1400" t="s">
        <v>231</v>
      </c>
      <c r="C1400" t="s">
        <v>732</v>
      </c>
      <c r="D1400">
        <v>-20</v>
      </c>
      <c r="E1400">
        <v>-20</v>
      </c>
      <c r="F1400">
        <v>0</v>
      </c>
      <c r="G1400">
        <v>6.5499999999999998E-4</v>
      </c>
      <c r="H1400">
        <v>50.40625</v>
      </c>
      <c r="J1400">
        <v>-24331</v>
      </c>
      <c r="N1400" t="s">
        <v>192</v>
      </c>
      <c r="O1400">
        <f t="shared" si="63"/>
        <v>50.026200000000003</v>
      </c>
      <c r="P1400">
        <f t="shared" si="64"/>
        <v>0.47506249999999639</v>
      </c>
      <c r="Q1400">
        <f t="shared" si="65"/>
        <v>0.47506249999999639</v>
      </c>
      <c r="Y1400">
        <f>TREND(H1395:H1399,G1395:G1399,G1400)</f>
        <v>50.588523473908808</v>
      </c>
      <c r="Z1400">
        <f>ABS((Y1400-H1400)/80*100)</f>
        <v>0.22784184238600957</v>
      </c>
      <c r="AE1400">
        <f>ABS(P1448-P1392)</f>
        <v>0.1821812500000064</v>
      </c>
      <c r="AH1400">
        <f>H1400-AG1388</f>
        <v>50.366692499999999</v>
      </c>
      <c r="AI1400">
        <f>100*(AH1400-O1400)/80</f>
        <v>0.42561562499999539</v>
      </c>
    </row>
    <row r="1401" spans="1:41" x14ac:dyDescent="0.35">
      <c r="A1401" t="s">
        <v>274</v>
      </c>
      <c r="B1401" t="s">
        <v>231</v>
      </c>
      <c r="C1401" t="s">
        <v>768</v>
      </c>
      <c r="D1401">
        <v>-20</v>
      </c>
      <c r="E1401">
        <v>-20.100000000000001</v>
      </c>
      <c r="F1401">
        <v>-1</v>
      </c>
      <c r="G1401">
        <v>-0.99984600000000001</v>
      </c>
      <c r="H1401">
        <v>10.525</v>
      </c>
      <c r="J1401">
        <v>-24367</v>
      </c>
      <c r="N1401" t="s">
        <v>192</v>
      </c>
      <c r="O1401">
        <f t="shared" si="63"/>
        <v>10.006159999999999</v>
      </c>
      <c r="P1401">
        <f t="shared" si="64"/>
        <v>0.64855000000000107</v>
      </c>
      <c r="Q1401">
        <f t="shared" si="65"/>
        <v>0.64855000000000107</v>
      </c>
      <c r="Y1401">
        <f>TREND(H1395:H1399,G1395:G1399,G1401)</f>
        <v>10.544474840259774</v>
      </c>
      <c r="Z1401">
        <f>ABS((Y1401-H1401)/80*100)</f>
        <v>2.4343550324716912E-2</v>
      </c>
      <c r="AE1401">
        <f>ABS(P1449-P1393)</f>
        <v>1.8815624999994895E-2</v>
      </c>
      <c r="AH1401">
        <f>H1401-AG1388</f>
        <v>10.4854425</v>
      </c>
      <c r="AI1401">
        <f>100*(AH1401-O1401)/80</f>
        <v>0.59910312500000007</v>
      </c>
    </row>
    <row r="1402" spans="1:41" x14ac:dyDescent="0.35">
      <c r="A1402" t="s">
        <v>274</v>
      </c>
      <c r="B1402" t="s">
        <v>231</v>
      </c>
      <c r="C1402" t="s">
        <v>804</v>
      </c>
      <c r="D1402">
        <v>0</v>
      </c>
      <c r="E1402">
        <v>0</v>
      </c>
      <c r="F1402">
        <v>-1</v>
      </c>
      <c r="G1402">
        <v>-1.0005360000000001</v>
      </c>
      <c r="H1402">
        <v>10.2265625</v>
      </c>
      <c r="J1402">
        <v>-16876</v>
      </c>
      <c r="N1402" t="s">
        <v>192</v>
      </c>
      <c r="O1402">
        <f t="shared" si="63"/>
        <v>9.9785599999999963</v>
      </c>
      <c r="P1402">
        <f t="shared" si="64"/>
        <v>0.3100031250000046</v>
      </c>
      <c r="Q1402">
        <f t="shared" si="65"/>
        <v>0.3100031250000046</v>
      </c>
      <c r="S1402">
        <v>50.234375</v>
      </c>
      <c r="T1402">
        <v>0.28961875000000248</v>
      </c>
      <c r="U1402">
        <v>90.3</v>
      </c>
      <c r="V1402">
        <v>0.38544999999999163</v>
      </c>
      <c r="W1402">
        <v>80.073440551757813</v>
      </c>
      <c r="X1402">
        <f>(W1402-80)/80*100</f>
        <v>9.1800689697265625E-2</v>
      </c>
      <c r="Y1402">
        <f>TREND(H1402:H1406,G1402:G1406,G1402)</f>
        <v>10.173168658421595</v>
      </c>
      <c r="Z1402">
        <f>ABS((Y1402-H1402)/80*100)</f>
        <v>6.6742301973006235E-2</v>
      </c>
      <c r="AA1402">
        <f>MAX(Z1402:Z1406)</f>
        <v>8.8433508736800448E-2</v>
      </c>
      <c r="AB1402">
        <f>IF(ABS(MAX(P1402:P1408)) &gt; ABS(MIN(P1402:P1408)),MAX(P1402:P1408), MIN(P1402:P1408))</f>
        <v>0.40264062500000364</v>
      </c>
      <c r="AC1402">
        <f>IF(ABS(AB1403)&gt;ABS(AB1402),AB1403,AB1402)</f>
        <v>0.40264062500000364</v>
      </c>
      <c r="AE1402">
        <f>ABS(P1450-P1394)</f>
        <v>1.0637500000008071E-2</v>
      </c>
      <c r="AH1402">
        <f>H1402-AG1388</f>
        <v>10.187004999999999</v>
      </c>
      <c r="AI1402">
        <f>100*(AH1402-O1402)/80</f>
        <v>0.2605562500000036</v>
      </c>
      <c r="AJ1402">
        <v>50.194817499999999</v>
      </c>
      <c r="AK1402">
        <v>0.24017187500000148</v>
      </c>
      <c r="AL1402">
        <v>90.260442499999996</v>
      </c>
      <c r="AM1402">
        <v>0.33600312499999063</v>
      </c>
      <c r="AN1402">
        <f>IF(ABS(MAX(AI1402:AI1408)) &gt; ABS(MIN(AI1402:AI1408)),MAX(AI1402:AI1408), MIN(AI1402:AI1408))</f>
        <v>0.35319375000000264</v>
      </c>
      <c r="AO1402">
        <f>IF(ABS(AN1403)&gt;ABS(AN1402),AN1403,AN1402)</f>
        <v>0.35319375000000264</v>
      </c>
    </row>
    <row r="1403" spans="1:41" x14ac:dyDescent="0.35">
      <c r="A1403" t="s">
        <v>274</v>
      </c>
      <c r="B1403" t="s">
        <v>231</v>
      </c>
      <c r="C1403" t="s">
        <v>841</v>
      </c>
      <c r="D1403">
        <v>0</v>
      </c>
      <c r="E1403">
        <v>0.1</v>
      </c>
      <c r="F1403">
        <v>-0.5</v>
      </c>
      <c r="G1403">
        <v>-0.50034500000000004</v>
      </c>
      <c r="H1403">
        <v>30.139062500000001</v>
      </c>
      <c r="J1403">
        <v>-16889</v>
      </c>
      <c r="N1403" t="s">
        <v>192</v>
      </c>
      <c r="O1403">
        <f t="shared" si="63"/>
        <v>29.986199999999997</v>
      </c>
      <c r="P1403">
        <f t="shared" si="64"/>
        <v>0.19107812500000598</v>
      </c>
      <c r="Q1403">
        <f t="shared" si="65"/>
        <v>0.19107812500000598</v>
      </c>
      <c r="Y1403">
        <f>TREND(H1402:H1406,G1402:G1406,G1403)</f>
        <v>30.209809306989442</v>
      </c>
      <c r="Z1403">
        <f>ABS((Y1403-H1403)/80*100)</f>
        <v>8.8433508736800448E-2</v>
      </c>
      <c r="AB1403">
        <f>IF(ABS(T1402) &gt; ABS(V1402),T1402,V1402)</f>
        <v>0.38544999999999163</v>
      </c>
      <c r="AE1403">
        <f>ABS(P1444-P1416)</f>
        <v>8.1684374999999587E-2</v>
      </c>
      <c r="AH1403">
        <f>H1403-AG1388</f>
        <v>30.099505000000001</v>
      </c>
      <c r="AI1403">
        <f>100*(AH1403-O1403)/80</f>
        <v>0.14163125000000498</v>
      </c>
      <c r="AN1403">
        <f>IF(ABS(AK1402) &gt; ABS(AM1402),AK1402,AM1402)</f>
        <v>0.33600312499999063</v>
      </c>
    </row>
    <row r="1404" spans="1:41" x14ac:dyDescent="0.35">
      <c r="A1404" t="s">
        <v>274</v>
      </c>
      <c r="B1404" t="s">
        <v>231</v>
      </c>
      <c r="C1404" t="s">
        <v>877</v>
      </c>
      <c r="D1404">
        <v>0</v>
      </c>
      <c r="E1404">
        <v>0</v>
      </c>
      <c r="F1404">
        <v>0</v>
      </c>
      <c r="G1404">
        <v>6.7000000000000002E-5</v>
      </c>
      <c r="H1404">
        <v>50.234375</v>
      </c>
      <c r="J1404">
        <v>-16884</v>
      </c>
      <c r="N1404" t="s">
        <v>192</v>
      </c>
      <c r="O1404">
        <f t="shared" si="63"/>
        <v>50.002679999999998</v>
      </c>
      <c r="P1404">
        <f t="shared" si="64"/>
        <v>0.28961875000000248</v>
      </c>
      <c r="Q1404">
        <f t="shared" si="65"/>
        <v>0.28961875000000248</v>
      </c>
      <c r="Y1404">
        <f>TREND(H1402:H1406,G1402:G1406,G1404)</f>
        <v>50.255302768949235</v>
      </c>
      <c r="Z1404">
        <f>ABS((Y1404-H1404)/80*100)</f>
        <v>2.615971118654414E-2</v>
      </c>
      <c r="AE1404">
        <f>ABS(P1445-P1417)</f>
        <v>0.14192499999999608</v>
      </c>
      <c r="AH1404">
        <f>H1404-AG1388</f>
        <v>50.194817499999999</v>
      </c>
      <c r="AI1404">
        <f>100*(AH1404-O1404)/80</f>
        <v>0.24017187500000148</v>
      </c>
    </row>
    <row r="1405" spans="1:41" x14ac:dyDescent="0.35">
      <c r="A1405" t="s">
        <v>274</v>
      </c>
      <c r="B1405" t="s">
        <v>231</v>
      </c>
      <c r="C1405" t="s">
        <v>913</v>
      </c>
      <c r="D1405">
        <v>0</v>
      </c>
      <c r="E1405">
        <v>0</v>
      </c>
      <c r="F1405">
        <v>0.5</v>
      </c>
      <c r="G1405">
        <v>0.49995499999999998</v>
      </c>
      <c r="H1405">
        <v>70.3203125</v>
      </c>
      <c r="J1405">
        <v>-16889</v>
      </c>
      <c r="N1405" t="s">
        <v>192</v>
      </c>
      <c r="O1405">
        <f t="shared" si="63"/>
        <v>69.998199999999997</v>
      </c>
      <c r="P1405">
        <f t="shared" si="64"/>
        <v>0.40264062500000364</v>
      </c>
      <c r="Q1405">
        <f t="shared" si="65"/>
        <v>0.40264062500000364</v>
      </c>
      <c r="Y1405">
        <f>TREND(H1402:H1406,G1402:G1406,G1405)</f>
        <v>70.279805849834901</v>
      </c>
      <c r="Z1405">
        <f>ABS((Y1405-H1405)/80*100)</f>
        <v>5.0633312706374056E-2</v>
      </c>
      <c r="AE1405">
        <f>ABS(P1446-P1418)</f>
        <v>9.7246875000012167E-2</v>
      </c>
      <c r="AH1405">
        <f>H1405-AG1388</f>
        <v>70.280754999999999</v>
      </c>
      <c r="AI1405">
        <f>100*(AH1405-O1405)/80</f>
        <v>0.35319375000000264</v>
      </c>
    </row>
    <row r="1406" spans="1:41" x14ac:dyDescent="0.35">
      <c r="A1406" t="s">
        <v>274</v>
      </c>
      <c r="B1406" t="s">
        <v>231</v>
      </c>
      <c r="C1406" t="s">
        <v>950</v>
      </c>
      <c r="D1406">
        <v>0</v>
      </c>
      <c r="E1406">
        <v>0.1</v>
      </c>
      <c r="F1406">
        <v>1</v>
      </c>
      <c r="G1406">
        <v>0.99979099999999999</v>
      </c>
      <c r="H1406">
        <v>90.3</v>
      </c>
      <c r="J1406">
        <v>-16900</v>
      </c>
      <c r="N1406" t="s">
        <v>192</v>
      </c>
      <c r="O1406">
        <f t="shared" si="63"/>
        <v>89.991640000000004</v>
      </c>
      <c r="P1406">
        <f t="shared" si="64"/>
        <v>0.38544999999999163</v>
      </c>
      <c r="Q1406">
        <f t="shared" si="65"/>
        <v>0.38544999999999163</v>
      </c>
      <c r="Y1406">
        <f>TREND(H1402:H1406,G1402:G1406,G1406)</f>
        <v>90.302225915804826</v>
      </c>
      <c r="Z1406">
        <f>ABS((Y1406-H1406)/80*100)</f>
        <v>2.7823947560356999E-3</v>
      </c>
      <c r="AE1406">
        <f>ABS(P1447-P1419)</f>
        <v>3.5874999999840895E-3</v>
      </c>
      <c r="AH1406">
        <f>H1406-AG1388</f>
        <v>90.260442499999996</v>
      </c>
      <c r="AI1406">
        <f>100*(AH1406-O1406)/80</f>
        <v>0.33600312499999063</v>
      </c>
    </row>
    <row r="1407" spans="1:41" x14ac:dyDescent="0.35">
      <c r="A1407" t="s">
        <v>274</v>
      </c>
      <c r="B1407" t="s">
        <v>231</v>
      </c>
      <c r="C1407" t="s">
        <v>987</v>
      </c>
      <c r="D1407">
        <v>0</v>
      </c>
      <c r="E1407">
        <v>0</v>
      </c>
      <c r="F1407">
        <v>0</v>
      </c>
      <c r="G1407">
        <v>-5.7000000000000003E-5</v>
      </c>
      <c r="H1407">
        <v>50.259374999999999</v>
      </c>
      <c r="J1407">
        <v>-16906</v>
      </c>
      <c r="N1407" t="s">
        <v>192</v>
      </c>
      <c r="O1407">
        <f t="shared" si="63"/>
        <v>49.997720000000001</v>
      </c>
      <c r="P1407">
        <f t="shared" si="64"/>
        <v>0.32706874999999691</v>
      </c>
      <c r="Q1407">
        <f t="shared" si="65"/>
        <v>0.32706874999999691</v>
      </c>
      <c r="Y1407">
        <f>TREND(H1402:H1406,G1402:G1406,G1407)</f>
        <v>50.250335579534749</v>
      </c>
      <c r="Z1407">
        <f>ABS((Y1407-H1407)/80*100)</f>
        <v>1.1299275581562185E-2</v>
      </c>
      <c r="AE1407">
        <f>ABS(P1448-P1420)</f>
        <v>0.19010624999998171</v>
      </c>
      <c r="AH1407">
        <f>H1407-AG1388</f>
        <v>50.219817499999998</v>
      </c>
      <c r="AI1407">
        <f>100*(AH1407-O1407)/80</f>
        <v>0.27762187499999591</v>
      </c>
    </row>
    <row r="1408" spans="1:41" x14ac:dyDescent="0.35">
      <c r="A1408" t="s">
        <v>274</v>
      </c>
      <c r="B1408" t="s">
        <v>231</v>
      </c>
      <c r="C1408" t="s">
        <v>1023</v>
      </c>
      <c r="D1408">
        <v>0</v>
      </c>
      <c r="E1408">
        <v>0</v>
      </c>
      <c r="F1408">
        <v>-1</v>
      </c>
      <c r="G1408">
        <v>-1.0001690000000001</v>
      </c>
      <c r="H1408">
        <v>10.1875</v>
      </c>
      <c r="J1408">
        <v>-16914</v>
      </c>
      <c r="N1408" t="s">
        <v>192</v>
      </c>
      <c r="O1408">
        <f t="shared" si="63"/>
        <v>9.9932399999999966</v>
      </c>
      <c r="P1408">
        <f t="shared" si="64"/>
        <v>0.24282500000000429</v>
      </c>
      <c r="Q1408">
        <f t="shared" si="65"/>
        <v>0.24282500000000429</v>
      </c>
      <c r="Y1408">
        <f>TREND(H1402:H1406,G1402:G1406,G1408)</f>
        <v>10.187869936769317</v>
      </c>
      <c r="Z1408">
        <f>ABS((Y1408-H1408)/80*100)</f>
        <v>4.6242096164661456E-4</v>
      </c>
      <c r="AE1408">
        <f>ABS(P1449-P1421)</f>
        <v>7.8403125000008345E-2</v>
      </c>
      <c r="AH1408">
        <f>H1408-AG1388</f>
        <v>10.147942499999999</v>
      </c>
      <c r="AI1408">
        <f>100*(AH1408-O1408)/80</f>
        <v>0.19337812500000329</v>
      </c>
    </row>
    <row r="1409" spans="1:41" x14ac:dyDescent="0.35">
      <c r="A1409" t="s">
        <v>274</v>
      </c>
      <c r="B1409" t="s">
        <v>231</v>
      </c>
      <c r="C1409" t="s">
        <v>1059</v>
      </c>
      <c r="D1409">
        <v>10</v>
      </c>
      <c r="E1409">
        <v>10</v>
      </c>
      <c r="F1409">
        <v>-1</v>
      </c>
      <c r="G1409">
        <v>-0.99998200000000004</v>
      </c>
      <c r="H1409">
        <v>10.115625</v>
      </c>
      <c r="J1409">
        <v>-12681</v>
      </c>
      <c r="N1409" t="s">
        <v>192</v>
      </c>
      <c r="O1409">
        <f t="shared" si="63"/>
        <v>10.000719999999998</v>
      </c>
      <c r="P1409">
        <f t="shared" si="64"/>
        <v>0.14363125000000254</v>
      </c>
      <c r="Q1409">
        <f t="shared" si="65"/>
        <v>0.14363125000000254</v>
      </c>
      <c r="S1409">
        <v>50.162500000000001</v>
      </c>
      <c r="T1409">
        <v>0.21472500000000672</v>
      </c>
      <c r="U1409">
        <v>90.251562500000006</v>
      </c>
      <c r="V1409">
        <v>0.32145312500000855</v>
      </c>
      <c r="W1409">
        <v>80.135939025878912</v>
      </c>
      <c r="X1409">
        <f>(W1409-80)/80*100</f>
        <v>0.16992378234863992</v>
      </c>
      <c r="Y1409">
        <f>TREND(H1409:H1413,G1409:G1413,G1409)</f>
        <v>10.106478755953333</v>
      </c>
      <c r="Z1409">
        <f>ABS((Y1409-H1409)/80*100)</f>
        <v>1.143280505833344E-2</v>
      </c>
      <c r="AA1409">
        <f>MAX(Z1409:Z1413)</f>
        <v>4.4492622592056108E-2</v>
      </c>
      <c r="AB1409">
        <f>IF(ABS(MAX(P1409:P1415)) &gt; ABS(MIN(P1409:P1415)),MAX(P1409:P1415), MIN(P1409:P1415))</f>
        <v>0.33269374999999712</v>
      </c>
      <c r="AC1409">
        <f>IF(ABS(AB1410)&gt;ABS(AB1409),AB1410,AB1409)</f>
        <v>0.33269374999999712</v>
      </c>
      <c r="AE1409">
        <f>ABS(P1450-P1422)</f>
        <v>0.14931250000000285</v>
      </c>
      <c r="AH1409">
        <f>H1409-AG1388</f>
        <v>10.076067499999999</v>
      </c>
      <c r="AI1409">
        <f>100*(AH1409-O1409)/80</f>
        <v>9.4184375000001541E-2</v>
      </c>
      <c r="AJ1409">
        <v>50.122942500000001</v>
      </c>
      <c r="AK1409">
        <v>0.16527812500000572</v>
      </c>
      <c r="AL1409">
        <v>90.212005000000005</v>
      </c>
      <c r="AM1409">
        <v>0.27200625000000755</v>
      </c>
      <c r="AN1409">
        <f>IF(ABS(MAX(AI1409:AI1415)) &gt; ABS(MIN(AI1409:AI1415)),MAX(AI1409:AI1415), MIN(AI1409:AI1415))</f>
        <v>0.28324687499999612</v>
      </c>
      <c r="AO1409">
        <f>IF(ABS(AN1410)&gt;ABS(AN1409),AN1410,AN1409)</f>
        <v>0.28324687499999612</v>
      </c>
    </row>
    <row r="1410" spans="1:41" x14ac:dyDescent="0.35">
      <c r="A1410" t="s">
        <v>274</v>
      </c>
      <c r="B1410" t="s">
        <v>231</v>
      </c>
      <c r="C1410" t="s">
        <v>1095</v>
      </c>
      <c r="D1410">
        <v>10</v>
      </c>
      <c r="E1410">
        <v>10</v>
      </c>
      <c r="F1410">
        <v>-0.5</v>
      </c>
      <c r="G1410">
        <v>-0.50016499999999997</v>
      </c>
      <c r="H1410">
        <v>30.128125000000001</v>
      </c>
      <c r="J1410">
        <v>-12651</v>
      </c>
      <c r="N1410" t="s">
        <v>192</v>
      </c>
      <c r="O1410">
        <f t="shared" si="63"/>
        <v>29.993400000000001</v>
      </c>
      <c r="P1410">
        <f t="shared" si="64"/>
        <v>0.16840624999999942</v>
      </c>
      <c r="Q1410">
        <f t="shared" si="65"/>
        <v>0.16840624999999942</v>
      </c>
      <c r="Y1410">
        <f>TREND(H1409:H1413,G1409:G1413,G1410)</f>
        <v>30.140740780247175</v>
      </c>
      <c r="Z1410">
        <f>ABS((Y1410-H1410)/80*100)</f>
        <v>1.5769725308967253E-2</v>
      </c>
      <c r="AB1410">
        <f>IF(ABS(T1409) &gt; ABS(V1409),T1409,V1409)</f>
        <v>0.32145312500000855</v>
      </c>
      <c r="AH1410">
        <f>H1410-AG1388</f>
        <v>30.0885675</v>
      </c>
      <c r="AI1410">
        <f>100*(AH1410-O1410)/80</f>
        <v>0.11895937499999842</v>
      </c>
      <c r="AN1410">
        <f>IF(ABS(AK1409) &gt; ABS(AM1409),AK1409,AM1409)</f>
        <v>0.27200625000000755</v>
      </c>
    </row>
    <row r="1411" spans="1:41" x14ac:dyDescent="0.35">
      <c r="A1411" t="s">
        <v>274</v>
      </c>
      <c r="B1411" t="s">
        <v>1111</v>
      </c>
      <c r="C1411" t="s">
        <v>1132</v>
      </c>
      <c r="D1411">
        <v>10</v>
      </c>
      <c r="E1411">
        <v>10</v>
      </c>
      <c r="F1411">
        <v>0</v>
      </c>
      <c r="G1411">
        <v>-2.32E-4</v>
      </c>
      <c r="H1411">
        <v>50.162500000000001</v>
      </c>
      <c r="J1411">
        <v>-12616</v>
      </c>
      <c r="N1411" t="s">
        <v>192</v>
      </c>
      <c r="O1411">
        <f t="shared" si="63"/>
        <v>49.990719999999996</v>
      </c>
      <c r="P1411">
        <f t="shared" si="64"/>
        <v>0.21472500000000672</v>
      </c>
      <c r="Q1411">
        <f t="shared" si="65"/>
        <v>0.21472500000000672</v>
      </c>
      <c r="Y1411">
        <f>TREND(H1409:H1413,G1409:G1413,G1411)</f>
        <v>50.179652455102755</v>
      </c>
      <c r="Z1411">
        <f>ABS((Y1411-H1411)/80*100)</f>
        <v>2.1440568878441368E-2</v>
      </c>
      <c r="AH1411">
        <f>H1411-AG1388</f>
        <v>50.122942500000001</v>
      </c>
      <c r="AI1411">
        <f>100*(AH1411-O1411)/80</f>
        <v>0.16527812500000572</v>
      </c>
    </row>
    <row r="1412" spans="1:41" x14ac:dyDescent="0.35">
      <c r="A1412" t="s">
        <v>274</v>
      </c>
      <c r="B1412" t="s">
        <v>1111</v>
      </c>
      <c r="C1412" t="s">
        <v>1169</v>
      </c>
      <c r="D1412">
        <v>10</v>
      </c>
      <c r="E1412">
        <v>10</v>
      </c>
      <c r="F1412">
        <v>0.5</v>
      </c>
      <c r="G1412">
        <v>0.500143</v>
      </c>
      <c r="H1412">
        <v>70.271874999999994</v>
      </c>
      <c r="J1412">
        <v>-12601</v>
      </c>
      <c r="N1412" t="s">
        <v>192</v>
      </c>
      <c r="O1412">
        <f t="shared" si="63"/>
        <v>70.005719999999997</v>
      </c>
      <c r="P1412">
        <f t="shared" si="64"/>
        <v>0.33269374999999712</v>
      </c>
      <c r="Q1412">
        <f t="shared" si="65"/>
        <v>0.33269374999999712</v>
      </c>
      <c r="Y1412">
        <f>TREND(H1409:H1413,G1409:G1413,G1412)</f>
        <v>70.236280901926349</v>
      </c>
      <c r="Z1412">
        <f>ABS((Y1412-H1412)/80*100)</f>
        <v>4.4492622592056108E-2</v>
      </c>
      <c r="AH1412">
        <f>H1412-AG1388</f>
        <v>70.232317499999994</v>
      </c>
      <c r="AI1412">
        <f>100*(AH1412-O1412)/80</f>
        <v>0.28324687499999612</v>
      </c>
    </row>
    <row r="1413" spans="1:41" x14ac:dyDescent="0.35">
      <c r="A1413" t="s">
        <v>274</v>
      </c>
      <c r="B1413" t="s">
        <v>1111</v>
      </c>
      <c r="C1413" t="s">
        <v>1206</v>
      </c>
      <c r="D1413">
        <v>10</v>
      </c>
      <c r="E1413">
        <v>10</v>
      </c>
      <c r="F1413">
        <v>1</v>
      </c>
      <c r="G1413">
        <v>0.99985999999999997</v>
      </c>
      <c r="H1413">
        <v>90.251562500000006</v>
      </c>
      <c r="J1413">
        <v>-12569</v>
      </c>
      <c r="N1413" t="s">
        <v>192</v>
      </c>
      <c r="O1413">
        <f t="shared" si="63"/>
        <v>89.994399999999999</v>
      </c>
      <c r="P1413">
        <f t="shared" si="64"/>
        <v>0.32145312500000855</v>
      </c>
      <c r="Q1413">
        <f t="shared" si="65"/>
        <v>0.32145312500000855</v>
      </c>
      <c r="Y1413">
        <f>TREND(H1409:H1413,G1409:G1413,G1413)</f>
        <v>90.266534606770421</v>
      </c>
      <c r="Z1413">
        <f>ABS((Y1413-H1413)/80*100)</f>
        <v>1.8715133463018674E-2</v>
      </c>
      <c r="AH1413">
        <f>H1413-AG1388</f>
        <v>90.212005000000005</v>
      </c>
      <c r="AI1413">
        <f>100*(AH1413-O1413)/80</f>
        <v>0.27200625000000755</v>
      </c>
    </row>
    <row r="1414" spans="1:41" x14ac:dyDescent="0.35">
      <c r="A1414" t="s">
        <v>274</v>
      </c>
      <c r="B1414" t="s">
        <v>1111</v>
      </c>
      <c r="C1414" t="s">
        <v>1243</v>
      </c>
      <c r="D1414">
        <v>10</v>
      </c>
      <c r="E1414">
        <v>10</v>
      </c>
      <c r="F1414">
        <v>0</v>
      </c>
      <c r="G1414">
        <v>4.7699999999999999E-4</v>
      </c>
      <c r="H1414">
        <v>50.198437499999997</v>
      </c>
      <c r="J1414">
        <v>-12552</v>
      </c>
      <c r="N1414" t="s">
        <v>192</v>
      </c>
      <c r="O1414">
        <f t="shared" si="63"/>
        <v>50.019080000000002</v>
      </c>
      <c r="P1414">
        <f t="shared" si="64"/>
        <v>0.22419687499999341</v>
      </c>
      <c r="Q1414">
        <f t="shared" si="65"/>
        <v>0.22419687499999341</v>
      </c>
      <c r="Y1414">
        <f>TREND(H1409:H1413,G1409:G1413,G1414)</f>
        <v>50.208071440001675</v>
      </c>
      <c r="Z1414">
        <f>ABS((Y1414-H1414)/80*100)</f>
        <v>1.2042425002096735E-2</v>
      </c>
      <c r="AH1414">
        <f>H1414-AG1388</f>
        <v>50.158879999999996</v>
      </c>
      <c r="AI1414">
        <f>100*(AH1414-O1414)/80</f>
        <v>0.17474999999999241</v>
      </c>
    </row>
    <row r="1415" spans="1:41" x14ac:dyDescent="0.35">
      <c r="A1415" t="s">
        <v>274</v>
      </c>
      <c r="B1415" t="s">
        <v>1111</v>
      </c>
      <c r="C1415" t="s">
        <v>1279</v>
      </c>
      <c r="D1415">
        <v>10</v>
      </c>
      <c r="E1415">
        <v>10</v>
      </c>
      <c r="F1415">
        <v>-1</v>
      </c>
      <c r="G1415">
        <v>-1.000157</v>
      </c>
      <c r="H1415">
        <v>10.121874999999999</v>
      </c>
      <c r="J1415">
        <v>-12535</v>
      </c>
      <c r="N1415" t="s">
        <v>192</v>
      </c>
      <c r="O1415">
        <f t="shared" si="63"/>
        <v>9.9937200000000015</v>
      </c>
      <c r="P1415">
        <f t="shared" si="64"/>
        <v>0.16019374999999725</v>
      </c>
      <c r="Q1415">
        <f t="shared" si="65"/>
        <v>0.16019374999999725</v>
      </c>
      <c r="Y1415">
        <f>TREND(H1409:H1413,G1409:G1413,G1415)</f>
        <v>10.099464196916223</v>
      </c>
      <c r="Z1415">
        <f>ABS((Y1415-H1415)/80*100)</f>
        <v>2.8013503854720238E-2</v>
      </c>
      <c r="AH1415">
        <f>H1415-AG1388</f>
        <v>10.082317499999998</v>
      </c>
      <c r="AI1415">
        <f>100*(AH1415-O1415)/80</f>
        <v>0.11074687499999625</v>
      </c>
    </row>
    <row r="1416" spans="1:41" x14ac:dyDescent="0.35">
      <c r="A1416" t="s">
        <v>274</v>
      </c>
      <c r="B1416" t="s">
        <v>1111</v>
      </c>
      <c r="C1416" t="s">
        <v>1315</v>
      </c>
      <c r="D1416">
        <v>25</v>
      </c>
      <c r="E1416">
        <v>25</v>
      </c>
      <c r="F1416">
        <v>-1</v>
      </c>
      <c r="G1416">
        <v>-1.000132</v>
      </c>
      <c r="H1416">
        <v>10.0140625</v>
      </c>
      <c r="J1416">
        <v>-6550</v>
      </c>
      <c r="N1416" t="s">
        <v>192</v>
      </c>
      <c r="O1416">
        <f t="shared" si="63"/>
        <v>9.9947199999999992</v>
      </c>
      <c r="P1416">
        <f t="shared" si="64"/>
        <v>2.4178125000000605E-2</v>
      </c>
      <c r="Q1416">
        <f t="shared" si="65"/>
        <v>2.4178125000000605E-2</v>
      </c>
      <c r="S1416">
        <v>50.137500000000003</v>
      </c>
      <c r="T1416">
        <v>0.18327500000000718</v>
      </c>
      <c r="U1416">
        <v>90.246875000000003</v>
      </c>
      <c r="V1416">
        <v>0.32749374999999858</v>
      </c>
      <c r="W1416">
        <v>80.232809448242193</v>
      </c>
      <c r="X1416">
        <f>(W1416-80)/80*100</f>
        <v>0.29101181030274148</v>
      </c>
      <c r="Y1416">
        <f>TREND(H1416:H1420,G1416:G1420,G1416)</f>
        <v>10.006293047221661</v>
      </c>
      <c r="Z1416">
        <f>ABS((Y1416-H1416)/80*100)</f>
        <v>9.7118159729236986E-3</v>
      </c>
      <c r="AA1416">
        <f>MAX(Z1416:Z1420)</f>
        <v>4.8601039089088971E-2</v>
      </c>
      <c r="AB1416">
        <f>IF(ABS(MAX(P1416:P1422)) &gt; ABS(MIN(P1416:P1422)),MAX(P1416:P1422), MIN(P1416:P1422))</f>
        <v>0.32749374999999858</v>
      </c>
      <c r="AC1416">
        <f>IF(ABS(AB1417)&gt;ABS(AB1416),AB1417,AB1416)</f>
        <v>0.32749374999999858</v>
      </c>
      <c r="AH1416">
        <f>H1416-AG1388</f>
        <v>9.9745049999999988</v>
      </c>
      <c r="AI1416">
        <f>100*(AH1416-O1416)/80</f>
        <v>-2.5268750000000395E-2</v>
      </c>
      <c r="AJ1416">
        <v>50.097942500000002</v>
      </c>
      <c r="AK1416">
        <v>0.13382812500000618</v>
      </c>
      <c r="AL1416">
        <v>90.207317500000002</v>
      </c>
      <c r="AM1416">
        <v>0.27804687499999758</v>
      </c>
      <c r="AN1416">
        <f>IF(ABS(MAX(AI1416:AI1422)) &gt; ABS(MIN(AI1416:AI1422)),MAX(AI1416:AI1422), MIN(AI1416:AI1422))</f>
        <v>0.27804687499999758</v>
      </c>
      <c r="AO1416">
        <f>IF(ABS(AN1417)&gt;ABS(AN1416),AN1417,AN1416)</f>
        <v>0.27804687499999758</v>
      </c>
    </row>
    <row r="1417" spans="1:41" x14ac:dyDescent="0.35">
      <c r="A1417" t="s">
        <v>274</v>
      </c>
      <c r="B1417" t="s">
        <v>1111</v>
      </c>
      <c r="C1417" t="s">
        <v>1352</v>
      </c>
      <c r="D1417">
        <v>25</v>
      </c>
      <c r="E1417">
        <v>25</v>
      </c>
      <c r="F1417">
        <v>-0.5</v>
      </c>
      <c r="G1417">
        <v>-0.50003500000000001</v>
      </c>
      <c r="H1417">
        <v>30.056249999999999</v>
      </c>
      <c r="J1417">
        <v>-6534</v>
      </c>
      <c r="N1417" t="s">
        <v>192</v>
      </c>
      <c r="O1417">
        <f t="shared" ref="O1417:O1480" si="66">(((G1417--1)*(40))+10)</f>
        <v>29.9986</v>
      </c>
      <c r="P1417">
        <f t="shared" ref="P1417:P1480" si="67">100*(H1417-O1417)/80</f>
        <v>7.2062499999998586E-2</v>
      </c>
      <c r="Q1417">
        <f t="shared" ref="Q1417:Q1480" si="68">ABS(P1417)</f>
        <v>7.2062499999998586E-2</v>
      </c>
      <c r="Y1417">
        <f>TREND(H1416:H1420,G1416:G1420,G1417)</f>
        <v>30.078504817936508</v>
      </c>
      <c r="Z1417">
        <f>ABS((Y1417-H1417)/80*100)</f>
        <v>2.7818522420637315E-2</v>
      </c>
      <c r="AB1417">
        <f>IF(ABS(T1416) &gt; ABS(V1416),T1416,V1416)</f>
        <v>0.32749374999999858</v>
      </c>
      <c r="AH1417">
        <f>H1417-AG1388</f>
        <v>30.016692499999998</v>
      </c>
      <c r="AI1417">
        <f>100*(AH1417-O1417)/80</f>
        <v>2.2615624999997586E-2</v>
      </c>
      <c r="AN1417">
        <f>IF(ABS(AK1416) &gt; ABS(AM1416),AK1416,AM1416)</f>
        <v>0.27804687499999758</v>
      </c>
    </row>
    <row r="1418" spans="1:41" x14ac:dyDescent="0.35">
      <c r="A1418" t="s">
        <v>274</v>
      </c>
      <c r="B1418" t="s">
        <v>1111</v>
      </c>
      <c r="C1418" t="s">
        <v>1388</v>
      </c>
      <c r="D1418">
        <v>25</v>
      </c>
      <c r="E1418">
        <v>25</v>
      </c>
      <c r="F1418">
        <v>0</v>
      </c>
      <c r="G1418">
        <v>-2.2800000000000001E-4</v>
      </c>
      <c r="H1418">
        <v>50.137500000000003</v>
      </c>
      <c r="J1418">
        <v>-6502</v>
      </c>
      <c r="N1418" t="s">
        <v>192</v>
      </c>
      <c r="O1418">
        <f t="shared" si="66"/>
        <v>49.990879999999997</v>
      </c>
      <c r="P1418">
        <f t="shared" si="67"/>
        <v>0.18327500000000718</v>
      </c>
      <c r="Q1418">
        <f t="shared" si="68"/>
        <v>0.18327500000000718</v>
      </c>
      <c r="Y1418">
        <f>TREND(H1416:H1420,G1416:G1420,G1418)</f>
        <v>50.139076963911542</v>
      </c>
      <c r="Z1418">
        <f>ABS((Y1418-H1418)/80*100)</f>
        <v>1.9712048894238166E-3</v>
      </c>
      <c r="AH1418">
        <f>H1418-AG1388</f>
        <v>50.097942500000002</v>
      </c>
      <c r="AI1418">
        <f>100*(AH1418-O1418)/80</f>
        <v>0.13382812500000618</v>
      </c>
    </row>
    <row r="1419" spans="1:41" x14ac:dyDescent="0.35">
      <c r="A1419" t="s">
        <v>274</v>
      </c>
      <c r="B1419" t="s">
        <v>1111</v>
      </c>
      <c r="C1419" t="s">
        <v>1425</v>
      </c>
      <c r="D1419">
        <v>25</v>
      </c>
      <c r="E1419">
        <v>25</v>
      </c>
      <c r="F1419">
        <v>0.5</v>
      </c>
      <c r="G1419">
        <v>0.50029299999999999</v>
      </c>
      <c r="H1419">
        <v>70.267187500000006</v>
      </c>
      <c r="J1419">
        <v>-6485</v>
      </c>
      <c r="N1419" t="s">
        <v>192</v>
      </c>
      <c r="O1419">
        <f t="shared" si="66"/>
        <v>70.011719999999997</v>
      </c>
      <c r="P1419">
        <f t="shared" si="67"/>
        <v>0.31933437500001105</v>
      </c>
      <c r="Q1419">
        <f t="shared" si="68"/>
        <v>0.31933437500001105</v>
      </c>
      <c r="Y1419">
        <f>TREND(H1416:H1420,G1416:G1420,G1419)</f>
        <v>70.228306668728735</v>
      </c>
      <c r="Z1419">
        <f>ABS((Y1419-H1419)/80*100)</f>
        <v>4.8601039089088971E-2</v>
      </c>
      <c r="AH1419">
        <f>H1419-AG1388</f>
        <v>70.227630000000005</v>
      </c>
      <c r="AI1419">
        <f>100*(AH1419-O1419)/80</f>
        <v>0.26988750000001005</v>
      </c>
    </row>
    <row r="1420" spans="1:41" x14ac:dyDescent="0.35">
      <c r="A1420" t="s">
        <v>274</v>
      </c>
      <c r="B1420" t="s">
        <v>1111</v>
      </c>
      <c r="C1420" t="s">
        <v>1462</v>
      </c>
      <c r="D1420">
        <v>25</v>
      </c>
      <c r="E1420">
        <v>25</v>
      </c>
      <c r="F1420">
        <v>1</v>
      </c>
      <c r="G1420">
        <v>0.99962200000000001</v>
      </c>
      <c r="H1420">
        <v>90.246875000000003</v>
      </c>
      <c r="J1420">
        <v>-6474</v>
      </c>
      <c r="N1420" t="s">
        <v>192</v>
      </c>
      <c r="O1420">
        <f t="shared" si="66"/>
        <v>89.984880000000004</v>
      </c>
      <c r="P1420">
        <f t="shared" si="67"/>
        <v>0.32749374999999858</v>
      </c>
      <c r="Q1420">
        <f t="shared" si="68"/>
        <v>0.32749374999999858</v>
      </c>
      <c r="Y1420">
        <f>TREND(H1416:H1420,G1416:G1420,G1420)</f>
        <v>90.269693502201591</v>
      </c>
      <c r="Z1420">
        <f>ABS((Y1420-H1420)/80*100)</f>
        <v>2.8523127751984845E-2</v>
      </c>
      <c r="AH1420">
        <f>H1420-AG1388</f>
        <v>90.207317500000002</v>
      </c>
      <c r="AI1420">
        <f>100*(AH1420-O1420)/80</f>
        <v>0.27804687499999758</v>
      </c>
    </row>
    <row r="1421" spans="1:41" x14ac:dyDescent="0.35">
      <c r="A1421" t="s">
        <v>274</v>
      </c>
      <c r="B1421" t="s">
        <v>1111</v>
      </c>
      <c r="C1421" t="s">
        <v>1499</v>
      </c>
      <c r="D1421">
        <v>25</v>
      </c>
      <c r="E1421">
        <v>25</v>
      </c>
      <c r="F1421">
        <v>0</v>
      </c>
      <c r="G1421">
        <v>-3.5100000000000002E-4</v>
      </c>
      <c r="H1421">
        <v>50.131250000000001</v>
      </c>
      <c r="J1421">
        <v>-6461</v>
      </c>
      <c r="N1421" t="s">
        <v>192</v>
      </c>
      <c r="O1421">
        <f t="shared" si="66"/>
        <v>49.985959999999999</v>
      </c>
      <c r="P1421">
        <f t="shared" si="67"/>
        <v>0.18161250000000351</v>
      </c>
      <c r="Q1421">
        <f t="shared" si="68"/>
        <v>0.18161250000000351</v>
      </c>
      <c r="Y1421">
        <f>TREND(H1416:H1420,G1416:G1420,G1421)</f>
        <v>50.134140157556374</v>
      </c>
      <c r="Z1421">
        <f>ABS((Y1421-H1421)/80*100)</f>
        <v>3.612696945465288E-3</v>
      </c>
      <c r="AH1421">
        <f>H1421-AG1388</f>
        <v>50.091692500000001</v>
      </c>
      <c r="AI1421">
        <f>100*(AH1421-O1421)/80</f>
        <v>0.13216562500000251</v>
      </c>
    </row>
    <row r="1422" spans="1:41" x14ac:dyDescent="0.35">
      <c r="A1422" t="s">
        <v>274</v>
      </c>
      <c r="B1422" t="s">
        <v>1111</v>
      </c>
      <c r="C1422" t="s">
        <v>1535</v>
      </c>
      <c r="D1422">
        <v>25</v>
      </c>
      <c r="E1422">
        <v>25</v>
      </c>
      <c r="F1422">
        <v>-1</v>
      </c>
      <c r="G1422">
        <v>-1.000049</v>
      </c>
      <c r="H1422">
        <v>10.0953125</v>
      </c>
      <c r="J1422">
        <v>-6446</v>
      </c>
      <c r="N1422" t="s">
        <v>192</v>
      </c>
      <c r="O1422">
        <f t="shared" si="66"/>
        <v>9.9980400000000014</v>
      </c>
      <c r="P1422">
        <f t="shared" si="67"/>
        <v>0.12159062499999873</v>
      </c>
      <c r="Q1422">
        <f t="shared" si="68"/>
        <v>0.12159062499999873</v>
      </c>
      <c r="Y1422">
        <f>TREND(H1416:H1420,G1416:G1420,G1422)</f>
        <v>10.009624388095475</v>
      </c>
      <c r="Z1422">
        <f>ABS((Y1422-H1422)/80*100)</f>
        <v>0.10711013988065732</v>
      </c>
      <c r="AH1422">
        <f>H1422-AG1388</f>
        <v>10.055755</v>
      </c>
      <c r="AI1422">
        <f>100*(AH1422-O1422)/80</f>
        <v>7.2143749999997731E-2</v>
      </c>
    </row>
    <row r="1423" spans="1:41" x14ac:dyDescent="0.35">
      <c r="A1423" t="s">
        <v>274</v>
      </c>
      <c r="B1423" t="s">
        <v>1111</v>
      </c>
      <c r="C1423" t="s">
        <v>1572</v>
      </c>
      <c r="D1423">
        <v>50</v>
      </c>
      <c r="E1423">
        <v>50</v>
      </c>
      <c r="F1423">
        <v>-1</v>
      </c>
      <c r="G1423">
        <v>-1.0003599999999999</v>
      </c>
      <c r="H1423">
        <v>10.073437500000001</v>
      </c>
      <c r="J1423">
        <v>3313</v>
      </c>
      <c r="N1423" t="s">
        <v>192</v>
      </c>
      <c r="O1423">
        <f t="shared" si="66"/>
        <v>9.9856000000000034</v>
      </c>
      <c r="P1423">
        <f t="shared" si="67"/>
        <v>0.10979687499999669</v>
      </c>
      <c r="Q1423">
        <f t="shared" si="68"/>
        <v>0.10979687499999669</v>
      </c>
      <c r="S1423">
        <v>50.032812499999999</v>
      </c>
      <c r="T1423">
        <v>3.9115624999999099E-2</v>
      </c>
      <c r="U1423">
        <v>90.306250000000006</v>
      </c>
      <c r="V1423">
        <v>0.38336250000000405</v>
      </c>
      <c r="W1423">
        <v>80.232814025878909</v>
      </c>
      <c r="X1423">
        <f>(W1423-80)/80*100</f>
        <v>0.29101753234863637</v>
      </c>
      <c r="Y1423">
        <f>TREND(H1423:H1427,G1423:G1427,G1423)</f>
        <v>10.004052681697317</v>
      </c>
      <c r="Z1423">
        <f>ABS((Y1423-H1423)/80*100)</f>
        <v>8.6731022878354658E-2</v>
      </c>
      <c r="AA1423">
        <f>MAX(Z1423:Z1427)</f>
        <v>0.15401057484658587</v>
      </c>
      <c r="AB1423">
        <f>IF(ABS(MAX(P1423:P1429)) &gt; ABS(MIN(P1423:P1429)),MAX(P1423:P1429), MIN(P1423:P1429))</f>
        <v>0.38336250000000405</v>
      </c>
      <c r="AC1423">
        <f>IF(ABS(AB1424)&gt;ABS(AB1423),AB1424,AB1423)</f>
        <v>0.38336250000000405</v>
      </c>
      <c r="AH1423">
        <f>H1423-AG1388</f>
        <v>10.03388</v>
      </c>
      <c r="AI1423">
        <f>100*(AH1423-O1423)/80</f>
        <v>6.0349999999995685E-2</v>
      </c>
      <c r="AJ1423">
        <v>49.993254999999998</v>
      </c>
      <c r="AK1423">
        <v>-1.0331250000001901E-2</v>
      </c>
      <c r="AL1423">
        <v>90.266692500000005</v>
      </c>
      <c r="AM1423">
        <v>0.33391562500000305</v>
      </c>
      <c r="AN1423">
        <f>IF(ABS(MAX(AI1423:AI1429)) &gt; ABS(MIN(AI1423:AI1429)),MAX(AI1423:AI1429), MIN(AI1423:AI1429))</f>
        <v>0.33391562500000305</v>
      </c>
      <c r="AO1423">
        <f>IF(ABS(AN1424)&gt;ABS(AN1423),AN1424,AN1423)</f>
        <v>0.33391562500000305</v>
      </c>
    </row>
    <row r="1424" spans="1:41" x14ac:dyDescent="0.35">
      <c r="A1424" t="s">
        <v>274</v>
      </c>
      <c r="B1424" t="s">
        <v>1111</v>
      </c>
      <c r="C1424" t="s">
        <v>1608</v>
      </c>
      <c r="D1424">
        <v>50</v>
      </c>
      <c r="E1424">
        <v>50</v>
      </c>
      <c r="F1424">
        <v>-0.5</v>
      </c>
      <c r="G1424">
        <v>-0.50016899999999997</v>
      </c>
      <c r="H1424">
        <v>30.045312500000001</v>
      </c>
      <c r="J1424">
        <v>3347</v>
      </c>
      <c r="N1424" t="s">
        <v>192</v>
      </c>
      <c r="O1424">
        <f t="shared" si="66"/>
        <v>29.99324</v>
      </c>
      <c r="P1424">
        <f t="shared" si="67"/>
        <v>6.5090625000001623E-2</v>
      </c>
      <c r="Q1424">
        <f t="shared" si="68"/>
        <v>6.5090625000001623E-2</v>
      </c>
      <c r="Y1424">
        <f>TREND(H1423:H1427,G1423:G1427,G1424)</f>
        <v>30.079715732834075</v>
      </c>
      <c r="Z1424">
        <f>ABS((Y1424-H1424)/80*100)</f>
        <v>4.3004041042591368E-2</v>
      </c>
      <c r="AB1424">
        <f>IF(ABS(T1423) &gt; ABS(V1423),T1423,V1423)</f>
        <v>0.38336250000000405</v>
      </c>
      <c r="AH1424">
        <f>H1424-AG1388</f>
        <v>30.005755000000001</v>
      </c>
      <c r="AI1424">
        <f>100*(AH1424-O1424)/80</f>
        <v>1.5643750000000622E-2</v>
      </c>
      <c r="AN1424">
        <f>IF(ABS(AK1423) &gt; ABS(AM1423),AK1423,AM1423)</f>
        <v>0.33391562500000305</v>
      </c>
    </row>
    <row r="1425" spans="1:41" x14ac:dyDescent="0.35">
      <c r="A1425" t="s">
        <v>274</v>
      </c>
      <c r="B1425" t="s">
        <v>1111</v>
      </c>
      <c r="C1425" t="s">
        <v>1645</v>
      </c>
      <c r="D1425">
        <v>50</v>
      </c>
      <c r="E1425">
        <v>50</v>
      </c>
      <c r="F1425">
        <v>0</v>
      </c>
      <c r="G1425">
        <v>3.8000000000000002E-5</v>
      </c>
      <c r="H1425">
        <v>50.032812499999999</v>
      </c>
      <c r="J1425">
        <v>3388</v>
      </c>
      <c r="N1425" t="s">
        <v>192</v>
      </c>
      <c r="O1425">
        <f t="shared" si="66"/>
        <v>50.001519999999999</v>
      </c>
      <c r="P1425">
        <f t="shared" si="67"/>
        <v>3.9115624999999099E-2</v>
      </c>
      <c r="Q1425">
        <f t="shared" si="68"/>
        <v>3.9115624999999099E-2</v>
      </c>
      <c r="Y1425">
        <f>TREND(H1423:H1427,G1423:G1427,G1425)</f>
        <v>50.156020959877267</v>
      </c>
      <c r="Z1425">
        <f>ABS((Y1425-H1425)/80*100)</f>
        <v>0.15401057484658587</v>
      </c>
      <c r="AH1425">
        <f>H1425-AG1388</f>
        <v>49.993254999999998</v>
      </c>
      <c r="AI1425">
        <f>100*(AH1425-O1425)/80</f>
        <v>-1.0331250000001901E-2</v>
      </c>
    </row>
    <row r="1426" spans="1:41" x14ac:dyDescent="0.35">
      <c r="A1426" t="s">
        <v>274</v>
      </c>
      <c r="B1426" t="s">
        <v>1111</v>
      </c>
      <c r="C1426" t="s">
        <v>1682</v>
      </c>
      <c r="D1426">
        <v>50</v>
      </c>
      <c r="E1426">
        <v>50</v>
      </c>
      <c r="F1426">
        <v>0.5</v>
      </c>
      <c r="G1426">
        <v>0.49990299999999999</v>
      </c>
      <c r="H1426">
        <v>70.290625000000006</v>
      </c>
      <c r="J1426">
        <v>3416</v>
      </c>
      <c r="N1426" t="s">
        <v>192</v>
      </c>
      <c r="O1426">
        <f t="shared" si="66"/>
        <v>69.996119999999991</v>
      </c>
      <c r="P1426">
        <f t="shared" si="67"/>
        <v>0.36813125000001889</v>
      </c>
      <c r="Q1426">
        <f t="shared" si="68"/>
        <v>0.36813125000001889</v>
      </c>
      <c r="Y1426">
        <f>TREND(H1423:H1427,G1423:G1427,G1426)</f>
        <v>70.218599676920306</v>
      </c>
      <c r="Z1426">
        <f>ABS((Y1426-H1426)/80*100)</f>
        <v>9.003165384962486E-2</v>
      </c>
      <c r="AH1426">
        <f>H1426-AG1388</f>
        <v>70.251067500000005</v>
      </c>
      <c r="AI1426">
        <f>100*(AH1426-O1426)/80</f>
        <v>0.31868437500001789</v>
      </c>
    </row>
    <row r="1427" spans="1:41" x14ac:dyDescent="0.35">
      <c r="A1427" t="s">
        <v>274</v>
      </c>
      <c r="B1427" t="s">
        <v>1111</v>
      </c>
      <c r="C1427" t="s">
        <v>1719</v>
      </c>
      <c r="D1427">
        <v>50</v>
      </c>
      <c r="E1427">
        <v>50</v>
      </c>
      <c r="F1427">
        <v>1</v>
      </c>
      <c r="G1427">
        <v>0.99998900000000002</v>
      </c>
      <c r="H1427">
        <v>90.306250000000006</v>
      </c>
      <c r="J1427">
        <v>3446</v>
      </c>
      <c r="N1427" t="s">
        <v>192</v>
      </c>
      <c r="O1427">
        <f t="shared" si="66"/>
        <v>89.999560000000002</v>
      </c>
      <c r="P1427">
        <f t="shared" si="67"/>
        <v>0.38336250000000405</v>
      </c>
      <c r="Q1427">
        <f t="shared" si="68"/>
        <v>0.38336250000000405</v>
      </c>
      <c r="Y1427">
        <f>TREND(H1423:H1427,G1423:G1427,G1427)</f>
        <v>90.290048448671058</v>
      </c>
      <c r="Z1427">
        <f>ABS((Y1427-H1427)/80*100)</f>
        <v>2.0251939161184396E-2</v>
      </c>
      <c r="AH1427">
        <f>H1427-AG1388</f>
        <v>90.266692500000005</v>
      </c>
      <c r="AI1427">
        <f>100*(AH1427-O1427)/80</f>
        <v>0.33391562500000305</v>
      </c>
    </row>
    <row r="1428" spans="1:41" x14ac:dyDescent="0.35">
      <c r="A1428" t="s">
        <v>274</v>
      </c>
      <c r="B1428" t="s">
        <v>1111</v>
      </c>
      <c r="C1428" t="s">
        <v>1755</v>
      </c>
      <c r="D1428">
        <v>50</v>
      </c>
      <c r="E1428">
        <v>50</v>
      </c>
      <c r="F1428">
        <v>0</v>
      </c>
      <c r="G1428">
        <v>-9.9999999999999995E-7</v>
      </c>
      <c r="H1428">
        <v>50.157812499999999</v>
      </c>
      <c r="J1428">
        <v>3472</v>
      </c>
      <c r="N1428" t="s">
        <v>192</v>
      </c>
      <c r="O1428">
        <f t="shared" si="66"/>
        <v>49.999960000000002</v>
      </c>
      <c r="P1428">
        <f t="shared" si="67"/>
        <v>0.19731562499999633</v>
      </c>
      <c r="Q1428">
        <f t="shared" si="68"/>
        <v>0.19731562499999633</v>
      </c>
      <c r="Y1428">
        <f>TREND(H1423:H1427,G1423:G1427,G1428)</f>
        <v>50.15445565610532</v>
      </c>
      <c r="Z1428">
        <f>ABS((Y1428-H1428)/80*100)</f>
        <v>4.1960548683483978E-3</v>
      </c>
      <c r="AH1428">
        <f>H1428-AG1388</f>
        <v>50.118254999999998</v>
      </c>
      <c r="AI1428">
        <f>100*(AH1428-O1428)/80</f>
        <v>0.14786874999999533</v>
      </c>
    </row>
    <row r="1429" spans="1:41" x14ac:dyDescent="0.35">
      <c r="A1429" t="s">
        <v>274</v>
      </c>
      <c r="B1429" t="s">
        <v>1111</v>
      </c>
      <c r="C1429" t="s">
        <v>1792</v>
      </c>
      <c r="D1429">
        <v>50</v>
      </c>
      <c r="E1429">
        <v>50</v>
      </c>
      <c r="F1429">
        <v>-1</v>
      </c>
      <c r="G1429">
        <v>-1.0001500000000001</v>
      </c>
      <c r="H1429">
        <v>10.112500000000001</v>
      </c>
      <c r="J1429">
        <v>3506</v>
      </c>
      <c r="N1429" t="s">
        <v>192</v>
      </c>
      <c r="O1429">
        <f t="shared" si="66"/>
        <v>9.9939999999999962</v>
      </c>
      <c r="P1429">
        <f t="shared" si="67"/>
        <v>0.14812500000000561</v>
      </c>
      <c r="Q1429">
        <f t="shared" si="68"/>
        <v>0.14812500000000561</v>
      </c>
      <c r="Y1429">
        <f>TREND(H1423:H1427,G1423:G1427,G1429)</f>
        <v>10.012481240469334</v>
      </c>
      <c r="Z1429">
        <f>ABS((Y1429-H1429)/80*100)</f>
        <v>0.12502344941333288</v>
      </c>
      <c r="AH1429">
        <f>H1429-AG1388</f>
        <v>10.0729425</v>
      </c>
      <c r="AI1429">
        <f>100*(AH1429-O1429)/80</f>
        <v>9.8678125000004613E-2</v>
      </c>
    </row>
    <row r="1430" spans="1:41" x14ac:dyDescent="0.35">
      <c r="A1430" t="s">
        <v>274</v>
      </c>
      <c r="B1430" t="s">
        <v>1111</v>
      </c>
      <c r="C1430" t="s">
        <v>1829</v>
      </c>
      <c r="D1430">
        <v>70</v>
      </c>
      <c r="E1430">
        <v>70</v>
      </c>
      <c r="F1430">
        <v>-1</v>
      </c>
      <c r="G1430">
        <v>-1.0001530000000001</v>
      </c>
      <c r="H1430">
        <v>10.167187500000001</v>
      </c>
      <c r="J1430">
        <v>11438</v>
      </c>
      <c r="N1430" t="s">
        <v>192</v>
      </c>
      <c r="O1430">
        <f t="shared" si="66"/>
        <v>9.9938799999999972</v>
      </c>
      <c r="P1430">
        <f t="shared" si="67"/>
        <v>0.21663437500000438</v>
      </c>
      <c r="Q1430">
        <f t="shared" si="68"/>
        <v>0.21663437500000438</v>
      </c>
      <c r="S1430">
        <v>50.165624999999999</v>
      </c>
      <c r="T1430">
        <v>0.2067312500000007</v>
      </c>
      <c r="U1430">
        <v>90.3125</v>
      </c>
      <c r="V1430">
        <v>0.39162499999999767</v>
      </c>
      <c r="W1430">
        <v>80.145312500000003</v>
      </c>
      <c r="X1430">
        <f>(W1430-80)/80*100</f>
        <v>0.18164062500000355</v>
      </c>
      <c r="Y1430">
        <f>TREND(H1430:H1434,G1430:G1434,G1430)</f>
        <v>10.124433149670502</v>
      </c>
      <c r="Z1430">
        <f>ABS((Y1430-H1430)/80*100)</f>
        <v>5.3442937911873933E-2</v>
      </c>
      <c r="AA1430">
        <f>MAX(Z1430:Z1434)</f>
        <v>5.3967044152507533E-2</v>
      </c>
      <c r="AB1430">
        <f>IF(ABS(MAX(P1430:P1436)) &gt; ABS(MIN(P1430:P1436)),MAX(P1430:P1436), MIN(P1430:P1436))</f>
        <v>0.39162499999999767</v>
      </c>
      <c r="AC1430">
        <f>IF(ABS(AB1431)&gt;ABS(AB1430),AB1431,AB1430)</f>
        <v>0.39162499999999767</v>
      </c>
      <c r="AH1430">
        <f>H1430-AG1388</f>
        <v>10.12763</v>
      </c>
      <c r="AI1430">
        <f>100*(AH1430-O1430)/80</f>
        <v>0.16718750000000338</v>
      </c>
      <c r="AJ1430">
        <v>50.126067499999998</v>
      </c>
      <c r="AK1430">
        <v>0.1572843749999997</v>
      </c>
      <c r="AL1430">
        <v>90.272942499999999</v>
      </c>
      <c r="AM1430">
        <v>0.34217812499999667</v>
      </c>
      <c r="AN1430">
        <f>IF(ABS(MAX(AI1430:AI1436)) &gt; ABS(MIN(AI1430:AI1436)),MAX(AI1430:AI1436), MIN(AI1430:AI1436))</f>
        <v>0.34217812499999667</v>
      </c>
      <c r="AO1430">
        <f>IF(ABS(AN1431)&gt;ABS(AN1430),AN1431,AN1430)</f>
        <v>0.34217812499999667</v>
      </c>
    </row>
    <row r="1431" spans="1:41" x14ac:dyDescent="0.35">
      <c r="A1431" t="s">
        <v>274</v>
      </c>
      <c r="B1431" t="s">
        <v>1111</v>
      </c>
      <c r="C1431" t="s">
        <v>1866</v>
      </c>
      <c r="D1431">
        <v>70</v>
      </c>
      <c r="E1431">
        <v>70</v>
      </c>
      <c r="F1431">
        <v>-0.5</v>
      </c>
      <c r="G1431">
        <v>-0.49999399999999999</v>
      </c>
      <c r="H1431">
        <v>30.140625</v>
      </c>
      <c r="J1431">
        <v>11477</v>
      </c>
      <c r="N1431" t="s">
        <v>192</v>
      </c>
      <c r="O1431">
        <f t="shared" si="66"/>
        <v>30.000239999999998</v>
      </c>
      <c r="P1431">
        <f t="shared" si="67"/>
        <v>0.17548125000000248</v>
      </c>
      <c r="Q1431">
        <f t="shared" si="68"/>
        <v>0.17548125000000248</v>
      </c>
      <c r="Y1431">
        <f>TREND(H1430:H1434,G1430:G1434,G1431)</f>
        <v>30.169802092946494</v>
      </c>
      <c r="Z1431">
        <f>ABS((Y1431-H1431)/80*100)</f>
        <v>3.6471366183117304E-2</v>
      </c>
      <c r="AB1431">
        <f>IF(ABS(T1430) &gt; ABS(V1430),T1430,V1430)</f>
        <v>0.39162499999999767</v>
      </c>
      <c r="AH1431">
        <f>H1431-AG1388</f>
        <v>30.101067499999999</v>
      </c>
      <c r="AI1431">
        <f>100*(AH1431-O1431)/80</f>
        <v>0.12603437500000148</v>
      </c>
      <c r="AN1431">
        <f>IF(ABS(AK1430) &gt; ABS(AM1430),AK1430,AM1430)</f>
        <v>0.34217812499999667</v>
      </c>
    </row>
    <row r="1432" spans="1:41" x14ac:dyDescent="0.35">
      <c r="A1432" t="s">
        <v>274</v>
      </c>
      <c r="B1432" t="s">
        <v>1111</v>
      </c>
      <c r="C1432" t="s">
        <v>1903</v>
      </c>
      <c r="D1432">
        <v>70</v>
      </c>
      <c r="E1432">
        <v>70</v>
      </c>
      <c r="F1432">
        <v>0</v>
      </c>
      <c r="G1432">
        <v>6.0000000000000002E-6</v>
      </c>
      <c r="H1432">
        <v>50.165624999999999</v>
      </c>
      <c r="J1432">
        <v>11511</v>
      </c>
      <c r="N1432" t="s">
        <v>192</v>
      </c>
      <c r="O1432">
        <f t="shared" si="66"/>
        <v>50.000239999999998</v>
      </c>
      <c r="P1432">
        <f t="shared" si="67"/>
        <v>0.2067312500000007</v>
      </c>
      <c r="Q1432">
        <f t="shared" si="68"/>
        <v>0.2067312500000007</v>
      </c>
      <c r="Y1432">
        <f>TREND(H1430:H1434,G1430:G1434,G1432)</f>
        <v>50.208798635322005</v>
      </c>
      <c r="Z1432">
        <f>ABS((Y1432-H1432)/80*100)</f>
        <v>5.3967044152507533E-2</v>
      </c>
      <c r="AH1432">
        <f>H1432-AG1388</f>
        <v>50.126067499999998</v>
      </c>
      <c r="AI1432">
        <f>100*(AH1432-O1432)/80</f>
        <v>0.1572843749999997</v>
      </c>
    </row>
    <row r="1433" spans="1:41" x14ac:dyDescent="0.35">
      <c r="A1433" t="s">
        <v>274</v>
      </c>
      <c r="B1433" t="s">
        <v>1111</v>
      </c>
      <c r="C1433" t="s">
        <v>1939</v>
      </c>
      <c r="D1433">
        <v>70</v>
      </c>
      <c r="E1433">
        <v>70</v>
      </c>
      <c r="F1433">
        <v>0.5</v>
      </c>
      <c r="G1433">
        <v>0.49998999999999999</v>
      </c>
      <c r="H1433">
        <v>70.25</v>
      </c>
      <c r="J1433">
        <v>11539</v>
      </c>
      <c r="N1433" t="s">
        <v>192</v>
      </c>
      <c r="O1433">
        <f t="shared" si="66"/>
        <v>69.999600000000001</v>
      </c>
      <c r="P1433">
        <f t="shared" si="67"/>
        <v>0.31299999999999883</v>
      </c>
      <c r="Q1433">
        <f t="shared" si="68"/>
        <v>0.31299999999999883</v>
      </c>
      <c r="Y1433">
        <f>TREND(H1430:H1434,G1430:G1434,G1433)</f>
        <v>70.247153929808164</v>
      </c>
      <c r="Z1433">
        <f>ABS((Y1433-H1433)/80*100)</f>
        <v>3.5575877397953089E-3</v>
      </c>
      <c r="AH1433">
        <f>H1433-AG1388</f>
        <v>70.210442499999999</v>
      </c>
      <c r="AI1433">
        <f>100*(AH1433-O1433)/80</f>
        <v>0.26355312499999783</v>
      </c>
    </row>
    <row r="1434" spans="1:41" x14ac:dyDescent="0.35">
      <c r="A1434" t="s">
        <v>274</v>
      </c>
      <c r="B1434" t="s">
        <v>1111</v>
      </c>
      <c r="C1434" t="s">
        <v>1976</v>
      </c>
      <c r="D1434">
        <v>70</v>
      </c>
      <c r="E1434">
        <v>70</v>
      </c>
      <c r="F1434">
        <v>1</v>
      </c>
      <c r="G1434">
        <v>0.99997999999999998</v>
      </c>
      <c r="H1434">
        <v>90.3125</v>
      </c>
      <c r="J1434">
        <v>11565</v>
      </c>
      <c r="N1434" t="s">
        <v>192</v>
      </c>
      <c r="O1434">
        <f t="shared" si="66"/>
        <v>89.999200000000002</v>
      </c>
      <c r="P1434">
        <f t="shared" si="67"/>
        <v>0.39162499999999767</v>
      </c>
      <c r="Q1434">
        <f t="shared" si="68"/>
        <v>0.39162499999999767</v>
      </c>
      <c r="Y1434">
        <f>TREND(H1430:H1434,G1430:G1434,G1434)</f>
        <v>90.285749692252836</v>
      </c>
      <c r="Z1434">
        <f>ABS((Y1434-H1434)/80*100)</f>
        <v>3.3437884683955588E-2</v>
      </c>
      <c r="AH1434">
        <f>H1434-AG1388</f>
        <v>90.272942499999999</v>
      </c>
      <c r="AI1434">
        <f>100*(AH1434-O1434)/80</f>
        <v>0.34217812499999667</v>
      </c>
    </row>
    <row r="1435" spans="1:41" x14ac:dyDescent="0.35">
      <c r="A1435" t="s">
        <v>274</v>
      </c>
      <c r="B1435" t="s">
        <v>1111</v>
      </c>
      <c r="C1435" t="s">
        <v>2012</v>
      </c>
      <c r="D1435">
        <v>70</v>
      </c>
      <c r="E1435">
        <v>70</v>
      </c>
      <c r="F1435">
        <v>0</v>
      </c>
      <c r="G1435">
        <v>4.1999999999999998E-5</v>
      </c>
      <c r="H1435">
        <v>50.203125</v>
      </c>
      <c r="J1435">
        <v>11591</v>
      </c>
      <c r="N1435" t="s">
        <v>192</v>
      </c>
      <c r="O1435">
        <f t="shared" si="66"/>
        <v>50.001680000000007</v>
      </c>
      <c r="P1435">
        <f t="shared" si="67"/>
        <v>0.25180624999999068</v>
      </c>
      <c r="Q1435">
        <f t="shared" si="68"/>
        <v>0.25180624999999068</v>
      </c>
      <c r="Y1435">
        <f>TREND(H1430:H1434,G1430:G1434,G1435)</f>
        <v>50.210241443073059</v>
      </c>
      <c r="Z1435">
        <f>ABS((Y1435-H1435)/80*100)</f>
        <v>8.8955538413237889E-3</v>
      </c>
      <c r="AH1435">
        <f>H1435-AG1388</f>
        <v>50.163567499999999</v>
      </c>
      <c r="AI1435">
        <f>100*(AH1435-O1435)/80</f>
        <v>0.20235937499998968</v>
      </c>
    </row>
    <row r="1436" spans="1:41" x14ac:dyDescent="0.35">
      <c r="A1436" t="s">
        <v>274</v>
      </c>
      <c r="B1436" t="s">
        <v>1111</v>
      </c>
      <c r="C1436" t="s">
        <v>2049</v>
      </c>
      <c r="D1436">
        <v>70</v>
      </c>
      <c r="E1436">
        <v>70</v>
      </c>
      <c r="F1436">
        <v>-1</v>
      </c>
      <c r="G1436">
        <v>-0.99996799999999997</v>
      </c>
      <c r="H1436">
        <v>10.178125</v>
      </c>
      <c r="J1436">
        <v>11610</v>
      </c>
      <c r="N1436" t="s">
        <v>192</v>
      </c>
      <c r="O1436">
        <f t="shared" si="66"/>
        <v>10.001280000000001</v>
      </c>
      <c r="P1436">
        <f t="shared" si="67"/>
        <v>0.22105624999999796</v>
      </c>
      <c r="Q1436">
        <f t="shared" si="68"/>
        <v>0.22105624999999796</v>
      </c>
      <c r="Y1436">
        <f>TREND(H1430:H1434,G1430:G1434,G1436)</f>
        <v>10.131847578391181</v>
      </c>
      <c r="Z1436">
        <f>ABS((Y1436-H1436)/80*100)</f>
        <v>5.784677701102358E-2</v>
      </c>
      <c r="AH1436">
        <f>H1436-AG1388</f>
        <v>10.138567499999999</v>
      </c>
      <c r="AI1436">
        <f>100*(AH1436-O1436)/80</f>
        <v>0.17160937499999696</v>
      </c>
    </row>
    <row r="1437" spans="1:41" x14ac:dyDescent="0.35">
      <c r="A1437" t="s">
        <v>274</v>
      </c>
      <c r="B1437" t="s">
        <v>1111</v>
      </c>
      <c r="C1437" t="s">
        <v>2085</v>
      </c>
      <c r="D1437">
        <v>85</v>
      </c>
      <c r="E1437">
        <v>85</v>
      </c>
      <c r="F1437">
        <v>-1</v>
      </c>
      <c r="G1437">
        <v>-0.99995199999999995</v>
      </c>
      <c r="H1437">
        <v>10.2421875</v>
      </c>
      <c r="J1437">
        <v>17578</v>
      </c>
      <c r="N1437" t="s">
        <v>192</v>
      </c>
      <c r="O1437">
        <f t="shared" si="66"/>
        <v>10.001920000000002</v>
      </c>
      <c r="P1437">
        <f t="shared" si="67"/>
        <v>0.3003343749999976</v>
      </c>
      <c r="Q1437">
        <f t="shared" si="68"/>
        <v>0.3003343749999976</v>
      </c>
      <c r="S1437">
        <v>50.206249999999997</v>
      </c>
      <c r="T1437">
        <v>0.24611249999999529</v>
      </c>
      <c r="U1437">
        <v>90.387500000000003</v>
      </c>
      <c r="V1437">
        <v>0.48737499999999656</v>
      </c>
      <c r="W1437">
        <v>80.145309448242188</v>
      </c>
      <c r="X1437">
        <f>(W1437-80)/80*100</f>
        <v>0.18163681030273438</v>
      </c>
      <c r="Y1437">
        <f>TREND(H1437:H1441,G1437:G1441,G1437)</f>
        <v>10.175241717484624</v>
      </c>
      <c r="Z1437">
        <f>ABS((Y1437-H1437)/80*100)</f>
        <v>8.368222814421955E-2</v>
      </c>
      <c r="AA1437">
        <f>MAX(Z1437:Z1441)</f>
        <v>0.11028681148471443</v>
      </c>
      <c r="AB1437">
        <f>IF(ABS(MAX(P1437:P1443)) &gt; ABS(MIN(P1437:P1443)),MAX(P1437:P1443), MIN(P1437:P1443))</f>
        <v>0.53630000000000067</v>
      </c>
      <c r="AC1437">
        <f>IF(ABS(AB1438)&gt;ABS(AB1437),AB1438,AB1437)</f>
        <v>0.53630000000000067</v>
      </c>
      <c r="AH1437">
        <f>H1437-AG1388</f>
        <v>10.202629999999999</v>
      </c>
      <c r="AI1437">
        <f>100*(AH1437-O1437)/80</f>
        <v>0.2508874999999966</v>
      </c>
      <c r="AJ1437">
        <v>50.166692499999996</v>
      </c>
      <c r="AK1437">
        <v>0.19666562499999429</v>
      </c>
      <c r="AL1437">
        <v>90.347942500000002</v>
      </c>
      <c r="AM1437">
        <v>0.43792812499999556</v>
      </c>
      <c r="AN1437">
        <f>IF(ABS(MAX(AI1437:AI1443)) &gt; ABS(MIN(AI1437:AI1443)),MAX(AI1437:AI1443), MIN(AI1437:AI1443))</f>
        <v>0.48685312499999966</v>
      </c>
      <c r="AO1437">
        <f>IF(ABS(AN1438)&gt;ABS(AN1437),AN1438,AN1437)</f>
        <v>0.48685312499999966</v>
      </c>
    </row>
    <row r="1438" spans="1:41" x14ac:dyDescent="0.35">
      <c r="A1438" t="s">
        <v>274</v>
      </c>
      <c r="B1438" t="s">
        <v>1111</v>
      </c>
      <c r="C1438" t="s">
        <v>2121</v>
      </c>
      <c r="D1438">
        <v>85</v>
      </c>
      <c r="E1438">
        <v>85</v>
      </c>
      <c r="F1438">
        <v>-0.5</v>
      </c>
      <c r="G1438">
        <v>-0.49982100000000002</v>
      </c>
      <c r="H1438">
        <v>30.176562499999999</v>
      </c>
      <c r="J1438">
        <v>17604</v>
      </c>
      <c r="N1438" t="s">
        <v>192</v>
      </c>
      <c r="O1438">
        <f t="shared" si="66"/>
        <v>30.007159999999999</v>
      </c>
      <c r="P1438">
        <f t="shared" si="67"/>
        <v>0.21175312500000043</v>
      </c>
      <c r="Q1438">
        <f t="shared" si="68"/>
        <v>0.21175312500000043</v>
      </c>
      <c r="Y1438">
        <f>TREND(H1437:H1441,G1437:G1441,G1438)</f>
        <v>30.236384830859961</v>
      </c>
      <c r="Z1438">
        <f>ABS((Y1438-H1438)/80*100)</f>
        <v>7.477791357495267E-2</v>
      </c>
      <c r="AB1438">
        <f>IF(ABS(T1437) &gt; ABS(V1437),T1437,V1437)</f>
        <v>0.48737499999999656</v>
      </c>
      <c r="AH1438">
        <f>H1438-AG1388</f>
        <v>30.137004999999998</v>
      </c>
      <c r="AI1438">
        <f>100*(AH1438-O1438)/80</f>
        <v>0.16230624999999943</v>
      </c>
      <c r="AN1438">
        <f>IF(ABS(AK1437) &gt; ABS(AM1437),AK1437,AM1437)</f>
        <v>0.43792812499999556</v>
      </c>
    </row>
    <row r="1439" spans="1:41" x14ac:dyDescent="0.35">
      <c r="A1439" t="s">
        <v>274</v>
      </c>
      <c r="B1439" t="s">
        <v>1111</v>
      </c>
      <c r="C1439" t="s">
        <v>2157</v>
      </c>
      <c r="D1439">
        <v>85</v>
      </c>
      <c r="E1439">
        <v>85</v>
      </c>
      <c r="F1439">
        <v>0</v>
      </c>
      <c r="G1439">
        <v>2.34E-4</v>
      </c>
      <c r="H1439">
        <v>50.206249999999997</v>
      </c>
      <c r="J1439">
        <v>17627</v>
      </c>
      <c r="N1439" t="s">
        <v>192</v>
      </c>
      <c r="O1439">
        <f t="shared" si="66"/>
        <v>50.009360000000001</v>
      </c>
      <c r="P1439">
        <f t="shared" si="67"/>
        <v>0.24611249999999529</v>
      </c>
      <c r="Q1439">
        <f t="shared" si="68"/>
        <v>0.24611249999999529</v>
      </c>
      <c r="Y1439">
        <f>TREND(H1437:H1441,G1437:G1441,G1439)</f>
        <v>50.294479449187769</v>
      </c>
      <c r="Z1439">
        <f>ABS((Y1439-H1439)/80*100)</f>
        <v>0.11028681148471443</v>
      </c>
      <c r="AH1439">
        <f>H1439-AG1388</f>
        <v>50.166692499999996</v>
      </c>
      <c r="AI1439">
        <f>100*(AH1439-O1439)/80</f>
        <v>0.19666562499999429</v>
      </c>
    </row>
    <row r="1440" spans="1:41" x14ac:dyDescent="0.35">
      <c r="A1440" t="s">
        <v>274</v>
      </c>
      <c r="B1440" t="s">
        <v>1111</v>
      </c>
      <c r="C1440" t="s">
        <v>2194</v>
      </c>
      <c r="D1440">
        <v>85</v>
      </c>
      <c r="E1440">
        <v>85</v>
      </c>
      <c r="F1440">
        <v>0.5</v>
      </c>
      <c r="G1440">
        <v>0.49989899999999998</v>
      </c>
      <c r="H1440">
        <v>70.424999999999997</v>
      </c>
      <c r="J1440">
        <v>17653</v>
      </c>
      <c r="N1440" t="s">
        <v>192</v>
      </c>
      <c r="O1440">
        <f t="shared" si="66"/>
        <v>69.995959999999997</v>
      </c>
      <c r="P1440">
        <f t="shared" si="67"/>
        <v>0.53630000000000067</v>
      </c>
      <c r="Q1440">
        <f t="shared" si="68"/>
        <v>0.53630000000000067</v>
      </c>
      <c r="Y1440">
        <f>TREND(H1437:H1441,G1437:G1441,G1440)</f>
        <v>70.33693047450852</v>
      </c>
      <c r="Z1440">
        <f>ABS((Y1440-H1440)/80*100)</f>
        <v>0.1100869068643462</v>
      </c>
      <c r="AH1440">
        <f>H1440-AG1388</f>
        <v>70.385442499999996</v>
      </c>
      <c r="AI1440">
        <f>100*(AH1440-O1440)/80</f>
        <v>0.48685312499999966</v>
      </c>
    </row>
    <row r="1441" spans="1:41" x14ac:dyDescent="0.35">
      <c r="A1441" t="s">
        <v>274</v>
      </c>
      <c r="B1441" t="s">
        <v>1111</v>
      </c>
      <c r="C1441" t="s">
        <v>2231</v>
      </c>
      <c r="D1441">
        <v>85</v>
      </c>
      <c r="E1441">
        <v>85</v>
      </c>
      <c r="F1441">
        <v>1</v>
      </c>
      <c r="G1441">
        <v>0.99994000000000005</v>
      </c>
      <c r="H1441">
        <v>90.387500000000003</v>
      </c>
      <c r="J1441">
        <v>17675</v>
      </c>
      <c r="N1441" t="s">
        <v>192</v>
      </c>
      <c r="O1441">
        <f t="shared" si="66"/>
        <v>89.997600000000006</v>
      </c>
      <c r="P1441">
        <f t="shared" si="67"/>
        <v>0.48737499999999656</v>
      </c>
      <c r="Q1441">
        <f t="shared" si="68"/>
        <v>0.48737499999999656</v>
      </c>
      <c r="Y1441">
        <f>TREND(H1437:H1441,G1437:G1441,G1441)</f>
        <v>90.394463527959147</v>
      </c>
      <c r="Z1441">
        <f>ABS((Y1441-H1441)/80*100)</f>
        <v>8.7044099489297366E-3</v>
      </c>
      <c r="AH1441">
        <f>H1441-AG1388</f>
        <v>90.347942500000002</v>
      </c>
      <c r="AI1441">
        <f>100*(AH1441-O1441)/80</f>
        <v>0.43792812499999556</v>
      </c>
    </row>
    <row r="1442" spans="1:41" x14ac:dyDescent="0.35">
      <c r="A1442" t="s">
        <v>274</v>
      </c>
      <c r="B1442" t="s">
        <v>1111</v>
      </c>
      <c r="C1442" t="s">
        <v>2267</v>
      </c>
      <c r="D1442">
        <v>85</v>
      </c>
      <c r="E1442">
        <v>85</v>
      </c>
      <c r="F1442">
        <v>0</v>
      </c>
      <c r="G1442">
        <v>8.2999999999999998E-5</v>
      </c>
      <c r="H1442">
        <v>50.28125</v>
      </c>
      <c r="J1442">
        <v>17696</v>
      </c>
      <c r="N1442" t="s">
        <v>192</v>
      </c>
      <c r="O1442">
        <f t="shared" si="66"/>
        <v>50.003320000000002</v>
      </c>
      <c r="P1442">
        <f t="shared" si="67"/>
        <v>0.34741249999999724</v>
      </c>
      <c r="Q1442">
        <f t="shared" si="68"/>
        <v>0.34741249999999724</v>
      </c>
      <c r="Y1442">
        <f>TREND(H1437:H1441,G1437:G1441,G1442)</f>
        <v>50.288422570869649</v>
      </c>
      <c r="Z1442">
        <f>ABS((Y1442-H1442)/80*100)</f>
        <v>8.9657135870613303E-3</v>
      </c>
      <c r="AH1442">
        <f>H1442-AG1388</f>
        <v>50.241692499999999</v>
      </c>
      <c r="AI1442">
        <f>100*(AH1442-O1442)/80</f>
        <v>0.29796562499999624</v>
      </c>
    </row>
    <row r="1443" spans="1:41" x14ac:dyDescent="0.35">
      <c r="A1443" t="s">
        <v>274</v>
      </c>
      <c r="B1443" t="s">
        <v>1111</v>
      </c>
      <c r="C1443" t="s">
        <v>2304</v>
      </c>
      <c r="D1443">
        <v>85</v>
      </c>
      <c r="E1443">
        <v>85</v>
      </c>
      <c r="F1443">
        <v>-1</v>
      </c>
      <c r="G1443">
        <v>-1.0003200000000001</v>
      </c>
      <c r="H1443">
        <v>10.25625</v>
      </c>
      <c r="J1443">
        <v>17716</v>
      </c>
      <c r="N1443" t="s">
        <v>192</v>
      </c>
      <c r="O1443">
        <f t="shared" si="66"/>
        <v>9.9871999999999961</v>
      </c>
      <c r="P1443">
        <f t="shared" si="67"/>
        <v>0.33631250000000446</v>
      </c>
      <c r="Q1443">
        <f t="shared" si="68"/>
        <v>0.33631250000000446</v>
      </c>
      <c r="Y1443">
        <f>TREND(H1437:H1441,G1437:G1441,G1443)</f>
        <v>10.160480583570255</v>
      </c>
      <c r="Z1443">
        <f>ABS((Y1443-H1443)/80*100)</f>
        <v>0.11971177053718084</v>
      </c>
      <c r="AH1443">
        <f>H1443-AG1388</f>
        <v>10.216692499999999</v>
      </c>
      <c r="AI1443">
        <f>100*(AH1443-O1443)/80</f>
        <v>0.28686562500000345</v>
      </c>
    </row>
    <row r="1444" spans="1:41" x14ac:dyDescent="0.35">
      <c r="A1444" t="s">
        <v>274</v>
      </c>
      <c r="B1444" t="s">
        <v>1111</v>
      </c>
      <c r="C1444" t="s">
        <v>2341</v>
      </c>
      <c r="D1444">
        <v>25</v>
      </c>
      <c r="E1444">
        <v>25</v>
      </c>
      <c r="F1444">
        <v>-1</v>
      </c>
      <c r="G1444">
        <v>-1.000178</v>
      </c>
      <c r="H1444">
        <v>9.9468750000000004</v>
      </c>
      <c r="J1444">
        <v>-5477</v>
      </c>
      <c r="N1444" t="s">
        <v>192</v>
      </c>
      <c r="O1444">
        <f t="shared" si="66"/>
        <v>9.9928799999999995</v>
      </c>
      <c r="P1444">
        <f t="shared" si="67"/>
        <v>-5.7506249999998982E-2</v>
      </c>
      <c r="Q1444">
        <f t="shared" si="68"/>
        <v>5.7506249999998982E-2</v>
      </c>
      <c r="S1444">
        <v>50.064062499999999</v>
      </c>
      <c r="T1444">
        <v>8.6028124999995015E-2</v>
      </c>
      <c r="U1444">
        <v>90.118750000000006</v>
      </c>
      <c r="V1444">
        <v>0.13738750000001687</v>
      </c>
      <c r="W1444">
        <v>80.171876525878901</v>
      </c>
      <c r="X1444">
        <f>(W1444-80)/80*100</f>
        <v>0.21484565734862571</v>
      </c>
      <c r="Y1444">
        <f>TREND(H1444:H1448,G1444:G1448,G1444)</f>
        <v>9.9346920194830375</v>
      </c>
      <c r="Z1444">
        <f>ABS((Y1444-H1444)/80*100)</f>
        <v>1.5228725646203587E-2</v>
      </c>
      <c r="AA1444">
        <f>MAX(Z1444:Z1448)</f>
        <v>0.16089591921508273</v>
      </c>
      <c r="AB1444">
        <f>IF(ABS(MAX(P1444:P1450)) &gt; ABS(MIN(P1444:P1450)),MAX(P1444:P1450), MIN(P1444:P1450))</f>
        <v>0.32292187499999514</v>
      </c>
      <c r="AC1444">
        <f>IF(ABS(AB1445)&gt;ABS(AB1444),AB1445,AB1444)</f>
        <v>0.32292187499999514</v>
      </c>
      <c r="AH1444">
        <f>H1444-AG1388</f>
        <v>9.9073174999999996</v>
      </c>
      <c r="AI1444">
        <f>100*(AH1444-O1444)/80</f>
        <v>-0.10695312499999998</v>
      </c>
      <c r="AJ1444">
        <v>50.024504999999998</v>
      </c>
      <c r="AK1444">
        <v>3.6581249999994014E-2</v>
      </c>
      <c r="AL1444">
        <v>90.079192500000005</v>
      </c>
      <c r="AM1444">
        <v>8.7940625000015871E-2</v>
      </c>
      <c r="AN1444">
        <f>IF(ABS(MAX(AI1444:AI1450)) &gt; ABS(MIN(AI1444:AI1450)),MAX(AI1444:AI1450), MIN(AI1444:AI1450))</f>
        <v>0.27347499999999414</v>
      </c>
      <c r="AO1444">
        <f>IF(ABS(AN1445)&gt;ABS(AN1444),AN1445,AN1444)</f>
        <v>0.27347499999999414</v>
      </c>
    </row>
    <row r="1445" spans="1:41" x14ac:dyDescent="0.35">
      <c r="A1445" t="s">
        <v>274</v>
      </c>
      <c r="B1445" t="s">
        <v>1111</v>
      </c>
      <c r="C1445" t="s">
        <v>2378</v>
      </c>
      <c r="D1445">
        <v>25</v>
      </c>
      <c r="E1445">
        <v>25</v>
      </c>
      <c r="F1445">
        <v>-0.5</v>
      </c>
      <c r="G1445">
        <v>-0.49938399999999999</v>
      </c>
      <c r="H1445">
        <v>29.96875</v>
      </c>
      <c r="J1445">
        <v>-5531</v>
      </c>
      <c r="N1445" t="s">
        <v>192</v>
      </c>
      <c r="O1445">
        <f t="shared" si="66"/>
        <v>30.024639999999998</v>
      </c>
      <c r="P1445">
        <f t="shared" si="67"/>
        <v>-6.9862499999997496E-2</v>
      </c>
      <c r="Q1445">
        <f t="shared" si="68"/>
        <v>6.9862499999997496E-2</v>
      </c>
      <c r="Y1445">
        <f>TREND(H1444:H1448,G1444:G1448,G1445)</f>
        <v>30.029144191828518</v>
      </c>
      <c r="Z1445">
        <f>ABS((Y1445-H1445)/80*100)</f>
        <v>7.5492739785647522E-2</v>
      </c>
      <c r="AB1445">
        <f>IF(ABS(T1444) &gt; ABS(V1444),T1444,V1444)</f>
        <v>0.13738750000001687</v>
      </c>
      <c r="AH1445">
        <f>H1445-AG1388</f>
        <v>29.929192499999999</v>
      </c>
      <c r="AI1445">
        <f>100*(AH1445-O1445)/80</f>
        <v>-0.1193093749999985</v>
      </c>
      <c r="AN1445">
        <f>IF(ABS(AK1444) &gt; ABS(AM1444),AK1444,AM1444)</f>
        <v>8.7940625000015871E-2</v>
      </c>
    </row>
    <row r="1446" spans="1:41" x14ac:dyDescent="0.35">
      <c r="A1446" t="s">
        <v>274</v>
      </c>
      <c r="B1446" t="s">
        <v>1111</v>
      </c>
      <c r="C1446" t="s">
        <v>2414</v>
      </c>
      <c r="D1446">
        <v>25</v>
      </c>
      <c r="E1446">
        <v>25</v>
      </c>
      <c r="F1446">
        <v>0</v>
      </c>
      <c r="G1446">
        <v>-1.1900000000000001E-4</v>
      </c>
      <c r="H1446">
        <v>50.064062499999999</v>
      </c>
      <c r="J1446">
        <v>-5593</v>
      </c>
      <c r="N1446" t="s">
        <v>192</v>
      </c>
      <c r="O1446">
        <f t="shared" si="66"/>
        <v>49.995240000000003</v>
      </c>
      <c r="P1446">
        <f t="shared" si="67"/>
        <v>8.6028124999995015E-2</v>
      </c>
      <c r="Q1446">
        <f t="shared" si="68"/>
        <v>8.6028124999995015E-2</v>
      </c>
      <c r="Y1446">
        <f>TREND(H1444:H1448,G1444:G1448,G1446)</f>
        <v>50.062244955467989</v>
      </c>
      <c r="Z1446">
        <f>ABS((Y1446-H1446)/80*100)</f>
        <v>2.2719306650120785E-3</v>
      </c>
      <c r="AH1446">
        <f>H1446-AG1388</f>
        <v>50.024504999999998</v>
      </c>
      <c r="AI1446">
        <f>100*(AH1446-O1446)/80</f>
        <v>3.6581249999994014E-2</v>
      </c>
    </row>
    <row r="1447" spans="1:41" x14ac:dyDescent="0.35">
      <c r="A1447" t="s">
        <v>274</v>
      </c>
      <c r="B1447" t="s">
        <v>1111</v>
      </c>
      <c r="C1447" t="s">
        <v>2451</v>
      </c>
      <c r="D1447">
        <v>25</v>
      </c>
      <c r="E1447">
        <v>25</v>
      </c>
      <c r="F1447">
        <v>0.5</v>
      </c>
      <c r="G1447">
        <v>0.50006499999999998</v>
      </c>
      <c r="H1447">
        <v>70.260937499999997</v>
      </c>
      <c r="J1447">
        <v>-5656</v>
      </c>
      <c r="N1447" t="s">
        <v>192</v>
      </c>
      <c r="O1447">
        <f t="shared" si="66"/>
        <v>70.002600000000001</v>
      </c>
      <c r="P1447">
        <f t="shared" si="67"/>
        <v>0.32292187499999514</v>
      </c>
      <c r="Q1447">
        <f t="shared" si="68"/>
        <v>0.32292187499999514</v>
      </c>
      <c r="Y1447">
        <f>TREND(H1444:H1448,G1444:G1448,G1447)</f>
        <v>70.132220764627931</v>
      </c>
      <c r="Z1447">
        <f>ABS((Y1447-H1447)/80*100)</f>
        <v>0.16089591921508273</v>
      </c>
      <c r="AH1447">
        <f>H1447-AG1388</f>
        <v>70.221379999999996</v>
      </c>
      <c r="AI1447">
        <f>100*(AH1447-O1447)/80</f>
        <v>0.27347499999999414</v>
      </c>
    </row>
    <row r="1448" spans="1:41" x14ac:dyDescent="0.35">
      <c r="A1448" t="s">
        <v>274</v>
      </c>
      <c r="B1448" t="s">
        <v>1111</v>
      </c>
      <c r="C1448" t="s">
        <v>2488</v>
      </c>
      <c r="D1448">
        <v>25</v>
      </c>
      <c r="E1448">
        <v>25</v>
      </c>
      <c r="F1448">
        <v>1</v>
      </c>
      <c r="G1448">
        <v>1.000221</v>
      </c>
      <c r="H1448">
        <v>90.118750000000006</v>
      </c>
      <c r="J1448">
        <v>-5709</v>
      </c>
      <c r="N1448" t="s">
        <v>192</v>
      </c>
      <c r="O1448">
        <f t="shared" si="66"/>
        <v>90.008839999999992</v>
      </c>
      <c r="P1448">
        <f t="shared" si="67"/>
        <v>0.13738750000001687</v>
      </c>
      <c r="Q1448">
        <f t="shared" si="68"/>
        <v>0.13738750000001687</v>
      </c>
      <c r="Y1448">
        <f>TREND(H1444:H1448,G1444:G1448,G1448)</f>
        <v>90.201073068592493</v>
      </c>
      <c r="Z1448">
        <f>ABS((Y1448-H1448)/80*100)</f>
        <v>0.10290383574060868</v>
      </c>
      <c r="AH1448">
        <f>H1448-AG1388</f>
        <v>90.079192500000005</v>
      </c>
      <c r="AI1448">
        <f>100*(AH1448-O1448)/80</f>
        <v>8.7940625000015871E-2</v>
      </c>
    </row>
    <row r="1449" spans="1:41" x14ac:dyDescent="0.35">
      <c r="A1449" t="s">
        <v>274</v>
      </c>
      <c r="B1449" t="s">
        <v>1111</v>
      </c>
      <c r="C1449" t="s">
        <v>2525</v>
      </c>
      <c r="D1449">
        <v>25</v>
      </c>
      <c r="E1449">
        <v>25</v>
      </c>
      <c r="F1449">
        <v>0</v>
      </c>
      <c r="G1449">
        <v>-7.2000000000000002E-5</v>
      </c>
      <c r="H1449">
        <v>50.079687499999999</v>
      </c>
      <c r="J1449">
        <v>-5756</v>
      </c>
      <c r="N1449" t="s">
        <v>192</v>
      </c>
      <c r="O1449">
        <f t="shared" si="66"/>
        <v>49.997120000000002</v>
      </c>
      <c r="P1449">
        <f t="shared" si="67"/>
        <v>0.10320937499999516</v>
      </c>
      <c r="Q1449">
        <f t="shared" si="68"/>
        <v>0.10320937499999516</v>
      </c>
      <c r="Y1449">
        <f>TREND(H1444:H1448,G1444:G1448,G1449)</f>
        <v>50.064130839188842</v>
      </c>
      <c r="Z1449">
        <f>ABS((Y1449-H1449)/80*100)</f>
        <v>1.9445826013946288E-2</v>
      </c>
      <c r="AH1449">
        <f>H1449-AG1388</f>
        <v>50.040129999999998</v>
      </c>
      <c r="AI1449">
        <f>100*(AH1449-O1449)/80</f>
        <v>5.3762499999994162E-2</v>
      </c>
    </row>
    <row r="1450" spans="1:41" x14ac:dyDescent="0.35">
      <c r="A1450" t="s">
        <v>274</v>
      </c>
      <c r="B1450" t="s">
        <v>1111</v>
      </c>
      <c r="C1450" t="s">
        <v>2560</v>
      </c>
      <c r="D1450">
        <v>25</v>
      </c>
      <c r="E1450">
        <v>25</v>
      </c>
      <c r="F1450">
        <v>-1</v>
      </c>
      <c r="G1450">
        <v>-1.0003439999999999</v>
      </c>
      <c r="H1450">
        <v>9.9640625000000007</v>
      </c>
      <c r="J1450">
        <v>-5797</v>
      </c>
      <c r="N1450" t="s">
        <v>192</v>
      </c>
      <c r="O1450">
        <f t="shared" si="66"/>
        <v>9.986240000000004</v>
      </c>
      <c r="P1450">
        <f t="shared" si="67"/>
        <v>-2.7721875000004115E-2</v>
      </c>
      <c r="Q1450">
        <f t="shared" si="68"/>
        <v>2.7721875000004115E-2</v>
      </c>
      <c r="Y1450">
        <f>TREND(H1444:H1448,G1444:G1448,G1450)</f>
        <v>9.92803123868174</v>
      </c>
      <c r="Z1450">
        <f>ABS((Y1450-H1450)/80*100)</f>
        <v>4.5039076647825915E-2</v>
      </c>
      <c r="AH1450">
        <f>H1450-AG1388</f>
        <v>9.9245049999999999</v>
      </c>
      <c r="AI1450">
        <f>100*(AH1450-O1450)/80</f>
        <v>-7.7168750000005115E-2</v>
      </c>
    </row>
    <row r="1451" spans="1:41" x14ac:dyDescent="0.35">
      <c r="A1451" t="s">
        <v>275</v>
      </c>
      <c r="B1451" t="s">
        <v>231</v>
      </c>
      <c r="C1451" t="s">
        <v>276</v>
      </c>
      <c r="D1451">
        <v>25</v>
      </c>
      <c r="E1451">
        <v>25</v>
      </c>
      <c r="F1451">
        <v>-1</v>
      </c>
      <c r="G1451">
        <v>-1.000078</v>
      </c>
      <c r="H1451">
        <v>11.7796875</v>
      </c>
      <c r="J1451">
        <v>-6162</v>
      </c>
      <c r="N1451" t="s">
        <v>193</v>
      </c>
      <c r="O1451">
        <f t="shared" si="66"/>
        <v>9.9968799999999991</v>
      </c>
      <c r="P1451">
        <f t="shared" si="67"/>
        <v>2.2285093750000007</v>
      </c>
      <c r="Q1451">
        <f t="shared" si="68"/>
        <v>2.2285093750000007</v>
      </c>
      <c r="S1451">
        <v>50.15</v>
      </c>
      <c r="T1451">
        <v>0.17450000000000188</v>
      </c>
      <c r="U1451">
        <v>88.525000000000006</v>
      </c>
      <c r="V1451">
        <v>-1.8458999999999826</v>
      </c>
      <c r="W1451">
        <v>76.745314025878912</v>
      </c>
      <c r="X1451">
        <f>(W1451-80)/80*100</f>
        <v>-4.0683574676513601</v>
      </c>
      <c r="Y1451">
        <f>TREND(H1451:H1455,G1451:G1455,G1451)</f>
        <v>11.742635558899956</v>
      </c>
      <c r="Z1451">
        <f>ABS((Y1451-H1451)/80*100)</f>
        <v>4.6314926375055077E-2</v>
      </c>
      <c r="AA1451">
        <f>MAX(Z1451:Z1455)</f>
        <v>9.669496283400747E-2</v>
      </c>
      <c r="AB1451">
        <f>IF(ABS(MAX(P1451:P1457)) &gt; ABS(MIN(P1451:P1457)),MAX(P1451:P1457), MIN(P1451:P1457))</f>
        <v>2.3439437499999949</v>
      </c>
      <c r="AC1451">
        <f>IF(ABS(AB1452)&gt;ABS(AB1451),AB1452,AB1451)</f>
        <v>2.3439437499999949</v>
      </c>
      <c r="AD1451">
        <f>MAX(AD1452:AD1453)</f>
        <v>0.1154343749999942</v>
      </c>
      <c r="AE1451">
        <f>MAX(AE1452:AE1472)</f>
        <v>2.4096374999999992</v>
      </c>
      <c r="AF1451">
        <f>MAX(AD1451,AA1451)</f>
        <v>0.1154343749999942</v>
      </c>
      <c r="AG1451">
        <f>H1453-O1453</f>
        <v>0.1396000000000015</v>
      </c>
      <c r="AH1451">
        <f>H1451-AG1451</f>
        <v>11.640087499999998</v>
      </c>
      <c r="AI1451">
        <f>100*(AH1451-O1451)/80</f>
        <v>2.0540093749999988</v>
      </c>
      <c r="AJ1451">
        <v>50.010399999999997</v>
      </c>
      <c r="AK1451">
        <v>0</v>
      </c>
      <c r="AL1451">
        <v>88.385400000000004</v>
      </c>
      <c r="AM1451">
        <v>-2.0203999999999844</v>
      </c>
      <c r="AN1451">
        <f>IF(ABS(MAX(AI1451:AI1457)) &gt; ABS(MIN(AI1451:AI1457)),MAX(AI1451:AI1457), MIN(AI1451:AI1457))</f>
        <v>2.169443749999993</v>
      </c>
      <c r="AO1451">
        <f>IF(ABS(AN1452)&gt;ABS(AN1451),AN1452,AN1451)</f>
        <v>2.169443749999993</v>
      </c>
    </row>
    <row r="1452" spans="1:41" x14ac:dyDescent="0.35">
      <c r="A1452" t="s">
        <v>275</v>
      </c>
      <c r="B1452" t="s">
        <v>231</v>
      </c>
      <c r="C1452" t="s">
        <v>329</v>
      </c>
      <c r="D1452">
        <v>25</v>
      </c>
      <c r="E1452">
        <v>25</v>
      </c>
      <c r="F1452">
        <v>-0.5</v>
      </c>
      <c r="G1452">
        <v>-0.50005299999999997</v>
      </c>
      <c r="H1452">
        <v>30.879687499999999</v>
      </c>
      <c r="J1452">
        <v>-6155</v>
      </c>
      <c r="N1452" t="s">
        <v>193</v>
      </c>
      <c r="O1452">
        <f t="shared" si="66"/>
        <v>29.997880000000002</v>
      </c>
      <c r="P1452">
        <f t="shared" si="67"/>
        <v>1.1022593749999965</v>
      </c>
      <c r="Q1452">
        <f t="shared" si="68"/>
        <v>1.1022593749999965</v>
      </c>
      <c r="Y1452">
        <f>TREND(H1451:H1455,G1451:G1455,G1452)</f>
        <v>30.946824293101301</v>
      </c>
      <c r="Z1452">
        <f>ABS((Y1452-H1452)/80*100)</f>
        <v>8.3920991376627008E-2</v>
      </c>
      <c r="AB1452">
        <f>IF(ABS(T1451) &gt; ABS(V1451),T1451,V1451)</f>
        <v>-1.8458999999999826</v>
      </c>
      <c r="AD1452">
        <f>ABS(P1453-P1456)</f>
        <v>4.2837500000008077E-2</v>
      </c>
      <c r="AE1452">
        <f>ABS(P1479-P1451)</f>
        <v>0.42506875000000388</v>
      </c>
      <c r="AH1452">
        <f>H1452-AG1451</f>
        <v>30.740087499999998</v>
      </c>
      <c r="AI1452">
        <f>100*(AH1452-O1452)/80</f>
        <v>0.92775937499999461</v>
      </c>
      <c r="AN1452">
        <f>IF(ABS(AK1451) &gt; ABS(AM1451),AK1451,AM1451)</f>
        <v>-2.0203999999999844</v>
      </c>
    </row>
    <row r="1453" spans="1:41" x14ac:dyDescent="0.35">
      <c r="A1453" t="s">
        <v>275</v>
      </c>
      <c r="B1453" t="s">
        <v>231</v>
      </c>
      <c r="C1453" t="s">
        <v>365</v>
      </c>
      <c r="D1453">
        <v>25</v>
      </c>
      <c r="E1453">
        <v>25</v>
      </c>
      <c r="F1453">
        <v>0</v>
      </c>
      <c r="G1453">
        <v>2.5999999999999998E-4</v>
      </c>
      <c r="H1453">
        <v>50.15</v>
      </c>
      <c r="J1453">
        <v>-6153</v>
      </c>
      <c r="N1453" t="s">
        <v>193</v>
      </c>
      <c r="O1453">
        <f t="shared" si="66"/>
        <v>50.010399999999997</v>
      </c>
      <c r="P1453">
        <f t="shared" si="67"/>
        <v>0.17450000000000188</v>
      </c>
      <c r="Q1453">
        <f t="shared" si="68"/>
        <v>0.17450000000000188</v>
      </c>
      <c r="Y1453">
        <f>TREND(H1451:H1455,G1451:G1455,G1453)</f>
        <v>50.162074086960558</v>
      </c>
      <c r="Z1453">
        <f>ABS((Y1453-H1453)/80*100)</f>
        <v>1.5092608700699726E-2</v>
      </c>
      <c r="AD1453">
        <f>ABS(P1451-P1457)</f>
        <v>0.1154343749999942</v>
      </c>
      <c r="AE1453">
        <f>ABS(P1480-P1452)</f>
        <v>0.32227187500000642</v>
      </c>
      <c r="AH1453">
        <f>H1453-AG1451</f>
        <v>50.010399999999997</v>
      </c>
      <c r="AI1453">
        <f>100*(AH1453-O1453)/80</f>
        <v>0</v>
      </c>
    </row>
    <row r="1454" spans="1:41" x14ac:dyDescent="0.35">
      <c r="A1454" t="s">
        <v>275</v>
      </c>
      <c r="B1454" t="s">
        <v>231</v>
      </c>
      <c r="C1454" t="s">
        <v>402</v>
      </c>
      <c r="D1454">
        <v>25</v>
      </c>
      <c r="E1454">
        <v>25</v>
      </c>
      <c r="F1454">
        <v>0.5</v>
      </c>
      <c r="G1454">
        <v>0.500085</v>
      </c>
      <c r="H1454">
        <v>69.435937499999994</v>
      </c>
      <c r="J1454">
        <v>-6149</v>
      </c>
      <c r="N1454" t="s">
        <v>193</v>
      </c>
      <c r="O1454">
        <f t="shared" si="66"/>
        <v>70.003399999999999</v>
      </c>
      <c r="P1454">
        <f t="shared" si="67"/>
        <v>-0.70932812500000608</v>
      </c>
      <c r="Q1454">
        <f t="shared" si="68"/>
        <v>0.70932812500000608</v>
      </c>
      <c r="Y1454">
        <f>TREND(H1451:H1455,G1451:G1455,G1454)</f>
        <v>69.358581529732788</v>
      </c>
      <c r="Z1454">
        <f>ABS((Y1454-H1454)/80*100)</f>
        <v>9.669496283400747E-2</v>
      </c>
      <c r="AE1454">
        <f>ABS(P1481-P1453)</f>
        <v>0.13448437500000132</v>
      </c>
      <c r="AH1454">
        <f>H1454-AG1451</f>
        <v>69.296337499999993</v>
      </c>
      <c r="AI1454">
        <f>100*(AH1454-O1454)/80</f>
        <v>-0.88382812500000796</v>
      </c>
    </row>
    <row r="1455" spans="1:41" x14ac:dyDescent="0.35">
      <c r="A1455" t="s">
        <v>275</v>
      </c>
      <c r="B1455" t="s">
        <v>231</v>
      </c>
      <c r="C1455" t="s">
        <v>439</v>
      </c>
      <c r="D1455">
        <v>25</v>
      </c>
      <c r="E1455">
        <v>25</v>
      </c>
      <c r="F1455">
        <v>1</v>
      </c>
      <c r="G1455">
        <v>1.000043</v>
      </c>
      <c r="H1455">
        <v>88.525000000000006</v>
      </c>
      <c r="J1455">
        <v>-6151</v>
      </c>
      <c r="N1455" t="s">
        <v>193</v>
      </c>
      <c r="O1455">
        <f t="shared" si="66"/>
        <v>90.001719999999992</v>
      </c>
      <c r="P1455">
        <f t="shared" si="67"/>
        <v>-1.8458999999999826</v>
      </c>
      <c r="Q1455">
        <f t="shared" si="68"/>
        <v>1.8458999999999826</v>
      </c>
      <c r="Y1455">
        <f>TREND(H1451:H1455,G1451:G1455,G1455)</f>
        <v>88.560197031305378</v>
      </c>
      <c r="Z1455">
        <f>ABS((Y1455-H1455)/80*100)</f>
        <v>4.3996289131715827E-2</v>
      </c>
      <c r="AE1455">
        <f>ABS(P1482-P1454)</f>
        <v>3.2075000000002518E-2</v>
      </c>
      <c r="AH1455">
        <f>H1455-AG1451</f>
        <v>88.385400000000004</v>
      </c>
      <c r="AI1455">
        <f>100*(AH1455-O1455)/80</f>
        <v>-2.0203999999999844</v>
      </c>
    </row>
    <row r="1456" spans="1:41" x14ac:dyDescent="0.35">
      <c r="A1456" t="s">
        <v>275</v>
      </c>
      <c r="B1456" t="s">
        <v>231</v>
      </c>
      <c r="C1456" t="s">
        <v>476</v>
      </c>
      <c r="D1456">
        <v>25</v>
      </c>
      <c r="E1456">
        <v>25</v>
      </c>
      <c r="F1456">
        <v>0</v>
      </c>
      <c r="G1456">
        <v>2.3E-5</v>
      </c>
      <c r="H1456">
        <v>50.106250000000003</v>
      </c>
      <c r="J1456">
        <v>-6149</v>
      </c>
      <c r="N1456" t="s">
        <v>193</v>
      </c>
      <c r="O1456">
        <f t="shared" si="66"/>
        <v>50.000920000000008</v>
      </c>
      <c r="P1456">
        <f t="shared" si="67"/>
        <v>0.1316624999999938</v>
      </c>
      <c r="Q1456">
        <f t="shared" si="68"/>
        <v>0.1316624999999938</v>
      </c>
      <c r="Y1456">
        <f>TREND(H1451:H1455,G1451:G1455,G1456)</f>
        <v>50.152971756617063</v>
      </c>
      <c r="Z1456">
        <f>ABS((Y1456-H1456)/80*100)</f>
        <v>5.8402195771325438E-2</v>
      </c>
      <c r="AE1456">
        <f>ABS(P1483-P1455)</f>
        <v>4.3590624999971794E-2</v>
      </c>
      <c r="AH1456">
        <f>H1456-AG1451</f>
        <v>49.966650000000001</v>
      </c>
      <c r="AI1456">
        <f>100*(AH1456-O1456)/80</f>
        <v>-4.2837500000008077E-2</v>
      </c>
    </row>
    <row r="1457" spans="1:41" x14ac:dyDescent="0.35">
      <c r="A1457" t="s">
        <v>275</v>
      </c>
      <c r="B1457" t="s">
        <v>231</v>
      </c>
      <c r="C1457" t="s">
        <v>513</v>
      </c>
      <c r="D1457">
        <v>25</v>
      </c>
      <c r="E1457">
        <v>25</v>
      </c>
      <c r="F1457">
        <v>-1</v>
      </c>
      <c r="G1457">
        <v>-1.0000819999999999</v>
      </c>
      <c r="H1457">
        <v>11.871874999999999</v>
      </c>
      <c r="J1457">
        <v>-6157</v>
      </c>
      <c r="N1457" t="s">
        <v>193</v>
      </c>
      <c r="O1457">
        <f t="shared" si="66"/>
        <v>9.9967200000000034</v>
      </c>
      <c r="P1457">
        <f t="shared" si="67"/>
        <v>2.3439437499999949</v>
      </c>
      <c r="Q1457">
        <f t="shared" si="68"/>
        <v>2.3439437499999949</v>
      </c>
      <c r="Y1457">
        <f>TREND(H1451:H1455,G1451:G1455,G1457)</f>
        <v>11.742481933071382</v>
      </c>
      <c r="Z1457">
        <f>ABS((Y1457-H1457)/80*100)</f>
        <v>0.16174133366077204</v>
      </c>
      <c r="AE1457">
        <f>ABS(P1484-P1456)</f>
        <v>0.19078125000000945</v>
      </c>
      <c r="AH1457">
        <f>H1457-AG1451</f>
        <v>11.732274999999998</v>
      </c>
      <c r="AI1457">
        <f>100*(AH1457-O1457)/80</f>
        <v>2.169443749999993</v>
      </c>
    </row>
    <row r="1458" spans="1:41" x14ac:dyDescent="0.35">
      <c r="A1458" t="s">
        <v>275</v>
      </c>
      <c r="B1458" t="s">
        <v>231</v>
      </c>
      <c r="C1458" t="s">
        <v>550</v>
      </c>
      <c r="D1458">
        <v>-20</v>
      </c>
      <c r="E1458">
        <v>-20.100000000000001</v>
      </c>
      <c r="F1458">
        <v>-1</v>
      </c>
      <c r="G1458">
        <v>-1.0000500000000001</v>
      </c>
      <c r="H1458">
        <v>11.8828125</v>
      </c>
      <c r="J1458">
        <v>-24216</v>
      </c>
      <c r="N1458" t="s">
        <v>193</v>
      </c>
      <c r="O1458">
        <f t="shared" si="66"/>
        <v>9.9979999999999958</v>
      </c>
      <c r="P1458">
        <f t="shared" si="67"/>
        <v>2.3560156250000053</v>
      </c>
      <c r="Q1458">
        <f t="shared" si="68"/>
        <v>2.3560156250000053</v>
      </c>
      <c r="S1458">
        <v>50.209375000000001</v>
      </c>
      <c r="T1458">
        <v>0.27446874999999871</v>
      </c>
      <c r="U1458">
        <v>88.4921875</v>
      </c>
      <c r="V1458">
        <v>-1.8876656249999968</v>
      </c>
      <c r="W1458">
        <v>76.609375</v>
      </c>
      <c r="X1458">
        <f>(W1458-80)/80*100</f>
        <v>-4.23828125</v>
      </c>
      <c r="Y1458">
        <f>TREND(H1458:H1462,G1458:G1462,G1458)</f>
        <v>11.852227139354476</v>
      </c>
      <c r="Z1458">
        <f>ABS((Y1458-H1458)/80*100)</f>
        <v>3.8231700806905522E-2</v>
      </c>
      <c r="AA1458">
        <f>MAX(Z1458:Z1462)</f>
        <v>9.1252667951722266E-2</v>
      </c>
      <c r="AB1458">
        <f>IF(ABS(MAX(P1458:P1464)) &gt; ABS(MIN(P1458:P1464)),MAX(P1458:P1464), MIN(P1458:P1464))</f>
        <v>2.3560156250000053</v>
      </c>
      <c r="AC1458">
        <f>IF(ABS(AB1459)&gt;ABS(AB1458),AB1459,AB1458)</f>
        <v>2.3560156250000053</v>
      </c>
      <c r="AE1458">
        <f>ABS(P1485-P1457)</f>
        <v>0.38673125000000308</v>
      </c>
      <c r="AH1458">
        <f>H1458-AG1451</f>
        <v>11.743212499999998</v>
      </c>
      <c r="AI1458">
        <f>100*(AH1458-O1458)/80</f>
        <v>2.1815156250000034</v>
      </c>
      <c r="AJ1458">
        <v>50.069775</v>
      </c>
      <c r="AK1458">
        <v>9.9968749999996831E-2</v>
      </c>
      <c r="AL1458">
        <v>88.352587499999998</v>
      </c>
      <c r="AM1458">
        <v>-2.0621656249999987</v>
      </c>
      <c r="AN1458">
        <f>IF(ABS(MAX(AI1458:AI1464)) &gt; ABS(MIN(AI1458:AI1464)),MAX(AI1458:AI1464), MIN(AI1458:AI1464))</f>
        <v>2.1815156250000034</v>
      </c>
      <c r="AO1458">
        <f>IF(ABS(AN1459)&gt;ABS(AN1458),AN1459,AN1458)</f>
        <v>2.1815156250000034</v>
      </c>
    </row>
    <row r="1459" spans="1:41" x14ac:dyDescent="0.35">
      <c r="A1459" t="s">
        <v>275</v>
      </c>
      <c r="B1459" t="s">
        <v>231</v>
      </c>
      <c r="C1459" t="s">
        <v>587</v>
      </c>
      <c r="D1459">
        <v>-20</v>
      </c>
      <c r="E1459">
        <v>-20</v>
      </c>
      <c r="F1459">
        <v>-0.5</v>
      </c>
      <c r="G1459">
        <v>-0.50012000000000001</v>
      </c>
      <c r="H1459">
        <v>30.939062499999999</v>
      </c>
      <c r="J1459">
        <v>-24242</v>
      </c>
      <c r="N1459" t="s">
        <v>193</v>
      </c>
      <c r="O1459">
        <f t="shared" si="66"/>
        <v>29.995200000000001</v>
      </c>
      <c r="P1459">
        <f t="shared" si="67"/>
        <v>1.1798281249999976</v>
      </c>
      <c r="Q1459">
        <f t="shared" si="68"/>
        <v>1.1798281249999976</v>
      </c>
      <c r="Y1459">
        <f>TREND(H1458:H1462,G1458:G1462,G1459)</f>
        <v>31.012064634361376</v>
      </c>
      <c r="Z1459">
        <f>ABS((Y1459-H1459)/80*100)</f>
        <v>9.1252667951722266E-2</v>
      </c>
      <c r="AB1459">
        <f>IF(ABS(T1458) &gt; ABS(V1458),T1458,V1458)</f>
        <v>-1.8876656249999968</v>
      </c>
      <c r="AE1459">
        <f>ABS(P1507-P1451)</f>
        <v>1.9334031249999972</v>
      </c>
      <c r="AH1459">
        <f>H1459-AG1451</f>
        <v>30.799462499999997</v>
      </c>
      <c r="AI1459">
        <f>100*(AH1459-O1459)/80</f>
        <v>1.0053281249999957</v>
      </c>
      <c r="AN1459">
        <f>IF(ABS(AK1458) &gt; ABS(AM1458),AK1458,AM1458)</f>
        <v>-2.0621656249999987</v>
      </c>
    </row>
    <row r="1460" spans="1:41" x14ac:dyDescent="0.35">
      <c r="A1460" t="s">
        <v>275</v>
      </c>
      <c r="B1460" t="s">
        <v>231</v>
      </c>
      <c r="C1460" t="s">
        <v>624</v>
      </c>
      <c r="D1460">
        <v>-20</v>
      </c>
      <c r="E1460">
        <v>-20</v>
      </c>
      <c r="F1460">
        <v>0</v>
      </c>
      <c r="G1460">
        <v>-2.5500000000000002E-4</v>
      </c>
      <c r="H1460">
        <v>50.209375000000001</v>
      </c>
      <c r="J1460">
        <v>-24283</v>
      </c>
      <c r="N1460" t="s">
        <v>193</v>
      </c>
      <c r="O1460">
        <f t="shared" si="66"/>
        <v>49.989800000000002</v>
      </c>
      <c r="P1460">
        <f t="shared" si="67"/>
        <v>0.27446874999999871</v>
      </c>
      <c r="Q1460">
        <f t="shared" si="68"/>
        <v>0.27446874999999871</v>
      </c>
      <c r="Y1460">
        <f>TREND(H1458:H1462,G1458:G1462,G1460)</f>
        <v>50.169411001736052</v>
      </c>
      <c r="Z1460">
        <f>ABS((Y1460-H1460)/80*100)</f>
        <v>4.9954997829937398E-2</v>
      </c>
      <c r="AE1460">
        <f>ABS(P1508-P1452)</f>
        <v>1.1219437499999918</v>
      </c>
      <c r="AH1460">
        <f>H1460-AG1451</f>
        <v>50.069775</v>
      </c>
      <c r="AI1460">
        <f>100*(AH1460-O1460)/80</f>
        <v>9.9968749999996831E-2</v>
      </c>
    </row>
    <row r="1461" spans="1:41" x14ac:dyDescent="0.35">
      <c r="A1461" t="s">
        <v>275</v>
      </c>
      <c r="B1461" t="s">
        <v>231</v>
      </c>
      <c r="C1461" t="s">
        <v>660</v>
      </c>
      <c r="D1461">
        <v>-20</v>
      </c>
      <c r="E1461">
        <v>-20</v>
      </c>
      <c r="F1461">
        <v>0.5</v>
      </c>
      <c r="G1461">
        <v>0.49949500000000002</v>
      </c>
      <c r="H1461">
        <v>69.339062499999997</v>
      </c>
      <c r="J1461">
        <v>-24311</v>
      </c>
      <c r="N1461" t="s">
        <v>193</v>
      </c>
      <c r="O1461">
        <f t="shared" si="66"/>
        <v>69.979799999999997</v>
      </c>
      <c r="P1461">
        <f t="shared" si="67"/>
        <v>-0.80092187500000023</v>
      </c>
      <c r="Q1461">
        <f t="shared" si="68"/>
        <v>0.80092187500000023</v>
      </c>
      <c r="Y1461">
        <f>TREND(H1458:H1462,G1458:G1462,G1461)</f>
        <v>69.322349989453727</v>
      </c>
      <c r="Z1461">
        <f>ABS((Y1461-H1461)/80*100)</f>
        <v>2.0890638182837762E-2</v>
      </c>
      <c r="AE1461">
        <f>ABS(P1509-P1453)</f>
        <v>5.5971875000002669E-2</v>
      </c>
      <c r="AH1461">
        <f>H1461-AG1451</f>
        <v>69.199462499999996</v>
      </c>
      <c r="AI1461">
        <f>100*(AH1461-O1461)/80</f>
        <v>-0.9754218750000021</v>
      </c>
    </row>
    <row r="1462" spans="1:41" x14ac:dyDescent="0.35">
      <c r="A1462" t="s">
        <v>275</v>
      </c>
      <c r="B1462" t="s">
        <v>231</v>
      </c>
      <c r="C1462" t="s">
        <v>696</v>
      </c>
      <c r="D1462">
        <v>-20</v>
      </c>
      <c r="E1462">
        <v>-19.899999999999999</v>
      </c>
      <c r="F1462">
        <v>1</v>
      </c>
      <c r="G1462">
        <v>1.0000579999999999</v>
      </c>
      <c r="H1462">
        <v>88.4921875</v>
      </c>
      <c r="J1462">
        <v>-24344</v>
      </c>
      <c r="N1462" t="s">
        <v>193</v>
      </c>
      <c r="O1462">
        <f t="shared" si="66"/>
        <v>90.002319999999997</v>
      </c>
      <c r="P1462">
        <f t="shared" si="67"/>
        <v>-1.8876656249999968</v>
      </c>
      <c r="Q1462">
        <f t="shared" si="68"/>
        <v>1.8876656249999968</v>
      </c>
      <c r="Y1462">
        <f>TREND(H1458:H1462,G1458:G1462,G1462)</f>
        <v>88.506447235094384</v>
      </c>
      <c r="Z1462">
        <f>ABS((Y1462-H1462)/80*100)</f>
        <v>1.782466886798062E-2</v>
      </c>
      <c r="AE1462">
        <f>ABS(P1510-P1454)</f>
        <v>0.86698750000001823</v>
      </c>
      <c r="AH1462">
        <f>H1462-AG1451</f>
        <v>88.352587499999998</v>
      </c>
      <c r="AI1462">
        <f>100*(AH1462-O1462)/80</f>
        <v>-2.0621656249999987</v>
      </c>
    </row>
    <row r="1463" spans="1:41" x14ac:dyDescent="0.35">
      <c r="A1463" t="s">
        <v>275</v>
      </c>
      <c r="B1463" t="s">
        <v>231</v>
      </c>
      <c r="C1463" t="s">
        <v>733</v>
      </c>
      <c r="D1463">
        <v>-20</v>
      </c>
      <c r="E1463">
        <v>-20</v>
      </c>
      <c r="F1463">
        <v>0</v>
      </c>
      <c r="G1463">
        <v>3.1199999999999999E-4</v>
      </c>
      <c r="H1463">
        <v>50.096874999999997</v>
      </c>
      <c r="J1463">
        <v>-24368</v>
      </c>
      <c r="N1463" t="s">
        <v>193</v>
      </c>
      <c r="O1463">
        <f t="shared" si="66"/>
        <v>50.012480000000004</v>
      </c>
      <c r="P1463">
        <f t="shared" si="67"/>
        <v>0.10549374999999195</v>
      </c>
      <c r="Q1463">
        <f t="shared" si="68"/>
        <v>0.10549374999999195</v>
      </c>
      <c r="Y1463">
        <f>TREND(H1458:H1462,G1458:G1462,G1463)</f>
        <v>50.191141299697101</v>
      </c>
      <c r="Z1463">
        <f>ABS((Y1463-H1463)/80*100)</f>
        <v>0.11783287462137972</v>
      </c>
      <c r="AE1463">
        <f>ABS(P1511-P1455)</f>
        <v>1.766878124999991</v>
      </c>
      <c r="AH1463">
        <f>H1463-AG1451</f>
        <v>49.957274999999996</v>
      </c>
      <c r="AI1463">
        <f>100*(AH1463-O1463)/80</f>
        <v>-6.9006250000009928E-2</v>
      </c>
    </row>
    <row r="1464" spans="1:41" x14ac:dyDescent="0.35">
      <c r="A1464" t="s">
        <v>275</v>
      </c>
      <c r="B1464" t="s">
        <v>231</v>
      </c>
      <c r="C1464" t="s">
        <v>769</v>
      </c>
      <c r="D1464">
        <v>-20</v>
      </c>
      <c r="E1464">
        <v>-20.100000000000001</v>
      </c>
      <c r="F1464">
        <v>-1</v>
      </c>
      <c r="G1464">
        <v>-0.99992199999999998</v>
      </c>
      <c r="H1464">
        <v>11.790625</v>
      </c>
      <c r="J1464">
        <v>-24389</v>
      </c>
      <c r="N1464" t="s">
        <v>193</v>
      </c>
      <c r="O1464">
        <f t="shared" si="66"/>
        <v>10.003120000000001</v>
      </c>
      <c r="P1464">
        <f t="shared" si="67"/>
        <v>2.2343812499999993</v>
      </c>
      <c r="Q1464">
        <f t="shared" si="68"/>
        <v>2.2343812499999993</v>
      </c>
      <c r="Y1464">
        <f>TREND(H1458:H1462,G1458:G1462,G1464)</f>
        <v>11.857132744537928</v>
      </c>
      <c r="Z1464">
        <f>ABS((Y1464-H1464)/80*100)</f>
        <v>8.3134680672409811E-2</v>
      </c>
      <c r="AE1464">
        <f>ABS(P1512-P1456)</f>
        <v>5.3243749999989376E-2</v>
      </c>
      <c r="AH1464">
        <f>H1464-AG1451</f>
        <v>11.651024999999999</v>
      </c>
      <c r="AI1464">
        <f>100*(AH1464-O1464)/80</f>
        <v>2.0598812499999974</v>
      </c>
    </row>
    <row r="1465" spans="1:41" x14ac:dyDescent="0.35">
      <c r="A1465" t="s">
        <v>275</v>
      </c>
      <c r="B1465" t="s">
        <v>231</v>
      </c>
      <c r="C1465" t="s">
        <v>805</v>
      </c>
      <c r="D1465">
        <v>0</v>
      </c>
      <c r="E1465">
        <v>0</v>
      </c>
      <c r="F1465">
        <v>-1</v>
      </c>
      <c r="G1465">
        <v>-1.0004789999999999</v>
      </c>
      <c r="H1465">
        <v>12.057812500000001</v>
      </c>
      <c r="J1465">
        <v>-16842</v>
      </c>
      <c r="N1465" t="s">
        <v>193</v>
      </c>
      <c r="O1465">
        <f t="shared" si="66"/>
        <v>9.9808400000000042</v>
      </c>
      <c r="P1465">
        <f t="shared" si="67"/>
        <v>2.5962156249999957</v>
      </c>
      <c r="Q1465">
        <f t="shared" si="68"/>
        <v>2.5962156249999957</v>
      </c>
      <c r="S1465">
        <v>50.362499999999997</v>
      </c>
      <c r="T1465">
        <v>0.44937499999999631</v>
      </c>
      <c r="U1465">
        <v>88.798437500000006</v>
      </c>
      <c r="V1465">
        <v>-1.4899531249999853</v>
      </c>
      <c r="W1465">
        <v>76.740626525878909</v>
      </c>
      <c r="X1465">
        <f>(W1465-80)/80*100</f>
        <v>-4.0742168426513636</v>
      </c>
      <c r="Y1465">
        <f>TREND(H1465:H1469,G1465:G1469,G1465)</f>
        <v>11.961854225997165</v>
      </c>
      <c r="Z1465">
        <f>ABS((Y1465-H1465)/80*100)</f>
        <v>0.11994784250354494</v>
      </c>
      <c r="AA1465">
        <f>MAX(Z1465:Z1469)</f>
        <v>0.14236009072049249</v>
      </c>
      <c r="AB1465">
        <f>IF(ABS(MAX(P1465:P1471)) &gt; ABS(MIN(P1465:P1471)),MAX(P1465:P1471), MIN(P1465:P1471))</f>
        <v>2.5962156249999957</v>
      </c>
      <c r="AC1465">
        <f>IF(ABS(AB1466)&gt;ABS(AB1465),AB1466,AB1465)</f>
        <v>2.5962156249999957</v>
      </c>
      <c r="AE1465">
        <f>ABS(P1513-P1457)</f>
        <v>2.0229062499999961</v>
      </c>
      <c r="AH1465">
        <f>H1465-AG1451</f>
        <v>11.918212499999999</v>
      </c>
      <c r="AI1465">
        <f>100*(AH1465-O1465)/80</f>
        <v>2.4217156249999938</v>
      </c>
      <c r="AJ1465">
        <v>50.222899999999996</v>
      </c>
      <c r="AK1465">
        <v>0.27487499999999443</v>
      </c>
      <c r="AL1465">
        <v>88.658837500000004</v>
      </c>
      <c r="AM1465">
        <v>-1.6644531249999872</v>
      </c>
      <c r="AN1465">
        <f>IF(ABS(MAX(AI1465:AI1471)) &gt; ABS(MIN(AI1465:AI1471)),MAX(AI1465:AI1471), MIN(AI1465:AI1471))</f>
        <v>2.4217156249999938</v>
      </c>
      <c r="AO1465">
        <f>IF(ABS(AN1466)&gt;ABS(AN1465),AN1466,AN1465)</f>
        <v>2.4217156249999938</v>
      </c>
    </row>
    <row r="1466" spans="1:41" x14ac:dyDescent="0.35">
      <c r="A1466" t="s">
        <v>275</v>
      </c>
      <c r="B1466" t="s">
        <v>231</v>
      </c>
      <c r="C1466" t="s">
        <v>842</v>
      </c>
      <c r="D1466">
        <v>0</v>
      </c>
      <c r="E1466">
        <v>0.1</v>
      </c>
      <c r="F1466">
        <v>-0.5</v>
      </c>
      <c r="G1466">
        <v>-0.500309</v>
      </c>
      <c r="H1466">
        <v>31.048437499999999</v>
      </c>
      <c r="J1466">
        <v>-16848</v>
      </c>
      <c r="N1466" t="s">
        <v>193</v>
      </c>
      <c r="O1466">
        <f t="shared" si="66"/>
        <v>29.987639999999999</v>
      </c>
      <c r="P1466">
        <f t="shared" si="67"/>
        <v>1.3259968749999995</v>
      </c>
      <c r="Q1466">
        <f t="shared" si="68"/>
        <v>1.3259968749999995</v>
      </c>
      <c r="Y1466">
        <f>TREND(H1465:H1469,G1465:G1469,G1466)</f>
        <v>31.162325572576393</v>
      </c>
      <c r="Z1466">
        <f>ABS((Y1466-H1466)/80*100)</f>
        <v>0.14236009072049249</v>
      </c>
      <c r="AB1466">
        <f>IF(ABS(T1465) &gt; ABS(V1465),T1465,V1465)</f>
        <v>-1.4899531249999853</v>
      </c>
      <c r="AE1466">
        <f>ABS(P1507-P1479)</f>
        <v>2.3584718750000011</v>
      </c>
      <c r="AH1466">
        <f>H1466-AG1451</f>
        <v>30.908837499999997</v>
      </c>
      <c r="AI1466">
        <f>100*(AH1466-O1466)/80</f>
        <v>1.1514968749999976</v>
      </c>
      <c r="AN1466">
        <f>IF(ABS(AK1465) &gt; ABS(AM1465),AK1465,AM1465)</f>
        <v>-1.6644531249999872</v>
      </c>
    </row>
    <row r="1467" spans="1:41" x14ac:dyDescent="0.35">
      <c r="A1467" t="s">
        <v>275</v>
      </c>
      <c r="B1467" t="s">
        <v>231</v>
      </c>
      <c r="C1467" t="s">
        <v>878</v>
      </c>
      <c r="D1467">
        <v>0</v>
      </c>
      <c r="E1467">
        <v>0</v>
      </c>
      <c r="F1467">
        <v>0</v>
      </c>
      <c r="G1467">
        <v>7.4999999999999993E-5</v>
      </c>
      <c r="H1467">
        <v>50.362499999999997</v>
      </c>
      <c r="J1467">
        <v>-16848</v>
      </c>
      <c r="N1467" t="s">
        <v>193</v>
      </c>
      <c r="O1467">
        <f t="shared" si="66"/>
        <v>50.003</v>
      </c>
      <c r="P1467">
        <f t="shared" si="67"/>
        <v>0.44937499999999631</v>
      </c>
      <c r="Q1467">
        <f t="shared" si="68"/>
        <v>0.44937499999999631</v>
      </c>
      <c r="Y1467">
        <f>TREND(H1465:H1469,G1465:G1469,G1467)</f>
        <v>50.371011927789027</v>
      </c>
      <c r="Z1467">
        <f>ABS((Y1467-H1467)/80*100)</f>
        <v>1.0639909736287478E-2</v>
      </c>
      <c r="AE1467">
        <f>ABS(P1508-P1480)</f>
        <v>1.4442156249999982</v>
      </c>
      <c r="AH1467">
        <f>H1467-AG1451</f>
        <v>50.222899999999996</v>
      </c>
      <c r="AI1467">
        <f>100*(AH1467-O1467)/80</f>
        <v>0.27487499999999443</v>
      </c>
    </row>
    <row r="1468" spans="1:41" x14ac:dyDescent="0.35">
      <c r="A1468" t="s">
        <v>275</v>
      </c>
      <c r="B1468" t="s">
        <v>231</v>
      </c>
      <c r="C1468" t="s">
        <v>914</v>
      </c>
      <c r="D1468">
        <v>0</v>
      </c>
      <c r="E1468">
        <v>0</v>
      </c>
      <c r="F1468">
        <v>0.5</v>
      </c>
      <c r="G1468">
        <v>0.49985299999999999</v>
      </c>
      <c r="H1468">
        <v>69.53125</v>
      </c>
      <c r="J1468">
        <v>-16857</v>
      </c>
      <c r="N1468" t="s">
        <v>193</v>
      </c>
      <c r="O1468">
        <f t="shared" si="66"/>
        <v>69.994119999999995</v>
      </c>
      <c r="P1468">
        <f t="shared" si="67"/>
        <v>-0.57858749999999404</v>
      </c>
      <c r="Q1468">
        <f t="shared" si="68"/>
        <v>0.57858749999999404</v>
      </c>
      <c r="Y1468">
        <f>TREND(H1465:H1469,G1465:G1469,G1468)</f>
        <v>69.556435221170631</v>
      </c>
      <c r="Z1468">
        <f>ABS((Y1468-H1468)/80*100)</f>
        <v>3.148152646328839E-2</v>
      </c>
      <c r="AE1468">
        <f>ABS(P1509-P1481)</f>
        <v>0.19045625000000399</v>
      </c>
      <c r="AH1468">
        <f>H1468-AG1451</f>
        <v>69.391649999999998</v>
      </c>
      <c r="AI1468">
        <f>100*(AH1468-O1468)/80</f>
        <v>-0.75308749999999591</v>
      </c>
    </row>
    <row r="1469" spans="1:41" x14ac:dyDescent="0.35">
      <c r="A1469" t="s">
        <v>275</v>
      </c>
      <c r="B1469" t="s">
        <v>231</v>
      </c>
      <c r="C1469" t="s">
        <v>951</v>
      </c>
      <c r="D1469">
        <v>0</v>
      </c>
      <c r="E1469">
        <v>0.1</v>
      </c>
      <c r="F1469">
        <v>1</v>
      </c>
      <c r="G1469">
        <v>0.99975999999999998</v>
      </c>
      <c r="H1469">
        <v>88.798437500000006</v>
      </c>
      <c r="J1469">
        <v>-16859</v>
      </c>
      <c r="N1469" t="s">
        <v>193</v>
      </c>
      <c r="O1469">
        <f t="shared" si="66"/>
        <v>89.990399999999994</v>
      </c>
      <c r="P1469">
        <f t="shared" si="67"/>
        <v>-1.4899531249999853</v>
      </c>
      <c r="Q1469">
        <f t="shared" si="68"/>
        <v>1.4899531249999853</v>
      </c>
      <c r="Y1469">
        <f>TREND(H1465:H1469,G1465:G1469,G1469)</f>
        <v>88.746810552466769</v>
      </c>
      <c r="Z1469">
        <f>ABS((Y1469-H1469)/80*100)</f>
        <v>6.4533684416545611E-2</v>
      </c>
      <c r="AE1469">
        <f>ABS(P1510-P1482)</f>
        <v>0.83491250000001571</v>
      </c>
      <c r="AH1469">
        <f>H1469-AG1451</f>
        <v>88.658837500000004</v>
      </c>
      <c r="AI1469">
        <f>100*(AH1469-O1469)/80</f>
        <v>-1.6644531249999872</v>
      </c>
    </row>
    <row r="1470" spans="1:41" x14ac:dyDescent="0.35">
      <c r="A1470" t="s">
        <v>275</v>
      </c>
      <c r="B1470" t="s">
        <v>231</v>
      </c>
      <c r="C1470" t="s">
        <v>988</v>
      </c>
      <c r="D1470">
        <v>0</v>
      </c>
      <c r="E1470">
        <v>0</v>
      </c>
      <c r="F1470">
        <v>0</v>
      </c>
      <c r="G1470">
        <v>-5.0000000000000004E-6</v>
      </c>
      <c r="H1470">
        <v>50.337499999999999</v>
      </c>
      <c r="J1470">
        <v>-16885</v>
      </c>
      <c r="N1470" t="s">
        <v>193</v>
      </c>
      <c r="O1470">
        <f t="shared" si="66"/>
        <v>49.9998</v>
      </c>
      <c r="P1470">
        <f t="shared" si="67"/>
        <v>0.42212499999999764</v>
      </c>
      <c r="Q1470">
        <f t="shared" si="68"/>
        <v>0.42212499999999764</v>
      </c>
      <c r="Y1470">
        <f>TREND(H1465:H1469,G1465:G1469,G1470)</f>
        <v>50.36794089652421</v>
      </c>
      <c r="Z1470">
        <f>ABS((Y1470-H1470)/80*100)</f>
        <v>3.8051120655264725E-2</v>
      </c>
      <c r="AE1470">
        <f>ABS(P1511-P1483)</f>
        <v>1.7232875000000192</v>
      </c>
      <c r="AH1470">
        <f>H1470-AG1451</f>
        <v>50.197899999999997</v>
      </c>
      <c r="AI1470">
        <f>100*(AH1470-O1470)/80</f>
        <v>0.24762499999999577</v>
      </c>
    </row>
    <row r="1471" spans="1:41" x14ac:dyDescent="0.35">
      <c r="A1471" t="s">
        <v>275</v>
      </c>
      <c r="B1471" t="s">
        <v>231</v>
      </c>
      <c r="C1471" t="s">
        <v>1024</v>
      </c>
      <c r="D1471">
        <v>0</v>
      </c>
      <c r="E1471">
        <v>0</v>
      </c>
      <c r="F1471">
        <v>-1</v>
      </c>
      <c r="G1471">
        <v>-1.0000960000000001</v>
      </c>
      <c r="H1471">
        <v>11.895312499999999</v>
      </c>
      <c r="J1471">
        <v>-16887</v>
      </c>
      <c r="N1471" t="s">
        <v>193</v>
      </c>
      <c r="O1471">
        <f t="shared" si="66"/>
        <v>9.9961599999999962</v>
      </c>
      <c r="P1471">
        <f t="shared" si="67"/>
        <v>2.3739406250000039</v>
      </c>
      <c r="Q1471">
        <f t="shared" si="68"/>
        <v>2.3739406250000039</v>
      </c>
      <c r="Y1471">
        <f>TREND(H1465:H1469,G1465:G1469,G1471)</f>
        <v>11.97655678817749</v>
      </c>
      <c r="Z1471">
        <f>ABS((Y1471-H1471)/80*100)</f>
        <v>0.10155536022186328</v>
      </c>
      <c r="AE1471">
        <f>ABS(P1512-P1484)</f>
        <v>0.24402499999999883</v>
      </c>
      <c r="AH1471">
        <f>H1471-AG1451</f>
        <v>11.755712499999998</v>
      </c>
      <c r="AI1471">
        <f>100*(AH1471-O1471)/80</f>
        <v>2.199440625000002</v>
      </c>
    </row>
    <row r="1472" spans="1:41" x14ac:dyDescent="0.35">
      <c r="A1472" t="s">
        <v>275</v>
      </c>
      <c r="B1472" t="s">
        <v>231</v>
      </c>
      <c r="C1472" t="s">
        <v>1060</v>
      </c>
      <c r="D1472">
        <v>10</v>
      </c>
      <c r="E1472">
        <v>10</v>
      </c>
      <c r="F1472">
        <v>-1</v>
      </c>
      <c r="G1472">
        <v>-0.99999099999999996</v>
      </c>
      <c r="H1472">
        <v>11.890625</v>
      </c>
      <c r="J1472">
        <v>-12617</v>
      </c>
      <c r="N1472" t="s">
        <v>193</v>
      </c>
      <c r="O1472">
        <f t="shared" si="66"/>
        <v>10.000360000000001</v>
      </c>
      <c r="P1472">
        <f t="shared" si="67"/>
        <v>2.3628312499999993</v>
      </c>
      <c r="Q1472">
        <f t="shared" si="68"/>
        <v>2.3628312499999993</v>
      </c>
      <c r="S1472">
        <v>50.228124999999999</v>
      </c>
      <c r="T1472">
        <v>0.2940562499999988</v>
      </c>
      <c r="U1472">
        <v>88.823437499999997</v>
      </c>
      <c r="V1472">
        <v>-1.4656031250000012</v>
      </c>
      <c r="W1472">
        <v>76.932815551757813</v>
      </c>
      <c r="X1472">
        <f>(W1472-80)/80*100</f>
        <v>-3.8339805603027339</v>
      </c>
      <c r="Y1472">
        <f>TREND(H1472:H1476,G1472:G1476,G1472)</f>
        <v>11.8427550623272</v>
      </c>
      <c r="Z1472">
        <f>ABS((Y1472-H1472)/80*100)</f>
        <v>5.9837422091000292E-2</v>
      </c>
      <c r="AA1472">
        <f>MAX(Z1472:Z1476)</f>
        <v>0.1121272316739219</v>
      </c>
      <c r="AB1472">
        <f>IF(ABS(MAX(P1472:P1478)) &gt; ABS(MIN(P1472:P1478)),MAX(P1472:P1478), MIN(P1472:P1478))</f>
        <v>2.5331499999999996</v>
      </c>
      <c r="AC1472">
        <f>IF(ABS(AB1473)&gt;ABS(AB1472),AB1473,AB1472)</f>
        <v>2.5331499999999996</v>
      </c>
      <c r="AE1472">
        <f>ABS(P1513-P1485)</f>
        <v>2.4096374999999992</v>
      </c>
      <c r="AH1472">
        <f>H1472-AG1451</f>
        <v>11.751024999999998</v>
      </c>
      <c r="AI1472">
        <f>100*(AH1472-O1472)/80</f>
        <v>2.1883312499999974</v>
      </c>
      <c r="AJ1472">
        <v>50.088524999999997</v>
      </c>
      <c r="AK1472">
        <v>0.11955624999999692</v>
      </c>
      <c r="AL1472">
        <v>88.683837499999996</v>
      </c>
      <c r="AM1472">
        <v>-1.6401031250000031</v>
      </c>
      <c r="AN1472">
        <f>IF(ABS(MAX(AI1472:AI1478)) &gt; ABS(MIN(AI1472:AI1478)),MAX(AI1472:AI1478), MIN(AI1472:AI1478))</f>
        <v>2.3586499999999977</v>
      </c>
      <c r="AO1472">
        <f>IF(ABS(AN1473)&gt;ABS(AN1472),AN1473,AN1472)</f>
        <v>2.3586499999999977</v>
      </c>
    </row>
    <row r="1473" spans="1:41" x14ac:dyDescent="0.35">
      <c r="A1473" t="s">
        <v>275</v>
      </c>
      <c r="B1473" t="s">
        <v>231</v>
      </c>
      <c r="C1473" t="s">
        <v>1096</v>
      </c>
      <c r="D1473">
        <v>10</v>
      </c>
      <c r="E1473">
        <v>10</v>
      </c>
      <c r="F1473">
        <v>-0.5</v>
      </c>
      <c r="G1473">
        <v>-0.500031</v>
      </c>
      <c r="H1473">
        <v>31.065625000000001</v>
      </c>
      <c r="J1473">
        <v>-12578</v>
      </c>
      <c r="N1473" t="s">
        <v>193</v>
      </c>
      <c r="O1473">
        <f t="shared" si="66"/>
        <v>29.998760000000001</v>
      </c>
      <c r="P1473">
        <f t="shared" si="67"/>
        <v>1.3335812499999999</v>
      </c>
      <c r="Q1473">
        <f t="shared" si="68"/>
        <v>1.3335812499999999</v>
      </c>
      <c r="Y1473">
        <f>TREND(H1472:H1476,G1472:G1476,G1473)</f>
        <v>31.0823497251662</v>
      </c>
      <c r="Z1473">
        <f>ABS((Y1473-H1473)/80*100)</f>
        <v>2.0905906457748813E-2</v>
      </c>
      <c r="AB1473">
        <f>IF(ABS(T1472) &gt; ABS(V1472),T1472,V1472)</f>
        <v>-1.4656031250000012</v>
      </c>
      <c r="AH1473">
        <f>H1473-AG1451</f>
        <v>30.926024999999999</v>
      </c>
      <c r="AI1473">
        <f>100*(AH1473-O1473)/80</f>
        <v>1.1590812499999981</v>
      </c>
      <c r="AN1473">
        <f>IF(ABS(AK1472) &gt; ABS(AM1472),AK1472,AM1472)</f>
        <v>-1.6401031250000031</v>
      </c>
    </row>
    <row r="1474" spans="1:41" x14ac:dyDescent="0.35">
      <c r="A1474" t="s">
        <v>275</v>
      </c>
      <c r="B1474" t="s">
        <v>1111</v>
      </c>
      <c r="C1474" t="s">
        <v>1133</v>
      </c>
      <c r="D1474">
        <v>10</v>
      </c>
      <c r="E1474">
        <v>10</v>
      </c>
      <c r="F1474">
        <v>0</v>
      </c>
      <c r="G1474">
        <v>-1.7799999999999999E-4</v>
      </c>
      <c r="H1474">
        <v>50.228124999999999</v>
      </c>
      <c r="J1474">
        <v>-12550</v>
      </c>
      <c r="N1474" t="s">
        <v>193</v>
      </c>
      <c r="O1474">
        <f t="shared" si="66"/>
        <v>49.99288</v>
      </c>
      <c r="P1474">
        <f t="shared" si="67"/>
        <v>0.2940562499999988</v>
      </c>
      <c r="Q1474">
        <f t="shared" si="68"/>
        <v>0.2940562499999988</v>
      </c>
      <c r="Y1474">
        <f>TREND(H1472:H1476,G1472:G1476,G1474)</f>
        <v>50.317826785339136</v>
      </c>
      <c r="Z1474">
        <f>ABS((Y1474-H1474)/80*100)</f>
        <v>0.1121272316739219</v>
      </c>
      <c r="AH1474">
        <f>H1474-AG1451</f>
        <v>50.088524999999997</v>
      </c>
      <c r="AI1474">
        <f>100*(AH1474-O1474)/80</f>
        <v>0.11955624999999692</v>
      </c>
    </row>
    <row r="1475" spans="1:41" x14ac:dyDescent="0.35">
      <c r="A1475" t="s">
        <v>275</v>
      </c>
      <c r="B1475" t="s">
        <v>1111</v>
      </c>
      <c r="C1475" t="s">
        <v>1170</v>
      </c>
      <c r="D1475">
        <v>10</v>
      </c>
      <c r="E1475">
        <v>10</v>
      </c>
      <c r="F1475">
        <v>0.5</v>
      </c>
      <c r="G1475">
        <v>0.50014099999999995</v>
      </c>
      <c r="H1475">
        <v>69.609375</v>
      </c>
      <c r="J1475">
        <v>-12531</v>
      </c>
      <c r="N1475" t="s">
        <v>193</v>
      </c>
      <c r="O1475">
        <f t="shared" si="66"/>
        <v>70.00564</v>
      </c>
      <c r="P1475">
        <f t="shared" si="67"/>
        <v>-0.49533124999999956</v>
      </c>
      <c r="Q1475">
        <f t="shared" si="68"/>
        <v>0.49533124999999956</v>
      </c>
      <c r="Y1475">
        <f>TREND(H1472:H1476,G1472:G1476,G1475)</f>
        <v>69.571236582356789</v>
      </c>
      <c r="Z1475">
        <f>ABS((Y1475-H1475)/80*100)</f>
        <v>4.7673022054013359E-2</v>
      </c>
      <c r="AH1475">
        <f>H1475-AG1451</f>
        <v>69.469774999999998</v>
      </c>
      <c r="AI1475">
        <f>100*(AH1475-O1475)/80</f>
        <v>-0.66983125000000143</v>
      </c>
    </row>
    <row r="1476" spans="1:41" x14ac:dyDescent="0.35">
      <c r="A1476" t="s">
        <v>275</v>
      </c>
      <c r="B1476" t="s">
        <v>1111</v>
      </c>
      <c r="C1476" t="s">
        <v>1207</v>
      </c>
      <c r="D1476">
        <v>10</v>
      </c>
      <c r="E1476">
        <v>10</v>
      </c>
      <c r="F1476">
        <v>1</v>
      </c>
      <c r="G1476">
        <v>0.99989799999999995</v>
      </c>
      <c r="H1476">
        <v>88.823437499999997</v>
      </c>
      <c r="J1476">
        <v>-12500</v>
      </c>
      <c r="N1476" t="s">
        <v>193</v>
      </c>
      <c r="O1476">
        <f t="shared" si="66"/>
        <v>89.995919999999998</v>
      </c>
      <c r="P1476">
        <f t="shared" si="67"/>
        <v>-1.4656031250000012</v>
      </c>
      <c r="Q1476">
        <f t="shared" si="68"/>
        <v>1.4656031250000012</v>
      </c>
      <c r="Y1476">
        <f>TREND(H1472:H1476,G1472:G1476,G1476)</f>
        <v>88.80301934481065</v>
      </c>
      <c r="Z1476">
        <f>ABS((Y1476-H1476)/80*100)</f>
        <v>2.552269398668372E-2</v>
      </c>
      <c r="AH1476">
        <f>H1476-AG1451</f>
        <v>88.683837499999996</v>
      </c>
      <c r="AI1476">
        <f>100*(AH1476-O1476)/80</f>
        <v>-1.6401031250000031</v>
      </c>
    </row>
    <row r="1477" spans="1:41" x14ac:dyDescent="0.35">
      <c r="A1477" t="s">
        <v>275</v>
      </c>
      <c r="B1477" t="s">
        <v>1111</v>
      </c>
      <c r="C1477" t="s">
        <v>1244</v>
      </c>
      <c r="D1477">
        <v>10</v>
      </c>
      <c r="E1477">
        <v>10</v>
      </c>
      <c r="F1477">
        <v>0</v>
      </c>
      <c r="G1477">
        <v>6.11E-4</v>
      </c>
      <c r="H1477">
        <v>50.359375</v>
      </c>
      <c r="J1477">
        <v>-12483</v>
      </c>
      <c r="N1477" t="s">
        <v>193</v>
      </c>
      <c r="O1477">
        <f t="shared" si="66"/>
        <v>50.024439999999998</v>
      </c>
      <c r="P1477">
        <f t="shared" si="67"/>
        <v>0.41866875000000192</v>
      </c>
      <c r="Q1477">
        <f t="shared" si="68"/>
        <v>0.41866875000000192</v>
      </c>
      <c r="Y1477">
        <f>TREND(H1472:H1476,G1472:G1476,G1477)</f>
        <v>50.348189294717848</v>
      </c>
      <c r="Z1477">
        <f>ABS((Y1477-H1477)/80*100)</f>
        <v>1.3982131602690016E-2</v>
      </c>
      <c r="AH1477">
        <f>H1477-AG1451</f>
        <v>50.219774999999998</v>
      </c>
      <c r="AI1477">
        <f>100*(AH1477-O1477)/80</f>
        <v>0.24416875000000005</v>
      </c>
    </row>
    <row r="1478" spans="1:41" x14ac:dyDescent="0.35">
      <c r="A1478" t="s">
        <v>275</v>
      </c>
      <c r="B1478" t="s">
        <v>1111</v>
      </c>
      <c r="C1478" t="s">
        <v>1280</v>
      </c>
      <c r="D1478">
        <v>10</v>
      </c>
      <c r="E1478">
        <v>10</v>
      </c>
      <c r="F1478">
        <v>-1</v>
      </c>
      <c r="G1478">
        <v>-1.000038</v>
      </c>
      <c r="H1478">
        <v>12.025</v>
      </c>
      <c r="J1478">
        <v>-12466</v>
      </c>
      <c r="N1478" t="s">
        <v>193</v>
      </c>
      <c r="O1478">
        <f t="shared" si="66"/>
        <v>9.9984800000000007</v>
      </c>
      <c r="P1478">
        <f t="shared" si="67"/>
        <v>2.5331499999999996</v>
      </c>
      <c r="Q1478">
        <f t="shared" si="68"/>
        <v>2.5331499999999996</v>
      </c>
      <c r="Y1478">
        <f>TREND(H1472:H1476,G1472:G1476,G1478)</f>
        <v>11.840946395735564</v>
      </c>
      <c r="Z1478">
        <f>ABS((Y1478-H1478)/80*100)</f>
        <v>0.23006700533054536</v>
      </c>
      <c r="AH1478">
        <f>H1478-AG1451</f>
        <v>11.885399999999999</v>
      </c>
      <c r="AI1478">
        <f>100*(AH1478-O1478)/80</f>
        <v>2.3586499999999977</v>
      </c>
    </row>
    <row r="1479" spans="1:41" x14ac:dyDescent="0.35">
      <c r="A1479" t="s">
        <v>275</v>
      </c>
      <c r="B1479" t="s">
        <v>1111</v>
      </c>
      <c r="C1479" t="s">
        <v>1316</v>
      </c>
      <c r="D1479">
        <v>25</v>
      </c>
      <c r="E1479">
        <v>25</v>
      </c>
      <c r="F1479">
        <v>-1</v>
      </c>
      <c r="G1479">
        <v>-1.0002200000000001</v>
      </c>
      <c r="H1479">
        <v>12.114062499999999</v>
      </c>
      <c r="J1479">
        <v>-6422</v>
      </c>
      <c r="N1479" t="s">
        <v>193</v>
      </c>
      <c r="O1479">
        <f t="shared" si="66"/>
        <v>9.9911999999999956</v>
      </c>
      <c r="P1479">
        <f t="shared" si="67"/>
        <v>2.6535781250000046</v>
      </c>
      <c r="Q1479">
        <f t="shared" si="68"/>
        <v>2.6535781250000046</v>
      </c>
      <c r="S1479">
        <v>50.2421875</v>
      </c>
      <c r="T1479">
        <v>0.3089843750000032</v>
      </c>
      <c r="U1479">
        <v>88.545312499999994</v>
      </c>
      <c r="V1479">
        <v>-1.8023093750000108</v>
      </c>
      <c r="W1479">
        <v>76.431248474121091</v>
      </c>
      <c r="X1479">
        <f>(W1479-80)/80*100</f>
        <v>-4.4609394073486364</v>
      </c>
      <c r="Y1479">
        <f>TREND(H1479:H1483,G1479:G1483,G1479)</f>
        <v>12.058815249156488</v>
      </c>
      <c r="Z1479">
        <f>ABS((Y1479-H1479)/80*100)</f>
        <v>6.9059063554388622E-2</v>
      </c>
      <c r="AA1479">
        <f>MAX(Z1479:Z1483)</f>
        <v>7.2682667922023825E-2</v>
      </c>
      <c r="AB1479">
        <f>IF(ABS(MAX(P1479:P1485)) &gt; ABS(MIN(P1479:P1485)),MAX(P1479:P1485), MIN(P1479:P1485))</f>
        <v>2.730674999999998</v>
      </c>
      <c r="AC1479">
        <f>IF(ABS(AB1480)&gt;ABS(AB1479),AB1480,AB1479)</f>
        <v>2.730674999999998</v>
      </c>
      <c r="AH1479">
        <f>H1479-AG1451</f>
        <v>11.974462499999998</v>
      </c>
      <c r="AI1479">
        <f>100*(AH1479-O1479)/80</f>
        <v>2.4790781250000027</v>
      </c>
      <c r="AJ1479">
        <v>50.102587499999998</v>
      </c>
      <c r="AK1479">
        <v>0.13448437500000132</v>
      </c>
      <c r="AL1479">
        <v>88.405712499999993</v>
      </c>
      <c r="AM1479">
        <v>-1.9768093750000126</v>
      </c>
      <c r="AN1479">
        <f>IF(ABS(MAX(AI1479:AI1485)) &gt; ABS(MIN(AI1479:AI1485)),MAX(AI1479:AI1485), MIN(AI1479:AI1485))</f>
        <v>2.5561749999999961</v>
      </c>
      <c r="AO1479">
        <f>IF(ABS(AN1480)&gt;ABS(AN1479),AN1480,AN1479)</f>
        <v>2.5561749999999961</v>
      </c>
    </row>
    <row r="1480" spans="1:41" x14ac:dyDescent="0.35">
      <c r="A1480" t="s">
        <v>275</v>
      </c>
      <c r="B1480" t="s">
        <v>1111</v>
      </c>
      <c r="C1480" t="s">
        <v>1353</v>
      </c>
      <c r="D1480">
        <v>25</v>
      </c>
      <c r="E1480">
        <v>25</v>
      </c>
      <c r="F1480">
        <v>-0.5</v>
      </c>
      <c r="G1480">
        <v>-0.499975</v>
      </c>
      <c r="H1480">
        <v>31.140625</v>
      </c>
      <c r="J1480">
        <v>-6404</v>
      </c>
      <c r="N1480" t="s">
        <v>193</v>
      </c>
      <c r="O1480">
        <f t="shared" si="66"/>
        <v>30.000999999999998</v>
      </c>
      <c r="P1480">
        <f t="shared" si="67"/>
        <v>1.4245312500000029</v>
      </c>
      <c r="Q1480">
        <f t="shared" si="68"/>
        <v>1.4245312500000029</v>
      </c>
      <c r="Y1480">
        <f>TREND(H1479:H1483,G1479:G1483,G1480)</f>
        <v>31.187126424189795</v>
      </c>
      <c r="Z1480">
        <f>ABS((Y1480-H1480)/80*100)</f>
        <v>5.8126780237244269E-2</v>
      </c>
      <c r="AB1480">
        <f>IF(ABS(T1479) &gt; ABS(V1479),T1479,V1479)</f>
        <v>-1.8023093750000108</v>
      </c>
      <c r="AH1480">
        <f>H1480-AG1451</f>
        <v>31.001024999999998</v>
      </c>
      <c r="AI1480">
        <f>100*(AH1480-O1480)/80</f>
        <v>1.250031250000001</v>
      </c>
      <c r="AN1480">
        <f>IF(ABS(AK1479) &gt; ABS(AM1479),AK1479,AM1479)</f>
        <v>-1.9768093750000126</v>
      </c>
    </row>
    <row r="1481" spans="1:41" x14ac:dyDescent="0.35">
      <c r="A1481" t="s">
        <v>275</v>
      </c>
      <c r="B1481" t="s">
        <v>1111</v>
      </c>
      <c r="C1481" t="s">
        <v>1389</v>
      </c>
      <c r="D1481">
        <v>25</v>
      </c>
      <c r="E1481">
        <v>25</v>
      </c>
      <c r="F1481">
        <v>0</v>
      </c>
      <c r="G1481">
        <v>-1.25E-4</v>
      </c>
      <c r="H1481">
        <v>50.2421875</v>
      </c>
      <c r="J1481">
        <v>-6378</v>
      </c>
      <c r="N1481" t="s">
        <v>193</v>
      </c>
      <c r="O1481">
        <f t="shared" ref="O1481:O1544" si="69">(((G1481--1)*(40))+10)</f>
        <v>49.994999999999997</v>
      </c>
      <c r="P1481">
        <f t="shared" ref="P1481:P1544" si="70">100*(H1481-O1481)/80</f>
        <v>0.3089843750000032</v>
      </c>
      <c r="Q1481">
        <f t="shared" ref="Q1481:Q1544" si="71">ABS(P1481)</f>
        <v>0.3089843750000032</v>
      </c>
      <c r="Y1481">
        <f>TREND(H1479:H1483,G1479:G1483,G1481)</f>
        <v>50.300333634337619</v>
      </c>
      <c r="Z1481">
        <f>ABS((Y1481-H1481)/80*100)</f>
        <v>7.2682667922023825E-2</v>
      </c>
      <c r="AH1481">
        <f>H1481-AG1451</f>
        <v>50.102587499999998</v>
      </c>
      <c r="AI1481">
        <f>100*(AH1481-O1481)/80</f>
        <v>0.13448437500000132</v>
      </c>
    </row>
    <row r="1482" spans="1:41" x14ac:dyDescent="0.35">
      <c r="A1482" t="s">
        <v>275</v>
      </c>
      <c r="B1482" t="s">
        <v>1111</v>
      </c>
      <c r="C1482" t="s">
        <v>1426</v>
      </c>
      <c r="D1482">
        <v>25</v>
      </c>
      <c r="E1482">
        <v>25</v>
      </c>
      <c r="F1482">
        <v>0.5</v>
      </c>
      <c r="G1482">
        <v>0.50038099999999996</v>
      </c>
      <c r="H1482">
        <v>69.473437500000003</v>
      </c>
      <c r="J1482">
        <v>-6363</v>
      </c>
      <c r="N1482" t="s">
        <v>193</v>
      </c>
      <c r="O1482">
        <f t="shared" si="69"/>
        <v>70.015240000000006</v>
      </c>
      <c r="P1482">
        <f t="shared" si="70"/>
        <v>-0.67725312500000356</v>
      </c>
      <c r="Q1482">
        <f t="shared" si="71"/>
        <v>0.67725312500000356</v>
      </c>
      <c r="Y1482">
        <f>TREND(H1479:H1483,G1479:G1483,G1482)</f>
        <v>69.438624897561084</v>
      </c>
      <c r="Z1482">
        <f>ABS((Y1482-H1482)/80*100)</f>
        <v>4.351575304864852E-2</v>
      </c>
      <c r="AH1482">
        <f>H1482-AG1451</f>
        <v>69.333837500000001</v>
      </c>
      <c r="AI1482">
        <f>100*(AH1482-O1482)/80</f>
        <v>-0.85175312500000544</v>
      </c>
    </row>
    <row r="1483" spans="1:41" x14ac:dyDescent="0.35">
      <c r="A1483" t="s">
        <v>275</v>
      </c>
      <c r="B1483" t="s">
        <v>1111</v>
      </c>
      <c r="C1483" t="s">
        <v>1463</v>
      </c>
      <c r="D1483">
        <v>25</v>
      </c>
      <c r="E1483">
        <v>25</v>
      </c>
      <c r="F1483">
        <v>1</v>
      </c>
      <c r="G1483">
        <v>0.99967899999999998</v>
      </c>
      <c r="H1483">
        <v>88.545312499999994</v>
      </c>
      <c r="J1483">
        <v>-6344</v>
      </c>
      <c r="N1483" t="s">
        <v>193</v>
      </c>
      <c r="O1483">
        <f t="shared" si="69"/>
        <v>89.987160000000003</v>
      </c>
      <c r="P1483">
        <f t="shared" si="70"/>
        <v>-1.8023093750000108</v>
      </c>
      <c r="Q1483">
        <f t="shared" si="71"/>
        <v>1.8023093750000108</v>
      </c>
      <c r="Y1483">
        <f>TREND(H1479:H1483,G1479:G1483,G1483)</f>
        <v>88.530724794755002</v>
      </c>
      <c r="Z1483">
        <f>ABS((Y1483-H1483)/80*100)</f>
        <v>1.8234631556239833E-2</v>
      </c>
      <c r="AH1483">
        <f>H1483-AG1451</f>
        <v>88.405712499999993</v>
      </c>
      <c r="AI1483">
        <f>100*(AH1483-O1483)/80</f>
        <v>-1.9768093750000126</v>
      </c>
    </row>
    <row r="1484" spans="1:41" x14ac:dyDescent="0.35">
      <c r="A1484" t="s">
        <v>275</v>
      </c>
      <c r="B1484" t="s">
        <v>1111</v>
      </c>
      <c r="C1484" t="s">
        <v>1499</v>
      </c>
      <c r="D1484">
        <v>25</v>
      </c>
      <c r="E1484">
        <v>25</v>
      </c>
      <c r="F1484">
        <v>0</v>
      </c>
      <c r="G1484">
        <v>-2.7700000000000001E-4</v>
      </c>
      <c r="H1484">
        <v>50.246875000000003</v>
      </c>
      <c r="J1484">
        <v>-6331</v>
      </c>
      <c r="N1484" t="s">
        <v>193</v>
      </c>
      <c r="O1484">
        <f t="shared" si="69"/>
        <v>49.98892</v>
      </c>
      <c r="P1484">
        <f t="shared" si="70"/>
        <v>0.32244375000000325</v>
      </c>
      <c r="Q1484">
        <f t="shared" si="71"/>
        <v>0.32244375000000325</v>
      </c>
      <c r="Y1484">
        <f>TREND(H1479:H1483,G1479:G1483,G1484)</f>
        <v>50.29452147569814</v>
      </c>
      <c r="Z1484">
        <f>ABS((Y1484-H1484)/80*100)</f>
        <v>5.9558094622671476E-2</v>
      </c>
      <c r="AH1484">
        <f>H1484-AG1451</f>
        <v>50.107275000000001</v>
      </c>
      <c r="AI1484">
        <f>100*(AH1484-O1484)/80</f>
        <v>0.14794375000000137</v>
      </c>
    </row>
    <row r="1485" spans="1:41" x14ac:dyDescent="0.35">
      <c r="A1485" t="s">
        <v>275</v>
      </c>
      <c r="B1485" t="s">
        <v>1111</v>
      </c>
      <c r="C1485" t="s">
        <v>1536</v>
      </c>
      <c r="D1485">
        <v>25</v>
      </c>
      <c r="E1485">
        <v>25</v>
      </c>
      <c r="F1485">
        <v>-1</v>
      </c>
      <c r="G1485">
        <v>-0.99992599999999998</v>
      </c>
      <c r="H1485">
        <v>12.1875</v>
      </c>
      <c r="J1485">
        <v>-6320</v>
      </c>
      <c r="N1485" t="s">
        <v>193</v>
      </c>
      <c r="O1485">
        <f t="shared" si="69"/>
        <v>10.002960000000002</v>
      </c>
      <c r="P1485">
        <f t="shared" si="70"/>
        <v>2.730674999999998</v>
      </c>
      <c r="Q1485">
        <f t="shared" si="71"/>
        <v>2.730674999999998</v>
      </c>
      <c r="Y1485">
        <f>TREND(H1479:H1483,G1479:G1483,G1485)</f>
        <v>12.070057187577582</v>
      </c>
      <c r="Z1485">
        <f>ABS((Y1485-H1485)/80*100)</f>
        <v>0.14680351552802229</v>
      </c>
      <c r="AH1485">
        <f>H1485-AG1451</f>
        <v>12.047899999999998</v>
      </c>
      <c r="AI1485">
        <f>100*(AH1485-O1485)/80</f>
        <v>2.5561749999999961</v>
      </c>
    </row>
    <row r="1486" spans="1:41" x14ac:dyDescent="0.35">
      <c r="A1486" t="s">
        <v>275</v>
      </c>
      <c r="B1486" t="s">
        <v>1111</v>
      </c>
      <c r="C1486" t="s">
        <v>1573</v>
      </c>
      <c r="D1486">
        <v>50</v>
      </c>
      <c r="E1486">
        <v>50</v>
      </c>
      <c r="F1486">
        <v>-1</v>
      </c>
      <c r="G1486">
        <v>-1.000448</v>
      </c>
      <c r="H1486">
        <v>10.604687500000001</v>
      </c>
      <c r="J1486">
        <v>3503</v>
      </c>
      <c r="N1486" t="s">
        <v>193</v>
      </c>
      <c r="O1486">
        <f t="shared" si="69"/>
        <v>9.9820799999999998</v>
      </c>
      <c r="P1486">
        <f t="shared" si="70"/>
        <v>0.77825937500000109</v>
      </c>
      <c r="Q1486">
        <f t="shared" si="71"/>
        <v>0.77825937500000109</v>
      </c>
      <c r="S1486">
        <v>49.917187499999997</v>
      </c>
      <c r="T1486">
        <v>-8.9765625000000071E-2</v>
      </c>
      <c r="U1486">
        <v>89.75</v>
      </c>
      <c r="V1486">
        <v>-0.31565000000000509</v>
      </c>
      <c r="W1486">
        <v>79.145312500000003</v>
      </c>
      <c r="X1486">
        <f>(W1486-80)/80*100</f>
        <v>-1.0683593749999964</v>
      </c>
      <c r="Y1486">
        <f>TREND(H1486:H1490,G1486:G1490,G1486)</f>
        <v>10.480449899255575</v>
      </c>
      <c r="Z1486">
        <f>ABS((Y1486-H1486)/80*100)</f>
        <v>0.15529700093053211</v>
      </c>
      <c r="AA1486">
        <f>MAX(Z1486:Z1490)</f>
        <v>0.19365241091506391</v>
      </c>
      <c r="AB1486">
        <f>IF(ABS(MAX(P1486:P1492)) &gt; ABS(MIN(P1486:P1492)),MAX(P1486:P1492), MIN(P1486:P1492))</f>
        <v>0.77825937500000109</v>
      </c>
      <c r="AC1486">
        <f>IF(ABS(AB1487)&gt;ABS(AB1486),AB1487,AB1486)</f>
        <v>0.77825937500000109</v>
      </c>
      <c r="AH1486">
        <f>H1486-AG1451</f>
        <v>10.465087499999999</v>
      </c>
      <c r="AI1486">
        <f>100*(AH1486-O1486)/80</f>
        <v>0.60375937499999921</v>
      </c>
      <c r="AJ1486">
        <v>49.777587499999996</v>
      </c>
      <c r="AK1486">
        <v>-0.26426562500000195</v>
      </c>
      <c r="AL1486">
        <v>89.610399999999998</v>
      </c>
      <c r="AM1486">
        <v>-0.49015000000000697</v>
      </c>
      <c r="AN1486">
        <f>IF(ABS(MAX(AI1486:AI1492)) &gt; ABS(MIN(AI1486:AI1492)),MAX(AI1486:AI1492), MIN(AI1486:AI1492))</f>
        <v>0.60375937499999921</v>
      </c>
      <c r="AO1486">
        <f>IF(ABS(AN1487)&gt;ABS(AN1486),AN1487,AN1486)</f>
        <v>0.60375937499999921</v>
      </c>
    </row>
    <row r="1487" spans="1:41" x14ac:dyDescent="0.35">
      <c r="A1487" t="s">
        <v>275</v>
      </c>
      <c r="B1487" t="s">
        <v>1111</v>
      </c>
      <c r="C1487" t="s">
        <v>1609</v>
      </c>
      <c r="D1487">
        <v>50</v>
      </c>
      <c r="E1487">
        <v>50</v>
      </c>
      <c r="F1487">
        <v>-0.5</v>
      </c>
      <c r="G1487">
        <v>-0.50011000000000005</v>
      </c>
      <c r="H1487">
        <v>30.217187500000001</v>
      </c>
      <c r="J1487">
        <v>3546</v>
      </c>
      <c r="N1487" t="s">
        <v>193</v>
      </c>
      <c r="O1487">
        <f t="shared" si="69"/>
        <v>29.995599999999996</v>
      </c>
      <c r="P1487">
        <f t="shared" si="70"/>
        <v>0.27698437500000672</v>
      </c>
      <c r="Q1487">
        <f t="shared" si="71"/>
        <v>0.27698437500000672</v>
      </c>
      <c r="Y1487">
        <f>TREND(H1486:H1490,G1486:G1490,G1487)</f>
        <v>30.286235244050122</v>
      </c>
      <c r="Z1487">
        <f>ABS((Y1487-H1487)/80*100)</f>
        <v>8.6309680062650607E-2</v>
      </c>
      <c r="AB1487">
        <f>IF(ABS(T1486) &gt; ABS(V1486),T1486,V1486)</f>
        <v>-0.31565000000000509</v>
      </c>
      <c r="AH1487">
        <f>H1487-AG1451</f>
        <v>30.0775875</v>
      </c>
      <c r="AI1487">
        <f>100*(AH1487-O1487)/80</f>
        <v>0.10248437500000485</v>
      </c>
      <c r="AN1487">
        <f>IF(ABS(AK1486) &gt; ABS(AM1486),AK1486,AM1486)</f>
        <v>-0.49015000000000697</v>
      </c>
    </row>
    <row r="1488" spans="1:41" x14ac:dyDescent="0.35">
      <c r="A1488" t="s">
        <v>275</v>
      </c>
      <c r="B1488" t="s">
        <v>1111</v>
      </c>
      <c r="C1488" t="s">
        <v>1646</v>
      </c>
      <c r="D1488">
        <v>50</v>
      </c>
      <c r="E1488">
        <v>50</v>
      </c>
      <c r="F1488">
        <v>0</v>
      </c>
      <c r="G1488">
        <v>-2.7500000000000002E-4</v>
      </c>
      <c r="H1488">
        <v>49.917187499999997</v>
      </c>
      <c r="J1488">
        <v>3589</v>
      </c>
      <c r="N1488" t="s">
        <v>193</v>
      </c>
      <c r="O1488">
        <f t="shared" si="69"/>
        <v>49.988999999999997</v>
      </c>
      <c r="P1488">
        <f t="shared" si="70"/>
        <v>-8.9765625000000071E-2</v>
      </c>
      <c r="Q1488">
        <f t="shared" si="71"/>
        <v>8.9765625000000071E-2</v>
      </c>
      <c r="Y1488">
        <f>TREND(H1486:H1490,G1486:G1490,G1488)</f>
        <v>50.072109428732048</v>
      </c>
      <c r="Z1488">
        <f>ABS((Y1488-H1488)/80*100)</f>
        <v>0.19365241091506391</v>
      </c>
      <c r="AH1488">
        <f>H1488-AG1451</f>
        <v>49.777587499999996</v>
      </c>
      <c r="AI1488">
        <f>100*(AH1488-O1488)/80</f>
        <v>-0.26426562500000195</v>
      </c>
    </row>
    <row r="1489" spans="1:41" x14ac:dyDescent="0.35">
      <c r="A1489" t="s">
        <v>275</v>
      </c>
      <c r="B1489" t="s">
        <v>1111</v>
      </c>
      <c r="C1489" t="s">
        <v>1683</v>
      </c>
      <c r="D1489">
        <v>50</v>
      </c>
      <c r="E1489">
        <v>50</v>
      </c>
      <c r="F1489">
        <v>0.5</v>
      </c>
      <c r="G1489">
        <v>0.49991799999999997</v>
      </c>
      <c r="H1489">
        <v>69.892187500000006</v>
      </c>
      <c r="J1489">
        <v>3624</v>
      </c>
      <c r="N1489" t="s">
        <v>193</v>
      </c>
      <c r="O1489">
        <f t="shared" si="69"/>
        <v>69.99672000000001</v>
      </c>
      <c r="P1489">
        <f t="shared" si="70"/>
        <v>-0.130665625000006</v>
      </c>
      <c r="Q1489">
        <f t="shared" si="71"/>
        <v>0.130665625000006</v>
      </c>
      <c r="Y1489">
        <f>TREND(H1486:H1490,G1486:G1490,G1489)</f>
        <v>69.872154975879809</v>
      </c>
      <c r="Z1489">
        <f>ABS((Y1489-H1489)/80*100)</f>
        <v>2.5040655150245787E-2</v>
      </c>
      <c r="AH1489">
        <f>H1489-AG1451</f>
        <v>69.752587500000004</v>
      </c>
      <c r="AI1489">
        <f>100*(AH1489-O1489)/80</f>
        <v>-0.30516562500000788</v>
      </c>
    </row>
    <row r="1490" spans="1:41" x14ac:dyDescent="0.35">
      <c r="A1490" t="s">
        <v>275</v>
      </c>
      <c r="B1490" t="s">
        <v>1111</v>
      </c>
      <c r="C1490" t="s">
        <v>1720</v>
      </c>
      <c r="D1490">
        <v>50</v>
      </c>
      <c r="E1490">
        <v>50</v>
      </c>
      <c r="F1490">
        <v>1</v>
      </c>
      <c r="G1490">
        <v>1.0000629999999999</v>
      </c>
      <c r="H1490">
        <v>89.75</v>
      </c>
      <c r="J1490">
        <v>3656</v>
      </c>
      <c r="N1490" t="s">
        <v>193</v>
      </c>
      <c r="O1490">
        <f t="shared" si="69"/>
        <v>90.002520000000004</v>
      </c>
      <c r="P1490">
        <f t="shared" si="70"/>
        <v>-0.31565000000000509</v>
      </c>
      <c r="Q1490">
        <f t="shared" si="71"/>
        <v>0.31565000000000509</v>
      </c>
      <c r="Y1490">
        <f>TREND(H1486:H1490,G1486:G1490,G1490)</f>
        <v>89.670300452082444</v>
      </c>
      <c r="Z1490">
        <f>ABS((Y1490-H1490)/80*100)</f>
        <v>9.9624434896945502E-2</v>
      </c>
      <c r="AH1490">
        <f>H1490-AG1451</f>
        <v>89.610399999999998</v>
      </c>
      <c r="AI1490">
        <f>100*(AH1490-O1490)/80</f>
        <v>-0.49015000000000697</v>
      </c>
    </row>
    <row r="1491" spans="1:41" x14ac:dyDescent="0.35">
      <c r="A1491" t="s">
        <v>275</v>
      </c>
      <c r="B1491" t="s">
        <v>1111</v>
      </c>
      <c r="C1491" t="s">
        <v>1756</v>
      </c>
      <c r="D1491">
        <v>50</v>
      </c>
      <c r="E1491">
        <v>50</v>
      </c>
      <c r="F1491">
        <v>0</v>
      </c>
      <c r="G1491">
        <v>1.5E-5</v>
      </c>
      <c r="H1491">
        <v>49.9921875</v>
      </c>
      <c r="J1491">
        <v>3682</v>
      </c>
      <c r="N1491" t="s">
        <v>193</v>
      </c>
      <c r="O1491">
        <f t="shared" si="69"/>
        <v>50.000600000000006</v>
      </c>
      <c r="P1491">
        <f t="shared" si="70"/>
        <v>-1.0515625000007134E-2</v>
      </c>
      <c r="Q1491">
        <f t="shared" si="71"/>
        <v>1.0515625000007134E-2</v>
      </c>
      <c r="Y1491">
        <f>TREND(H1486:H1490,G1486:G1490,G1491)</f>
        <v>50.083589024025606</v>
      </c>
      <c r="Z1491">
        <f>ABS((Y1491-H1491)/80*100)</f>
        <v>0.11425190503200788</v>
      </c>
      <c r="AH1491">
        <f>H1491-AG1451</f>
        <v>49.852587499999998</v>
      </c>
      <c r="AI1491">
        <f>100*(AH1491-O1491)/80</f>
        <v>-0.18501562500000901</v>
      </c>
    </row>
    <row r="1492" spans="1:41" x14ac:dyDescent="0.35">
      <c r="A1492" t="s">
        <v>275</v>
      </c>
      <c r="B1492" t="s">
        <v>1111</v>
      </c>
      <c r="C1492" t="s">
        <v>1793</v>
      </c>
      <c r="D1492">
        <v>50</v>
      </c>
      <c r="E1492">
        <v>50</v>
      </c>
      <c r="F1492">
        <v>-1</v>
      </c>
      <c r="G1492">
        <v>-1.0001139999999999</v>
      </c>
      <c r="H1492">
        <v>10.396875</v>
      </c>
      <c r="J1492">
        <v>3706</v>
      </c>
      <c r="N1492" t="s">
        <v>193</v>
      </c>
      <c r="O1492">
        <f t="shared" si="69"/>
        <v>9.9954400000000021</v>
      </c>
      <c r="P1492">
        <f t="shared" si="70"/>
        <v>0.50179374999999693</v>
      </c>
      <c r="Q1492">
        <f t="shared" si="71"/>
        <v>0.50179374999999693</v>
      </c>
      <c r="Y1492">
        <f>TREND(H1486:H1490,G1486:G1490,G1492)</f>
        <v>10.49367122624885</v>
      </c>
      <c r="Z1492">
        <f>ABS((Y1492-H1492)/80*100)</f>
        <v>0.12099528281106277</v>
      </c>
      <c r="AH1492">
        <f>H1492-AG1451</f>
        <v>10.257274999999998</v>
      </c>
      <c r="AI1492">
        <f>100*(AH1492-O1492)/80</f>
        <v>0.32729374999999505</v>
      </c>
    </row>
    <row r="1493" spans="1:41" x14ac:dyDescent="0.35">
      <c r="A1493" t="s">
        <v>275</v>
      </c>
      <c r="B1493" t="s">
        <v>1111</v>
      </c>
      <c r="C1493" t="s">
        <v>1830</v>
      </c>
      <c r="D1493">
        <v>70</v>
      </c>
      <c r="E1493">
        <v>70</v>
      </c>
      <c r="F1493">
        <v>-1</v>
      </c>
      <c r="G1493">
        <v>-1.0002230000000001</v>
      </c>
      <c r="H1493">
        <v>9.4749999999999996</v>
      </c>
      <c r="J1493">
        <v>11689</v>
      </c>
      <c r="N1493" t="s">
        <v>193</v>
      </c>
      <c r="O1493">
        <f t="shared" si="69"/>
        <v>9.9910799999999966</v>
      </c>
      <c r="P1493">
        <f t="shared" si="70"/>
        <v>-0.64509999999999623</v>
      </c>
      <c r="Q1493">
        <f t="shared" si="71"/>
        <v>0.64509999999999623</v>
      </c>
      <c r="S1493">
        <v>49.215625000000003</v>
      </c>
      <c r="T1493">
        <v>-0.9796187499999931</v>
      </c>
      <c r="U1493">
        <v>89.1640625</v>
      </c>
      <c r="V1493">
        <v>-1.0410718749999859</v>
      </c>
      <c r="W1493">
        <v>79.689062500000006</v>
      </c>
      <c r="X1493">
        <f>(W1493-80)/80*100</f>
        <v>-0.38867187499999289</v>
      </c>
      <c r="Y1493">
        <f>TREND(H1493:H1497,G1493:G1497,G1493)</f>
        <v>9.3886363370991646</v>
      </c>
      <c r="Z1493">
        <f>ABS((Y1493-H1493)/80*100)</f>
        <v>0.10795457862604387</v>
      </c>
      <c r="AA1493">
        <f>MAX(Z1493:Z1497)</f>
        <v>0.11178236295764864</v>
      </c>
      <c r="AB1493">
        <f>IF(ABS(MAX(P1493:P1499)) &gt; ABS(MIN(P1493:P1499)),MAX(P1493:P1499), MIN(P1493:P1499))</f>
        <v>-1.0717125000000038</v>
      </c>
      <c r="AC1493">
        <f>IF(ABS(AB1494)&gt;ABS(AB1493),AB1494,AB1493)</f>
        <v>-1.0717125000000038</v>
      </c>
      <c r="AH1493">
        <f>H1493-AG1451</f>
        <v>9.3353999999999981</v>
      </c>
      <c r="AI1493">
        <f>100*(AH1493-O1493)/80</f>
        <v>-0.819599999999998</v>
      </c>
      <c r="AJ1493">
        <v>49.076025000000001</v>
      </c>
      <c r="AK1493">
        <v>-1.154118749999995</v>
      </c>
      <c r="AL1493">
        <v>89.024462499999998</v>
      </c>
      <c r="AM1493">
        <v>-1.2155718749999878</v>
      </c>
      <c r="AN1493">
        <f>IF(ABS(MAX(AI1493:AI1499)) &gt; ABS(MIN(AI1493:AI1499)),MAX(AI1493:AI1499), MIN(AI1493:AI1499))</f>
        <v>-1.2462125000000057</v>
      </c>
      <c r="AO1493">
        <f>IF(ABS(AN1494)&gt;ABS(AN1493),AN1494,AN1493)</f>
        <v>-1.2462125000000057</v>
      </c>
    </row>
    <row r="1494" spans="1:41" x14ac:dyDescent="0.35">
      <c r="A1494" t="s">
        <v>275</v>
      </c>
      <c r="B1494" t="s">
        <v>1111</v>
      </c>
      <c r="C1494" t="s">
        <v>1867</v>
      </c>
      <c r="D1494">
        <v>70</v>
      </c>
      <c r="E1494">
        <v>70</v>
      </c>
      <c r="F1494">
        <v>-0.5</v>
      </c>
      <c r="G1494">
        <v>-0.49991200000000002</v>
      </c>
      <c r="H1494">
        <v>29.246874999999999</v>
      </c>
      <c r="J1494">
        <v>11720</v>
      </c>
      <c r="N1494" t="s">
        <v>193</v>
      </c>
      <c r="O1494">
        <f t="shared" si="69"/>
        <v>30.003519999999998</v>
      </c>
      <c r="P1494">
        <f t="shared" si="70"/>
        <v>-0.94580624999999863</v>
      </c>
      <c r="Q1494">
        <f t="shared" si="71"/>
        <v>0.94580624999999863</v>
      </c>
      <c r="Y1494">
        <f>TREND(H1493:H1497,G1493:G1497,G1494)</f>
        <v>29.336300890366118</v>
      </c>
      <c r="Z1494">
        <f>ABS((Y1494-H1494)/80*100)</f>
        <v>0.11178236295764864</v>
      </c>
      <c r="AB1494">
        <f>IF(ABS(T1493) &gt; ABS(V1493),T1493,V1493)</f>
        <v>-1.0410718749999859</v>
      </c>
      <c r="AH1494">
        <f>H1494-AG1451</f>
        <v>29.107274999999998</v>
      </c>
      <c r="AI1494">
        <f>100*(AH1494-O1494)/80</f>
        <v>-1.1203062500000005</v>
      </c>
      <c r="AN1494">
        <f>IF(ABS(AK1493) &gt; ABS(AM1493),AK1493,AM1493)</f>
        <v>-1.2155718749999878</v>
      </c>
    </row>
    <row r="1495" spans="1:41" x14ac:dyDescent="0.35">
      <c r="A1495" t="s">
        <v>275</v>
      </c>
      <c r="B1495" t="s">
        <v>1111</v>
      </c>
      <c r="C1495" t="s">
        <v>1904</v>
      </c>
      <c r="D1495">
        <v>70</v>
      </c>
      <c r="E1495">
        <v>70</v>
      </c>
      <c r="F1495">
        <v>0</v>
      </c>
      <c r="G1495">
        <v>-1.7E-5</v>
      </c>
      <c r="H1495">
        <v>49.215625000000003</v>
      </c>
      <c r="J1495">
        <v>11754</v>
      </c>
      <c r="N1495" t="s">
        <v>193</v>
      </c>
      <c r="O1495">
        <f t="shared" si="69"/>
        <v>49.999319999999997</v>
      </c>
      <c r="P1495">
        <f t="shared" si="70"/>
        <v>-0.9796187499999931</v>
      </c>
      <c r="Q1495">
        <f t="shared" si="71"/>
        <v>0.9796187499999931</v>
      </c>
      <c r="Y1495">
        <f>TREND(H1493:H1497,G1493:G1497,G1495)</f>
        <v>49.267379303304033</v>
      </c>
      <c r="Z1495">
        <f>ABS((Y1495-H1495)/80*100)</f>
        <v>6.4692879130037184E-2</v>
      </c>
      <c r="AH1495">
        <f>H1495-AG1451</f>
        <v>49.076025000000001</v>
      </c>
      <c r="AI1495">
        <f>100*(AH1495-O1495)/80</f>
        <v>-1.154118749999995</v>
      </c>
    </row>
    <row r="1496" spans="1:41" x14ac:dyDescent="0.35">
      <c r="A1496" t="s">
        <v>275</v>
      </c>
      <c r="B1496" t="s">
        <v>1111</v>
      </c>
      <c r="C1496" t="s">
        <v>1940</v>
      </c>
      <c r="D1496">
        <v>70</v>
      </c>
      <c r="E1496">
        <v>70</v>
      </c>
      <c r="F1496">
        <v>0.5</v>
      </c>
      <c r="G1496">
        <v>0.49992399999999998</v>
      </c>
      <c r="H1496">
        <v>69.2265625</v>
      </c>
      <c r="J1496">
        <v>11787</v>
      </c>
      <c r="N1496" t="s">
        <v>193</v>
      </c>
      <c r="O1496">
        <f t="shared" si="69"/>
        <v>69.996960000000001</v>
      </c>
      <c r="P1496">
        <f t="shared" si="70"/>
        <v>-0.96299687500000175</v>
      </c>
      <c r="Q1496">
        <f t="shared" si="71"/>
        <v>0.96299687500000175</v>
      </c>
      <c r="Y1496">
        <f>TREND(H1493:H1497,G1493:G1497,G1496)</f>
        <v>69.200291760605253</v>
      </c>
      <c r="Z1496">
        <f>ABS((Y1496-H1496)/80*100)</f>
        <v>3.2838424243433195E-2</v>
      </c>
      <c r="AH1496">
        <f>H1496-AG1451</f>
        <v>69.086962499999998</v>
      </c>
      <c r="AI1496">
        <f>100*(AH1496-O1496)/80</f>
        <v>-1.1374968750000036</v>
      </c>
    </row>
    <row r="1497" spans="1:41" x14ac:dyDescent="0.35">
      <c r="A1497" t="s">
        <v>275</v>
      </c>
      <c r="B1497" t="s">
        <v>1111</v>
      </c>
      <c r="C1497" t="s">
        <v>1977</v>
      </c>
      <c r="D1497">
        <v>70</v>
      </c>
      <c r="E1497">
        <v>70</v>
      </c>
      <c r="F1497">
        <v>1</v>
      </c>
      <c r="G1497">
        <v>0.99992300000000001</v>
      </c>
      <c r="H1497">
        <v>89.1640625</v>
      </c>
      <c r="J1497">
        <v>11813</v>
      </c>
      <c r="N1497" t="s">
        <v>193</v>
      </c>
      <c r="O1497">
        <f t="shared" si="69"/>
        <v>89.996919999999989</v>
      </c>
      <c r="P1497">
        <f t="shared" si="70"/>
        <v>-1.0410718749999859</v>
      </c>
      <c r="Q1497">
        <f t="shared" si="71"/>
        <v>1.0410718749999859</v>
      </c>
      <c r="Y1497">
        <f>TREND(H1493:H1497,G1493:G1497,G1497)</f>
        <v>89.135516708625431</v>
      </c>
      <c r="Z1497">
        <f>ABS((Y1497-H1497)/80*100)</f>
        <v>3.5682239218211009E-2</v>
      </c>
      <c r="AH1497">
        <f>H1497-AG1451</f>
        <v>89.024462499999998</v>
      </c>
      <c r="AI1497">
        <f>100*(AH1497-O1497)/80</f>
        <v>-1.2155718749999878</v>
      </c>
    </row>
    <row r="1498" spans="1:41" x14ac:dyDescent="0.35">
      <c r="A1498" t="s">
        <v>275</v>
      </c>
      <c r="B1498" t="s">
        <v>1111</v>
      </c>
      <c r="C1498" t="s">
        <v>2013</v>
      </c>
      <c r="D1498">
        <v>70</v>
      </c>
      <c r="E1498">
        <v>70</v>
      </c>
      <c r="F1498">
        <v>0</v>
      </c>
      <c r="G1498">
        <v>2.8E-5</v>
      </c>
      <c r="H1498">
        <v>49.143749999999997</v>
      </c>
      <c r="J1498">
        <v>11841</v>
      </c>
      <c r="N1498" t="s">
        <v>193</v>
      </c>
      <c r="O1498">
        <f t="shared" si="69"/>
        <v>50.00112</v>
      </c>
      <c r="P1498">
        <f t="shared" si="70"/>
        <v>-1.0717125000000038</v>
      </c>
      <c r="Q1498">
        <f t="shared" si="71"/>
        <v>1.0717125000000038</v>
      </c>
      <c r="Y1498">
        <f>TREND(H1493:H1497,G1493:G1497,G1498)</f>
        <v>49.269173477137706</v>
      </c>
      <c r="Z1498">
        <f>ABS((Y1498-H1498)/80*100)</f>
        <v>0.15677934642213565</v>
      </c>
      <c r="AH1498">
        <f>H1498-AG1451</f>
        <v>49.004149999999996</v>
      </c>
      <c r="AI1498">
        <f>100*(AH1498-O1498)/80</f>
        <v>-1.2462125000000057</v>
      </c>
    </row>
    <row r="1499" spans="1:41" x14ac:dyDescent="0.35">
      <c r="A1499" t="s">
        <v>275</v>
      </c>
      <c r="B1499" t="s">
        <v>1111</v>
      </c>
      <c r="C1499" t="s">
        <v>2050</v>
      </c>
      <c r="D1499">
        <v>70</v>
      </c>
      <c r="E1499">
        <v>70</v>
      </c>
      <c r="F1499">
        <v>-1</v>
      </c>
      <c r="G1499">
        <v>-1.0000039999999999</v>
      </c>
      <c r="H1499">
        <v>9.4078125000000004</v>
      </c>
      <c r="J1499">
        <v>11867</v>
      </c>
      <c r="N1499" t="s">
        <v>193</v>
      </c>
      <c r="O1499">
        <f t="shared" si="69"/>
        <v>9.9998400000000043</v>
      </c>
      <c r="P1499">
        <f t="shared" si="70"/>
        <v>-0.74003437500000491</v>
      </c>
      <c r="Q1499">
        <f t="shared" si="71"/>
        <v>0.74003437500000491</v>
      </c>
      <c r="Y1499">
        <f>TREND(H1493:H1497,G1493:G1497,G1499)</f>
        <v>9.3973679830897012</v>
      </c>
      <c r="Z1499">
        <f>ABS((Y1499-H1499)/80*100)</f>
        <v>1.3055646137873911E-2</v>
      </c>
      <c r="AH1499">
        <f>H1499-AG1451</f>
        <v>9.2682124999999989</v>
      </c>
      <c r="AI1499">
        <f>100*(AH1499-O1499)/80</f>
        <v>-0.91453437500000678</v>
      </c>
    </row>
    <row r="1500" spans="1:41" x14ac:dyDescent="0.35">
      <c r="A1500" t="s">
        <v>275</v>
      </c>
      <c r="B1500" t="s">
        <v>1111</v>
      </c>
      <c r="C1500" t="s">
        <v>2086</v>
      </c>
      <c r="D1500">
        <v>85</v>
      </c>
      <c r="E1500">
        <v>85</v>
      </c>
      <c r="F1500">
        <v>-1</v>
      </c>
      <c r="G1500">
        <v>-1.0000610000000001</v>
      </c>
      <c r="H1500">
        <v>9.6031250000000004</v>
      </c>
      <c r="J1500">
        <v>17855</v>
      </c>
      <c r="N1500" t="s">
        <v>193</v>
      </c>
      <c r="O1500">
        <f t="shared" si="69"/>
        <v>9.9975599999999964</v>
      </c>
      <c r="P1500">
        <f t="shared" si="70"/>
        <v>-0.49304374999999512</v>
      </c>
      <c r="Q1500">
        <f t="shared" si="71"/>
        <v>0.49304374999999512</v>
      </c>
      <c r="S1500">
        <v>49.282812499999999</v>
      </c>
      <c r="T1500">
        <v>-0.90573437500000686</v>
      </c>
      <c r="U1500">
        <v>89.245312499999997</v>
      </c>
      <c r="V1500">
        <v>-0.94015937500000035</v>
      </c>
      <c r="W1500">
        <v>79.642190551757807</v>
      </c>
      <c r="X1500">
        <f>(W1500-80)/80*100</f>
        <v>-0.44726181030274148</v>
      </c>
      <c r="Y1500">
        <f>TREND(H1500:H1504,G1500:G1504,G1500)</f>
        <v>9.5237558319025908</v>
      </c>
      <c r="Z1500">
        <f>ABS((Y1500-H1500)/80*100)</f>
        <v>9.9211460121761963E-2</v>
      </c>
      <c r="AA1500">
        <f>MAX(Z1500:Z1504)</f>
        <v>0.11759483955727569</v>
      </c>
      <c r="AB1500">
        <f>IF(ABS(MAX(P1500:P1506)) &gt; ABS(MIN(P1500:P1506)),MAX(P1500:P1506), MIN(P1500:P1506))</f>
        <v>-0.94015937500000035</v>
      </c>
      <c r="AC1500">
        <f>IF(ABS(AB1501)&gt;ABS(AB1500),AB1501,AB1500)</f>
        <v>-0.94015937500000035</v>
      </c>
      <c r="AH1500">
        <f>H1500-AG1451</f>
        <v>9.4635249999999989</v>
      </c>
      <c r="AI1500">
        <f>100*(AH1500-O1500)/80</f>
        <v>-0.66754374999999699</v>
      </c>
      <c r="AJ1500">
        <v>49.143212499999997</v>
      </c>
      <c r="AK1500">
        <v>-1.0802343750000087</v>
      </c>
      <c r="AL1500">
        <v>89.105712499999996</v>
      </c>
      <c r="AM1500">
        <v>-1.1146593750000022</v>
      </c>
      <c r="AN1500">
        <f>IF(ABS(MAX(AI1500:AI1506)) &gt; ABS(MIN(AI1500:AI1506)),MAX(AI1500:AI1506), MIN(AI1500:AI1506))</f>
        <v>-1.1146593750000022</v>
      </c>
      <c r="AO1500">
        <f>IF(ABS(AN1501)&gt;ABS(AN1500),AN1501,AN1500)</f>
        <v>-1.1146593750000022</v>
      </c>
    </row>
    <row r="1501" spans="1:41" x14ac:dyDescent="0.35">
      <c r="A1501" t="s">
        <v>275</v>
      </c>
      <c r="B1501" t="s">
        <v>1111</v>
      </c>
      <c r="C1501" t="s">
        <v>2122</v>
      </c>
      <c r="D1501">
        <v>85</v>
      </c>
      <c r="E1501">
        <v>85</v>
      </c>
      <c r="F1501">
        <v>-0.5</v>
      </c>
      <c r="G1501">
        <v>-0.499832</v>
      </c>
      <c r="H1501">
        <v>29.4</v>
      </c>
      <c r="J1501">
        <v>17883</v>
      </c>
      <c r="N1501" t="s">
        <v>193</v>
      </c>
      <c r="O1501">
        <f t="shared" si="69"/>
        <v>30.006719999999998</v>
      </c>
      <c r="P1501">
        <f t="shared" si="70"/>
        <v>-0.75839999999999907</v>
      </c>
      <c r="Q1501">
        <f t="shared" si="71"/>
        <v>0.75839999999999907</v>
      </c>
      <c r="Y1501">
        <f>TREND(H1500:H1504,G1500:G1504,G1501)</f>
        <v>29.454545494868718</v>
      </c>
      <c r="Z1501">
        <f>ABS((Y1501-H1501)/80*100)</f>
        <v>6.8181868585899252E-2</v>
      </c>
      <c r="AB1501">
        <f>IF(ABS(T1500) &gt; ABS(V1500),T1500,V1500)</f>
        <v>-0.94015937500000035</v>
      </c>
      <c r="AH1501">
        <f>H1501-AG1451</f>
        <v>29.260399999999997</v>
      </c>
      <c r="AI1501">
        <f>100*(AH1501-O1501)/80</f>
        <v>-0.93290000000000095</v>
      </c>
      <c r="AN1501">
        <f>IF(ABS(AK1500) &gt; ABS(AM1500),AK1500,AM1500)</f>
        <v>-1.1146593750000022</v>
      </c>
    </row>
    <row r="1502" spans="1:41" x14ac:dyDescent="0.35">
      <c r="A1502" t="s">
        <v>275</v>
      </c>
      <c r="B1502" t="s">
        <v>1111</v>
      </c>
      <c r="C1502" t="s">
        <v>2158</v>
      </c>
      <c r="D1502">
        <v>85</v>
      </c>
      <c r="E1502">
        <v>85</v>
      </c>
      <c r="F1502">
        <v>0</v>
      </c>
      <c r="G1502">
        <v>1.85E-4</v>
      </c>
      <c r="H1502">
        <v>49.282812499999999</v>
      </c>
      <c r="J1502">
        <v>17907</v>
      </c>
      <c r="N1502" t="s">
        <v>193</v>
      </c>
      <c r="O1502">
        <f t="shared" si="69"/>
        <v>50.007400000000004</v>
      </c>
      <c r="P1502">
        <f t="shared" si="70"/>
        <v>-0.90573437500000686</v>
      </c>
      <c r="Q1502">
        <f t="shared" si="71"/>
        <v>0.90573437500000686</v>
      </c>
      <c r="Y1502">
        <f>TREND(H1500:H1504,G1500:G1504,G1502)</f>
        <v>49.376888371645819</v>
      </c>
      <c r="Z1502">
        <f>ABS((Y1502-H1502)/80*100)</f>
        <v>0.11759483955727569</v>
      </c>
      <c r="AH1502">
        <f>H1502-AG1451</f>
        <v>49.143212499999997</v>
      </c>
      <c r="AI1502">
        <f>100*(AH1502-O1502)/80</f>
        <v>-1.0802343750000087</v>
      </c>
    </row>
    <row r="1503" spans="1:41" x14ac:dyDescent="0.35">
      <c r="A1503" t="s">
        <v>275</v>
      </c>
      <c r="B1503" t="s">
        <v>1111</v>
      </c>
      <c r="C1503" t="s">
        <v>2195</v>
      </c>
      <c r="D1503">
        <v>85</v>
      </c>
      <c r="E1503">
        <v>85</v>
      </c>
      <c r="F1503">
        <v>0.5</v>
      </c>
      <c r="G1503">
        <v>0.49991099999999999</v>
      </c>
      <c r="H1503">
        <v>69.321875000000006</v>
      </c>
      <c r="J1503">
        <v>17928</v>
      </c>
      <c r="N1503" t="s">
        <v>193</v>
      </c>
      <c r="O1503">
        <f t="shared" si="69"/>
        <v>69.996440000000007</v>
      </c>
      <c r="P1503">
        <f t="shared" si="70"/>
        <v>-0.84320625000000149</v>
      </c>
      <c r="Q1503">
        <f t="shared" si="71"/>
        <v>0.84320625000000149</v>
      </c>
      <c r="Y1503">
        <f>TREND(H1500:H1504,G1500:G1504,G1503)</f>
        <v>69.287636839078559</v>
      </c>
      <c r="Z1503">
        <f>ABS((Y1503-H1503)/80*100)</f>
        <v>4.2797701151808809E-2</v>
      </c>
      <c r="AH1503">
        <f>H1503-AG1451</f>
        <v>69.182275000000004</v>
      </c>
      <c r="AI1503">
        <f>100*(AH1503-O1503)/80</f>
        <v>-1.0177062500000034</v>
      </c>
    </row>
    <row r="1504" spans="1:41" x14ac:dyDescent="0.35">
      <c r="A1504" t="s">
        <v>275</v>
      </c>
      <c r="B1504" t="s">
        <v>1111</v>
      </c>
      <c r="C1504" t="s">
        <v>2232</v>
      </c>
      <c r="D1504">
        <v>85</v>
      </c>
      <c r="E1504">
        <v>85</v>
      </c>
      <c r="F1504">
        <v>1</v>
      </c>
      <c r="G1504">
        <v>0.99993600000000005</v>
      </c>
      <c r="H1504">
        <v>89.245312499999997</v>
      </c>
      <c r="J1504">
        <v>17959</v>
      </c>
      <c r="N1504" t="s">
        <v>193</v>
      </c>
      <c r="O1504">
        <f t="shared" si="69"/>
        <v>89.997439999999997</v>
      </c>
      <c r="P1504">
        <f t="shared" si="70"/>
        <v>-0.94015937500000035</v>
      </c>
      <c r="Q1504">
        <f t="shared" si="71"/>
        <v>0.94015937500000035</v>
      </c>
      <c r="Y1504">
        <f>TREND(H1500:H1504,G1500:G1504,G1504)</f>
        <v>89.210298462504298</v>
      </c>
      <c r="Z1504">
        <f>ABS((Y1504-H1504)/80*100)</f>
        <v>4.3767546869624141E-2</v>
      </c>
      <c r="AH1504">
        <f>H1504-AG1451</f>
        <v>89.105712499999996</v>
      </c>
      <c r="AI1504">
        <f>100*(AH1504-O1504)/80</f>
        <v>-1.1146593750000022</v>
      </c>
    </row>
    <row r="1505" spans="1:41" x14ac:dyDescent="0.35">
      <c r="A1505" t="s">
        <v>275</v>
      </c>
      <c r="B1505" t="s">
        <v>1111</v>
      </c>
      <c r="C1505" t="s">
        <v>2268</v>
      </c>
      <c r="D1505">
        <v>85</v>
      </c>
      <c r="E1505">
        <v>85</v>
      </c>
      <c r="F1505">
        <v>0</v>
      </c>
      <c r="G1505">
        <v>1.36E-4</v>
      </c>
      <c r="H1505">
        <v>49.34375</v>
      </c>
      <c r="J1505">
        <v>17974</v>
      </c>
      <c r="N1505" t="s">
        <v>193</v>
      </c>
      <c r="O1505">
        <f t="shared" si="69"/>
        <v>50.005439999999993</v>
      </c>
      <c r="P1505">
        <f t="shared" si="70"/>
        <v>-0.82711249999999126</v>
      </c>
      <c r="Q1505">
        <f t="shared" si="71"/>
        <v>0.82711249999999126</v>
      </c>
      <c r="Y1505">
        <f>TREND(H1500:H1504,G1500:G1504,G1505)</f>
        <v>49.374936048422882</v>
      </c>
      <c r="Z1505">
        <f>ABS((Y1505-H1505)/80*100)</f>
        <v>3.898256052860205E-2</v>
      </c>
      <c r="AH1505">
        <f>H1505-AG1451</f>
        <v>49.204149999999998</v>
      </c>
      <c r="AI1505">
        <f>100*(AH1505-O1505)/80</f>
        <v>-1.0016124999999931</v>
      </c>
    </row>
    <row r="1506" spans="1:41" x14ac:dyDescent="0.35">
      <c r="A1506" t="s">
        <v>275</v>
      </c>
      <c r="B1506" t="s">
        <v>1111</v>
      </c>
      <c r="C1506" t="s">
        <v>2305</v>
      </c>
      <c r="D1506">
        <v>85</v>
      </c>
      <c r="E1506">
        <v>85</v>
      </c>
      <c r="F1506">
        <v>-1</v>
      </c>
      <c r="G1506">
        <v>-1.0002819999999999</v>
      </c>
      <c r="H1506">
        <v>9.7234374999999993</v>
      </c>
      <c r="J1506">
        <v>18002</v>
      </c>
      <c r="N1506" t="s">
        <v>193</v>
      </c>
      <c r="O1506">
        <f t="shared" si="69"/>
        <v>9.9887200000000043</v>
      </c>
      <c r="P1506">
        <f t="shared" si="70"/>
        <v>-0.33160312500000622</v>
      </c>
      <c r="Q1506">
        <f t="shared" si="71"/>
        <v>0.33160312500000622</v>
      </c>
      <c r="Y1506">
        <f>TREND(H1500:H1504,G1500:G1504,G1506)</f>
        <v>9.514950455733846</v>
      </c>
      <c r="Z1506">
        <f>ABS((Y1506-H1506)/80*100)</f>
        <v>0.2606088053326916</v>
      </c>
      <c r="AH1506">
        <f>H1506-AG1451</f>
        <v>9.5838374999999978</v>
      </c>
      <c r="AI1506">
        <f>100*(AH1506-O1506)/80</f>
        <v>-0.50610312500000809</v>
      </c>
    </row>
    <row r="1507" spans="1:41" x14ac:dyDescent="0.35">
      <c r="A1507" t="s">
        <v>275</v>
      </c>
      <c r="B1507" t="s">
        <v>1111</v>
      </c>
      <c r="C1507" t="s">
        <v>2342</v>
      </c>
      <c r="D1507">
        <v>25</v>
      </c>
      <c r="E1507">
        <v>25</v>
      </c>
      <c r="F1507">
        <v>-1</v>
      </c>
      <c r="G1507">
        <v>-1.0001990000000001</v>
      </c>
      <c r="H1507">
        <v>10.228125</v>
      </c>
      <c r="J1507">
        <v>-5353</v>
      </c>
      <c r="N1507" t="s">
        <v>193</v>
      </c>
      <c r="O1507">
        <f t="shared" si="69"/>
        <v>9.9920399999999976</v>
      </c>
      <c r="P1507">
        <f t="shared" si="70"/>
        <v>0.29510625000000346</v>
      </c>
      <c r="Q1507">
        <f t="shared" si="71"/>
        <v>0.29510625000000346</v>
      </c>
      <c r="S1507">
        <v>50.089062499999997</v>
      </c>
      <c r="T1507">
        <v>0.11852812499999921</v>
      </c>
      <c r="U1507">
        <v>89.939062500000006</v>
      </c>
      <c r="V1507">
        <v>-7.9021874999991581E-2</v>
      </c>
      <c r="W1507">
        <v>79.710939025878901</v>
      </c>
      <c r="X1507">
        <f>(W1507-80)/80*100</f>
        <v>-0.36132621765137429</v>
      </c>
      <c r="Y1507">
        <f>TREND(H1507:H1511,G1507:G1511,G1507)</f>
        <v>10.159061668396951</v>
      </c>
      <c r="Z1507">
        <f>ABS((Y1507-H1507)/80*100)</f>
        <v>8.6329164503811118E-2</v>
      </c>
      <c r="AA1507">
        <f>MAX(Z1507:Z1511)</f>
        <v>0.17125749957348724</v>
      </c>
      <c r="AB1507">
        <f>IF(ABS(MAX(P1507:P1513)) &gt; ABS(MIN(P1507:P1513)),MAX(P1507:P1513), MIN(P1507:P1513))</f>
        <v>0.32103749999999875</v>
      </c>
      <c r="AC1507">
        <f>IF(ABS(AB1508)&gt;ABS(AB1507),AB1508,AB1507)</f>
        <v>0.32103749999999875</v>
      </c>
      <c r="AH1507">
        <f>H1507-AG1451</f>
        <v>10.088524999999999</v>
      </c>
      <c r="AI1507">
        <f>100*(AH1507-O1507)/80</f>
        <v>0.12060625000000158</v>
      </c>
      <c r="AJ1507">
        <v>49.949462499999996</v>
      </c>
      <c r="AK1507">
        <v>-5.5971875000002669E-2</v>
      </c>
      <c r="AL1507">
        <v>89.799462500000004</v>
      </c>
      <c r="AM1507">
        <v>-0.25352187499999346</v>
      </c>
      <c r="AN1507">
        <f>IF(ABS(MAX(AI1507:AI1513)) &gt; ABS(MIN(AI1507:AI1513)),MAX(AI1507:AI1513), MIN(AI1507:AI1513))</f>
        <v>-0.25352187499999346</v>
      </c>
      <c r="AO1507">
        <f>IF(ABS(AN1508)&gt;ABS(AN1507),AN1508,AN1507)</f>
        <v>-0.25352187499999346</v>
      </c>
    </row>
    <row r="1508" spans="1:41" x14ac:dyDescent="0.35">
      <c r="A1508" t="s">
        <v>275</v>
      </c>
      <c r="B1508" t="s">
        <v>1111</v>
      </c>
      <c r="C1508" t="s">
        <v>2379</v>
      </c>
      <c r="D1508">
        <v>25</v>
      </c>
      <c r="E1508">
        <v>25</v>
      </c>
      <c r="F1508">
        <v>-0.5</v>
      </c>
      <c r="G1508">
        <v>-0.49941099999999999</v>
      </c>
      <c r="H1508">
        <v>30.0078125</v>
      </c>
      <c r="J1508">
        <v>-5421</v>
      </c>
      <c r="N1508" t="s">
        <v>193</v>
      </c>
      <c r="O1508">
        <f t="shared" si="69"/>
        <v>30.023559999999996</v>
      </c>
      <c r="P1508">
        <f t="shared" si="70"/>
        <v>-1.9684374999995313E-2</v>
      </c>
      <c r="Q1508">
        <f t="shared" si="71"/>
        <v>1.9684374999995313E-2</v>
      </c>
      <c r="Y1508">
        <f>TREND(H1507:H1511,G1507:G1511,G1508)</f>
        <v>30.14481849965879</v>
      </c>
      <c r="Z1508">
        <f>ABS((Y1508-H1508)/80*100)</f>
        <v>0.17125749957348724</v>
      </c>
      <c r="AB1508">
        <f>IF(ABS(T1507) &gt; ABS(V1507),T1507,V1507)</f>
        <v>0.11852812499999921</v>
      </c>
      <c r="AH1508">
        <f>H1508-AG1451</f>
        <v>29.868212499999998</v>
      </c>
      <c r="AI1508">
        <f>100*(AH1508-O1508)/80</f>
        <v>-0.19418437499999719</v>
      </c>
      <c r="AN1508">
        <f>IF(ABS(AK1507) &gt; ABS(AM1507),AK1507,AM1507)</f>
        <v>-0.25352187499999346</v>
      </c>
    </row>
    <row r="1509" spans="1:41" x14ac:dyDescent="0.35">
      <c r="A1509" t="s">
        <v>275</v>
      </c>
      <c r="B1509" t="s">
        <v>1111</v>
      </c>
      <c r="C1509" t="s">
        <v>2415</v>
      </c>
      <c r="D1509">
        <v>25</v>
      </c>
      <c r="E1509">
        <v>25</v>
      </c>
      <c r="F1509">
        <v>0</v>
      </c>
      <c r="G1509">
        <v>-1.44E-4</v>
      </c>
      <c r="H1509">
        <v>50.089062499999997</v>
      </c>
      <c r="J1509">
        <v>-5479</v>
      </c>
      <c r="N1509" t="s">
        <v>193</v>
      </c>
      <c r="O1509">
        <f t="shared" si="69"/>
        <v>49.994239999999998</v>
      </c>
      <c r="P1509">
        <f t="shared" si="70"/>
        <v>0.11852812499999921</v>
      </c>
      <c r="Q1509">
        <f t="shared" si="71"/>
        <v>0.11852812499999921</v>
      </c>
      <c r="Y1509">
        <f>TREND(H1507:H1511,G1507:G1511,G1509)</f>
        <v>50.069874323427733</v>
      </c>
      <c r="Z1509">
        <f>ABS((Y1509-H1509)/80*100)</f>
        <v>2.3985220715330158E-2</v>
      </c>
      <c r="AH1509">
        <f>H1509-AG1451</f>
        <v>49.949462499999996</v>
      </c>
      <c r="AI1509">
        <f>100*(AH1509-O1509)/80</f>
        <v>-5.5971875000002669E-2</v>
      </c>
    </row>
    <row r="1510" spans="1:41" x14ac:dyDescent="0.35">
      <c r="A1510" t="s">
        <v>275</v>
      </c>
      <c r="B1510" t="s">
        <v>1111</v>
      </c>
      <c r="C1510" t="s">
        <v>2452</v>
      </c>
      <c r="D1510">
        <v>25</v>
      </c>
      <c r="E1510">
        <v>25</v>
      </c>
      <c r="F1510">
        <v>0.5</v>
      </c>
      <c r="G1510">
        <v>0.50008900000000001</v>
      </c>
      <c r="H1510">
        <v>70.129687500000003</v>
      </c>
      <c r="J1510">
        <v>-5542</v>
      </c>
      <c r="N1510" t="s">
        <v>193</v>
      </c>
      <c r="O1510">
        <f t="shared" si="69"/>
        <v>70.003559999999993</v>
      </c>
      <c r="P1510">
        <f t="shared" si="70"/>
        <v>0.15765937500001215</v>
      </c>
      <c r="Q1510">
        <f t="shared" si="71"/>
        <v>0.15765937500001215</v>
      </c>
      <c r="Y1510">
        <f>TREND(H1507:H1511,G1507:G1511,G1510)</f>
        <v>70.033481871876575</v>
      </c>
      <c r="Z1510">
        <f>ABS((Y1510-H1510)/80*100)</f>
        <v>0.12025703515428532</v>
      </c>
      <c r="AH1510">
        <f>H1510-AG1451</f>
        <v>69.990087500000001</v>
      </c>
      <c r="AI1510">
        <f>100*(AH1510-O1510)/80</f>
        <v>-1.6840624999989728E-2</v>
      </c>
    </row>
    <row r="1511" spans="1:41" x14ac:dyDescent="0.35">
      <c r="A1511" t="s">
        <v>275</v>
      </c>
      <c r="B1511" t="s">
        <v>1111</v>
      </c>
      <c r="C1511" t="s">
        <v>2489</v>
      </c>
      <c r="D1511">
        <v>25</v>
      </c>
      <c r="E1511">
        <v>25</v>
      </c>
      <c r="F1511">
        <v>1</v>
      </c>
      <c r="G1511">
        <v>1.000057</v>
      </c>
      <c r="H1511">
        <v>89.939062500000006</v>
      </c>
      <c r="J1511">
        <v>-5598</v>
      </c>
      <c r="N1511" t="s">
        <v>193</v>
      </c>
      <c r="O1511">
        <f t="shared" si="69"/>
        <v>90.002279999999999</v>
      </c>
      <c r="P1511">
        <f t="shared" si="70"/>
        <v>-7.9021874999991581E-2</v>
      </c>
      <c r="Q1511">
        <f t="shared" si="71"/>
        <v>7.9021874999991581E-2</v>
      </c>
      <c r="Y1511">
        <f>TREND(H1507:H1511,G1507:G1511,G1511)</f>
        <v>89.986513636639955</v>
      </c>
      <c r="Z1511">
        <f>ABS((Y1511-H1511)/80*100)</f>
        <v>5.931392079993713E-2</v>
      </c>
      <c r="AH1511">
        <f>H1511-AG1451</f>
        <v>89.799462500000004</v>
      </c>
      <c r="AI1511">
        <f>100*(AH1511-O1511)/80</f>
        <v>-0.25352187499999346</v>
      </c>
    </row>
    <row r="1512" spans="1:41" x14ac:dyDescent="0.35">
      <c r="A1512" t="s">
        <v>275</v>
      </c>
      <c r="B1512" t="s">
        <v>1111</v>
      </c>
      <c r="C1512" t="s">
        <v>2526</v>
      </c>
      <c r="D1512">
        <v>25</v>
      </c>
      <c r="E1512">
        <v>25</v>
      </c>
      <c r="F1512">
        <v>0</v>
      </c>
      <c r="G1512">
        <v>-8.3999999999999995E-5</v>
      </c>
      <c r="H1512">
        <v>50.059375000000003</v>
      </c>
      <c r="J1512">
        <v>-5642</v>
      </c>
      <c r="N1512" t="s">
        <v>193</v>
      </c>
      <c r="O1512">
        <f t="shared" si="69"/>
        <v>49.996639999999999</v>
      </c>
      <c r="P1512">
        <f t="shared" si="70"/>
        <v>7.8418750000004422E-2</v>
      </c>
      <c r="Q1512">
        <f t="shared" si="71"/>
        <v>7.8418750000004422E-2</v>
      </c>
      <c r="Y1512">
        <f>TREND(H1507:H1511,G1507:G1511,G1512)</f>
        <v>50.072268840488597</v>
      </c>
      <c r="Z1512">
        <f>ABS((Y1512-H1512)/80*100)</f>
        <v>1.6117300610742902E-2</v>
      </c>
      <c r="AH1512">
        <f>H1512-AG1451</f>
        <v>49.919775000000001</v>
      </c>
      <c r="AI1512">
        <f>100*(AH1512-O1512)/80</f>
        <v>-9.6081249999997453E-2</v>
      </c>
    </row>
    <row r="1513" spans="1:41" x14ac:dyDescent="0.35">
      <c r="A1513" t="s">
        <v>275</v>
      </c>
      <c r="B1513" t="s">
        <v>1111</v>
      </c>
      <c r="C1513" t="s">
        <v>2561</v>
      </c>
      <c r="D1513">
        <v>25</v>
      </c>
      <c r="E1513">
        <v>25</v>
      </c>
      <c r="F1513">
        <v>-1</v>
      </c>
      <c r="G1513">
        <v>-1.000327</v>
      </c>
      <c r="H1513">
        <v>10.24375</v>
      </c>
      <c r="J1513">
        <v>-5685</v>
      </c>
      <c r="N1513" t="s">
        <v>193</v>
      </c>
      <c r="O1513">
        <f t="shared" si="69"/>
        <v>9.9869200000000014</v>
      </c>
      <c r="P1513">
        <f t="shared" si="70"/>
        <v>0.32103749999999875</v>
      </c>
      <c r="Q1513">
        <f t="shared" si="71"/>
        <v>0.32103749999999875</v>
      </c>
      <c r="Y1513">
        <f>TREND(H1507:H1511,G1507:G1511,G1513)</f>
        <v>10.153953365333777</v>
      </c>
      <c r="Z1513">
        <f>ABS((Y1513-H1513)/80*100)</f>
        <v>0.11224579333277916</v>
      </c>
      <c r="AH1513">
        <f>H1513-AG1451</f>
        <v>10.104149999999999</v>
      </c>
      <c r="AI1513">
        <f>100*(AH1513-O1513)/80</f>
        <v>0.14653749999999688</v>
      </c>
    </row>
    <row r="1514" spans="1:41" x14ac:dyDescent="0.35">
      <c r="A1514" t="s">
        <v>277</v>
      </c>
      <c r="B1514" t="s">
        <v>231</v>
      </c>
      <c r="C1514" t="s">
        <v>278</v>
      </c>
      <c r="D1514">
        <v>25</v>
      </c>
      <c r="E1514">
        <v>25</v>
      </c>
      <c r="F1514">
        <v>-1</v>
      </c>
      <c r="G1514">
        <v>-1.000084</v>
      </c>
      <c r="H1514">
        <v>10.112500000000001</v>
      </c>
      <c r="J1514">
        <v>-6247</v>
      </c>
      <c r="N1514" t="s">
        <v>194</v>
      </c>
      <c r="O1514">
        <f t="shared" si="69"/>
        <v>9.9966400000000011</v>
      </c>
      <c r="P1514">
        <f t="shared" si="70"/>
        <v>0.14482499999999954</v>
      </c>
      <c r="Q1514">
        <f t="shared" si="71"/>
        <v>0.14482499999999954</v>
      </c>
      <c r="S1514">
        <v>50.1015625</v>
      </c>
      <c r="T1514">
        <v>0.11395312500000365</v>
      </c>
      <c r="U1514">
        <v>90.306250000000006</v>
      </c>
      <c r="V1514">
        <v>0.38251250000001846</v>
      </c>
      <c r="W1514">
        <v>80.193751525878909</v>
      </c>
      <c r="X1514">
        <f>(W1514-80)/80*100</f>
        <v>0.24218940734863637</v>
      </c>
      <c r="Y1514">
        <f>TREND(H1514:H1518,G1514:G1518,G1514)</f>
        <v>10.015714592092095</v>
      </c>
      <c r="Z1514">
        <f>ABS((Y1514-H1514)/80*100)</f>
        <v>0.12098175988488169</v>
      </c>
      <c r="AA1514">
        <f>MAX(Z1514:Z1518)</f>
        <v>0.12814141656962708</v>
      </c>
      <c r="AB1514">
        <f>IF(ABS(MAX(P1514:P1520)) &gt; ABS(MIN(P1514:P1520)),MAX(P1514:P1520), MIN(P1514:P1520))</f>
        <v>0.38251250000001846</v>
      </c>
      <c r="AC1514">
        <f>IF(ABS(AB1515)&gt;ABS(AB1514),AB1515,AB1514)</f>
        <v>0.38251250000001846</v>
      </c>
      <c r="AD1514">
        <f>MAX(AD1515:AD1516)</f>
        <v>4.499062499999873E-2</v>
      </c>
      <c r="AE1514">
        <f>MAX(AE1515:AE1535)</f>
        <v>0.41568124999999734</v>
      </c>
      <c r="AF1514">
        <f>MAX(AD1514,AA1514)</f>
        <v>0.12814141656962708</v>
      </c>
      <c r="AG1514">
        <f>H1516-O1516</f>
        <v>9.1162500000002922E-2</v>
      </c>
      <c r="AH1514">
        <f>H1514-AG1514</f>
        <v>10.021337499999998</v>
      </c>
      <c r="AI1514">
        <f>100*(AH1514-O1514)/80</f>
        <v>3.0871874999995885E-2</v>
      </c>
      <c r="AJ1514">
        <v>50.010399999999997</v>
      </c>
      <c r="AK1514">
        <v>0</v>
      </c>
      <c r="AL1514">
        <v>90.21508750000001</v>
      </c>
      <c r="AM1514">
        <v>0.26855937500002369</v>
      </c>
      <c r="AN1514">
        <f>IF(ABS(MAX(AI1514:AI1520)) &gt; ABS(MIN(AI1514:AI1520)),MAX(AI1514:AI1520), MIN(AI1514:AI1520))</f>
        <v>0.26855937500002369</v>
      </c>
      <c r="AO1514">
        <f>IF(ABS(AN1515)&gt;ABS(AN1514),AN1515,AN1514)</f>
        <v>0.26855937500002369</v>
      </c>
    </row>
    <row r="1515" spans="1:41" x14ac:dyDescent="0.35">
      <c r="A1515" t="s">
        <v>277</v>
      </c>
      <c r="B1515" t="s">
        <v>231</v>
      </c>
      <c r="C1515" t="s">
        <v>330</v>
      </c>
      <c r="D1515">
        <v>25</v>
      </c>
      <c r="E1515">
        <v>25</v>
      </c>
      <c r="F1515">
        <v>-0.5</v>
      </c>
      <c r="G1515">
        <v>-0.50007999999999997</v>
      </c>
      <c r="H1515">
        <v>29.978124999999999</v>
      </c>
      <c r="J1515">
        <v>-6256</v>
      </c>
      <c r="N1515" t="s">
        <v>194</v>
      </c>
      <c r="O1515">
        <f t="shared" si="69"/>
        <v>29.9968</v>
      </c>
      <c r="P1515">
        <f t="shared" si="70"/>
        <v>-2.3343750000002217E-2</v>
      </c>
      <c r="Q1515">
        <f t="shared" si="71"/>
        <v>2.3343750000002217E-2</v>
      </c>
      <c r="Y1515">
        <f>TREND(H1514:H1518,G1514:G1518,G1515)</f>
        <v>30.0806381332557</v>
      </c>
      <c r="Z1515">
        <f>ABS((Y1515-H1515)/80*100)</f>
        <v>0.12814141656962708</v>
      </c>
      <c r="AB1515">
        <f>IF(ABS(T1514) &gt; ABS(V1514),T1514,V1514)</f>
        <v>0.38251250000001846</v>
      </c>
      <c r="AD1515">
        <f>ABS(P1516-P1519)</f>
        <v>4.499062499999873E-2</v>
      </c>
      <c r="AE1515">
        <f>ABS(P1542-P1514)</f>
        <v>7.1928124999993681E-2</v>
      </c>
      <c r="AH1515">
        <f>H1515-AG1514</f>
        <v>29.886962499999996</v>
      </c>
      <c r="AI1515">
        <f>100*(AH1515-O1515)/80</f>
        <v>-0.13729687500000587</v>
      </c>
      <c r="AN1515">
        <f>IF(ABS(AK1514) &gt; ABS(AM1514),AK1514,AM1514)</f>
        <v>0.26855937500002369</v>
      </c>
    </row>
    <row r="1516" spans="1:41" x14ac:dyDescent="0.35">
      <c r="A1516" t="s">
        <v>277</v>
      </c>
      <c r="B1516" t="s">
        <v>231</v>
      </c>
      <c r="C1516" t="s">
        <v>366</v>
      </c>
      <c r="D1516">
        <v>25</v>
      </c>
      <c r="E1516">
        <v>25</v>
      </c>
      <c r="F1516">
        <v>0</v>
      </c>
      <c r="G1516">
        <v>2.5999999999999998E-4</v>
      </c>
      <c r="H1516">
        <v>50.1015625</v>
      </c>
      <c r="J1516">
        <v>-6256</v>
      </c>
      <c r="N1516" t="s">
        <v>194</v>
      </c>
      <c r="O1516">
        <f t="shared" si="69"/>
        <v>50.010399999999997</v>
      </c>
      <c r="P1516">
        <f t="shared" si="70"/>
        <v>0.11395312500000365</v>
      </c>
      <c r="Q1516">
        <f t="shared" si="71"/>
        <v>0.11395312500000365</v>
      </c>
      <c r="Y1516">
        <f>TREND(H1514:H1518,G1514:G1518,G1516)</f>
        <v>50.159045195170798</v>
      </c>
      <c r="Z1516">
        <f>ABS((Y1516-H1516)/80*100)</f>
        <v>7.1853368963497033E-2</v>
      </c>
      <c r="AD1516">
        <f>ABS(P1514-P1520)</f>
        <v>1.4468749999994035E-2</v>
      </c>
      <c r="AE1516">
        <f>ABS(P1543-P1515)</f>
        <v>9.1687499999997257E-2</v>
      </c>
      <c r="AH1516">
        <f>H1516-AG1514</f>
        <v>50.010399999999997</v>
      </c>
      <c r="AI1516">
        <f>100*(AH1516-O1516)/80</f>
        <v>0</v>
      </c>
    </row>
    <row r="1517" spans="1:41" x14ac:dyDescent="0.35">
      <c r="A1517" t="s">
        <v>277</v>
      </c>
      <c r="B1517" t="s">
        <v>231</v>
      </c>
      <c r="C1517" t="s">
        <v>403</v>
      </c>
      <c r="D1517">
        <v>25</v>
      </c>
      <c r="E1517">
        <v>25</v>
      </c>
      <c r="F1517">
        <v>0.5</v>
      </c>
      <c r="G1517">
        <v>0.50007100000000004</v>
      </c>
      <c r="H1517">
        <v>70.251562500000006</v>
      </c>
      <c r="J1517">
        <v>-6243</v>
      </c>
      <c r="N1517" t="s">
        <v>194</v>
      </c>
      <c r="O1517">
        <f t="shared" si="69"/>
        <v>70.002840000000006</v>
      </c>
      <c r="P1517">
        <f t="shared" si="70"/>
        <v>0.31090312499999939</v>
      </c>
      <c r="Q1517">
        <f t="shared" si="71"/>
        <v>0.31090312499999939</v>
      </c>
      <c r="Y1517">
        <f>TREND(H1514:H1518,G1514:G1518,G1517)</f>
        <v>70.21622373780751</v>
      </c>
      <c r="Z1517">
        <f>ABS((Y1517-H1517)/80*100)</f>
        <v>4.4173452740619013E-2</v>
      </c>
      <c r="AE1517">
        <f>ABS(P1544-P1516)</f>
        <v>6.5184375000004735E-2</v>
      </c>
      <c r="AH1517">
        <f>H1517-AG1514</f>
        <v>70.16040000000001</v>
      </c>
      <c r="AI1517">
        <f>100*(AH1517-O1517)/80</f>
        <v>0.19695000000000462</v>
      </c>
    </row>
    <row r="1518" spans="1:41" x14ac:dyDescent="0.35">
      <c r="A1518" t="s">
        <v>277</v>
      </c>
      <c r="B1518" t="s">
        <v>231</v>
      </c>
      <c r="C1518" t="s">
        <v>440</v>
      </c>
      <c r="D1518">
        <v>25</v>
      </c>
      <c r="E1518">
        <v>25</v>
      </c>
      <c r="F1518">
        <v>1</v>
      </c>
      <c r="G1518">
        <v>1.000006</v>
      </c>
      <c r="H1518">
        <v>90.306250000000006</v>
      </c>
      <c r="J1518">
        <v>-6247</v>
      </c>
      <c r="N1518" t="s">
        <v>194</v>
      </c>
      <c r="O1518">
        <f t="shared" si="69"/>
        <v>90.000239999999991</v>
      </c>
      <c r="P1518">
        <f t="shared" si="70"/>
        <v>0.38251250000001846</v>
      </c>
      <c r="Q1518">
        <f t="shared" si="71"/>
        <v>0.38251250000001846</v>
      </c>
      <c r="Y1518">
        <f>TREND(H1514:H1518,G1514:G1518,G1518)</f>
        <v>90.278378341673914</v>
      </c>
      <c r="Z1518">
        <f>ABS((Y1518-H1518)/80*100)</f>
        <v>3.4839572907614524E-2</v>
      </c>
      <c r="AE1518">
        <f>ABS(P1545-P1517)</f>
        <v>0.14951874999999504</v>
      </c>
      <c r="AH1518">
        <f>H1518-AG1514</f>
        <v>90.21508750000001</v>
      </c>
      <c r="AI1518">
        <f>100*(AH1518-O1518)/80</f>
        <v>0.26855937500002369</v>
      </c>
    </row>
    <row r="1519" spans="1:41" x14ac:dyDescent="0.35">
      <c r="A1519" t="s">
        <v>277</v>
      </c>
      <c r="B1519" t="s">
        <v>231</v>
      </c>
      <c r="C1519" t="s">
        <v>477</v>
      </c>
      <c r="D1519">
        <v>25</v>
      </c>
      <c r="E1519">
        <v>25</v>
      </c>
      <c r="F1519">
        <v>0</v>
      </c>
      <c r="G1519">
        <v>-1.3200000000000001E-4</v>
      </c>
      <c r="H1519">
        <v>50.121875000000003</v>
      </c>
      <c r="J1519">
        <v>-6244</v>
      </c>
      <c r="N1519" t="s">
        <v>194</v>
      </c>
      <c r="O1519">
        <f t="shared" si="69"/>
        <v>49.994720000000001</v>
      </c>
      <c r="P1519">
        <f t="shared" si="70"/>
        <v>0.15894375000000238</v>
      </c>
      <c r="Q1519">
        <f t="shared" si="71"/>
        <v>0.15894375000000238</v>
      </c>
      <c r="Y1519">
        <f>TREND(H1514:H1518,G1514:G1518,G1519)</f>
        <v>50.143314420960721</v>
      </c>
      <c r="Z1519">
        <f>ABS((Y1519-H1519)/80*100)</f>
        <v>2.6799276200897285E-2</v>
      </c>
      <c r="AE1519">
        <f>ABS(P1546-P1518)</f>
        <v>4.5293750000006128E-2</v>
      </c>
      <c r="AH1519">
        <f>H1519-AG1514</f>
        <v>50.0307125</v>
      </c>
      <c r="AI1519">
        <f>100*(AH1519-O1519)/80</f>
        <v>4.499062499999873E-2</v>
      </c>
    </row>
    <row r="1520" spans="1:41" x14ac:dyDescent="0.35">
      <c r="A1520" t="s">
        <v>277</v>
      </c>
      <c r="B1520" t="s">
        <v>231</v>
      </c>
      <c r="C1520" t="s">
        <v>514</v>
      </c>
      <c r="D1520">
        <v>25</v>
      </c>
      <c r="E1520">
        <v>25</v>
      </c>
      <c r="F1520">
        <v>-1</v>
      </c>
      <c r="G1520">
        <v>-1.0001389999999999</v>
      </c>
      <c r="H1520">
        <v>10.121874999999999</v>
      </c>
      <c r="J1520">
        <v>-6238</v>
      </c>
      <c r="N1520" t="s">
        <v>194</v>
      </c>
      <c r="O1520">
        <f t="shared" si="69"/>
        <v>9.9944400000000044</v>
      </c>
      <c r="P1520">
        <f t="shared" si="70"/>
        <v>0.15929374999999357</v>
      </c>
      <c r="Q1520">
        <f t="shared" si="71"/>
        <v>0.15929374999999357</v>
      </c>
      <c r="Y1520">
        <f>TREND(H1514:H1518,G1514:G1518,G1520)</f>
        <v>10.01350746815956</v>
      </c>
      <c r="Z1520">
        <f>ABS((Y1520-H1520)/80*100)</f>
        <v>0.13545941480054946</v>
      </c>
      <c r="AE1520">
        <f>ABS(P1547-P1519)</f>
        <v>0.13873124999999931</v>
      </c>
      <c r="AH1520">
        <f>H1520-AG1514</f>
        <v>10.030712499999996</v>
      </c>
      <c r="AI1520">
        <f>100*(AH1520-O1520)/80</f>
        <v>4.534062499998992E-2</v>
      </c>
    </row>
    <row r="1521" spans="1:41" x14ac:dyDescent="0.35">
      <c r="A1521" t="s">
        <v>277</v>
      </c>
      <c r="B1521" t="s">
        <v>231</v>
      </c>
      <c r="C1521" t="s">
        <v>551</v>
      </c>
      <c r="D1521">
        <v>-20</v>
      </c>
      <c r="E1521">
        <v>-20.100000000000001</v>
      </c>
      <c r="F1521">
        <v>-1</v>
      </c>
      <c r="G1521">
        <v>-0.99998799999999999</v>
      </c>
      <c r="H1521">
        <v>11.723437499999999</v>
      </c>
      <c r="J1521">
        <v>-24603</v>
      </c>
      <c r="N1521" t="s">
        <v>194</v>
      </c>
      <c r="O1521">
        <f t="shared" si="69"/>
        <v>10.00048</v>
      </c>
      <c r="P1521">
        <f t="shared" si="70"/>
        <v>2.1536968749999996</v>
      </c>
      <c r="Q1521">
        <f t="shared" si="71"/>
        <v>2.1536968749999996</v>
      </c>
      <c r="S1521">
        <v>51.0859375</v>
      </c>
      <c r="T1521">
        <v>1.3692218749999974</v>
      </c>
      <c r="U1521">
        <v>91.037499999999994</v>
      </c>
      <c r="V1521">
        <v>1.2948249999999994</v>
      </c>
      <c r="W1521">
        <v>79.314060974121091</v>
      </c>
      <c r="X1521">
        <f>(W1521-80)/80*100</f>
        <v>-0.85742378234863648</v>
      </c>
      <c r="Y1521">
        <f>TREND(H1521:H1525,G1521:G1525,G1521)</f>
        <v>11.610309405790382</v>
      </c>
      <c r="Z1521">
        <f>ABS((Y1521-H1521)/80*100)</f>
        <v>0.14141011776202195</v>
      </c>
      <c r="AA1521">
        <f>MAX(Z1521:Z1525)</f>
        <v>0.21286502273338395</v>
      </c>
      <c r="AB1521">
        <f>IF(ABS(MAX(P1521:P1527)) &gt; ABS(MIN(P1521:P1527)),MAX(P1521:P1527), MIN(P1521:P1527))</f>
        <v>2.1536968749999996</v>
      </c>
      <c r="AC1521">
        <f>IF(ABS(AB1522)&gt;ABS(AB1521),AB1522,AB1521)</f>
        <v>2.1536968749999996</v>
      </c>
      <c r="AE1521">
        <f>ABS(P1548-P1520)</f>
        <v>0.18076249999999128</v>
      </c>
      <c r="AH1521">
        <f>H1521-AG1514</f>
        <v>11.632274999999996</v>
      </c>
      <c r="AI1521">
        <f>100*(AH1521-O1521)/80</f>
        <v>2.039743749999996</v>
      </c>
      <c r="AJ1521">
        <v>50.994774999999997</v>
      </c>
      <c r="AK1521">
        <v>1.2552687499999937</v>
      </c>
      <c r="AL1521">
        <v>90.946337499999998</v>
      </c>
      <c r="AM1521">
        <v>1.1808718750000047</v>
      </c>
      <c r="AN1521">
        <f>IF(ABS(MAX(AI1521:AI1527)) &gt; ABS(MIN(AI1521:AI1527)),MAX(AI1521:AI1527), MIN(AI1521:AI1527))</f>
        <v>2.039743749999996</v>
      </c>
      <c r="AO1521">
        <f>IF(ABS(AN1522)&gt;ABS(AN1521),AN1522,AN1521)</f>
        <v>2.039743749999996</v>
      </c>
    </row>
    <row r="1522" spans="1:41" x14ac:dyDescent="0.35">
      <c r="A1522" t="s">
        <v>277</v>
      </c>
      <c r="B1522" t="s">
        <v>231</v>
      </c>
      <c r="C1522" t="s">
        <v>588</v>
      </c>
      <c r="D1522">
        <v>-20</v>
      </c>
      <c r="E1522">
        <v>-20.100000000000001</v>
      </c>
      <c r="F1522">
        <v>-0.5</v>
      </c>
      <c r="G1522">
        <v>-0.50010699999999997</v>
      </c>
      <c r="H1522">
        <v>31.40625</v>
      </c>
      <c r="J1522">
        <v>-24619</v>
      </c>
      <c r="N1522" t="s">
        <v>194</v>
      </c>
      <c r="O1522">
        <f t="shared" si="69"/>
        <v>29.995720000000002</v>
      </c>
      <c r="P1522">
        <f t="shared" si="70"/>
        <v>1.7631624999999971</v>
      </c>
      <c r="Q1522">
        <f t="shared" si="71"/>
        <v>1.7631624999999971</v>
      </c>
      <c r="Y1522">
        <f>TREND(H1521:H1525,G1521:G1525,G1522)</f>
        <v>31.433467740762243</v>
      </c>
      <c r="Z1522">
        <f>ABS((Y1522-H1522)/80*100)</f>
        <v>3.4022175952803657E-2</v>
      </c>
      <c r="AB1522">
        <f>IF(ABS(T1521) &gt; ABS(V1521),T1521,V1521)</f>
        <v>1.3692218749999974</v>
      </c>
      <c r="AE1522">
        <f>ABS(P1570-P1514)</f>
        <v>0.25326249999999773</v>
      </c>
      <c r="AH1522">
        <f>H1522-AG1514</f>
        <v>31.315087499999997</v>
      </c>
      <c r="AI1522">
        <f>100*(AH1522-O1522)/80</f>
        <v>1.6492093749999939</v>
      </c>
      <c r="AN1522">
        <f>IF(ABS(AK1521) &gt; ABS(AM1521),AK1521,AM1521)</f>
        <v>1.2552687499999937</v>
      </c>
    </row>
    <row r="1523" spans="1:41" x14ac:dyDescent="0.35">
      <c r="A1523" t="s">
        <v>277</v>
      </c>
      <c r="B1523" t="s">
        <v>231</v>
      </c>
      <c r="C1523" t="s">
        <v>625</v>
      </c>
      <c r="D1523">
        <v>-20</v>
      </c>
      <c r="E1523">
        <v>-19.899999999999999</v>
      </c>
      <c r="F1523">
        <v>0</v>
      </c>
      <c r="G1523">
        <v>-2.3599999999999999E-4</v>
      </c>
      <c r="H1523">
        <v>51.0859375</v>
      </c>
      <c r="J1523">
        <v>-24634</v>
      </c>
      <c r="N1523" t="s">
        <v>194</v>
      </c>
      <c r="O1523">
        <f t="shared" si="69"/>
        <v>49.990560000000002</v>
      </c>
      <c r="P1523">
        <f t="shared" si="70"/>
        <v>1.3692218749999974</v>
      </c>
      <c r="Q1523">
        <f t="shared" si="71"/>
        <v>1.3692218749999974</v>
      </c>
      <c r="Y1523">
        <f>TREND(H1521:H1525,G1521:G1525,G1523)</f>
        <v>51.256229518186707</v>
      </c>
      <c r="Z1523">
        <f>ABS((Y1523-H1523)/80*100)</f>
        <v>0.21286502273338395</v>
      </c>
      <c r="AE1523">
        <f>ABS(P1571-P1515)</f>
        <v>0.28251249999999839</v>
      </c>
      <c r="AH1523">
        <f>H1523-AG1514</f>
        <v>50.994774999999997</v>
      </c>
      <c r="AI1523">
        <f>100*(AH1523-O1523)/80</f>
        <v>1.2552687499999937</v>
      </c>
    </row>
    <row r="1524" spans="1:41" x14ac:dyDescent="0.35">
      <c r="A1524" t="s">
        <v>277</v>
      </c>
      <c r="B1524" t="s">
        <v>231</v>
      </c>
      <c r="C1524" t="s">
        <v>660</v>
      </c>
      <c r="D1524">
        <v>-20</v>
      </c>
      <c r="E1524">
        <v>-20</v>
      </c>
      <c r="F1524">
        <v>0.5</v>
      </c>
      <c r="G1524">
        <v>0.49954599999999999</v>
      </c>
      <c r="H1524">
        <v>71.045312499999994</v>
      </c>
      <c r="J1524">
        <v>-24651</v>
      </c>
      <c r="N1524" t="s">
        <v>194</v>
      </c>
      <c r="O1524">
        <f t="shared" si="69"/>
        <v>69.981840000000005</v>
      </c>
      <c r="P1524">
        <f t="shared" si="70"/>
        <v>1.3293406249999862</v>
      </c>
      <c r="Q1524">
        <f t="shared" si="71"/>
        <v>1.3293406249999862</v>
      </c>
      <c r="Y1524">
        <f>TREND(H1521:H1525,G1521:G1525,G1524)</f>
        <v>71.075461933439357</v>
      </c>
      <c r="Z1524">
        <f>ABS((Y1524-H1524)/80*100)</f>
        <v>3.7686791799202979E-2</v>
      </c>
      <c r="AE1524">
        <f>ABS(P1572-P1516)</f>
        <v>0.12593125000000427</v>
      </c>
      <c r="AH1524">
        <f>H1524-AG1514</f>
        <v>70.954149999999998</v>
      </c>
      <c r="AI1524">
        <f>100*(AH1524-O1524)/80</f>
        <v>1.2153874999999914</v>
      </c>
    </row>
    <row r="1525" spans="1:41" x14ac:dyDescent="0.35">
      <c r="A1525" t="s">
        <v>277</v>
      </c>
      <c r="B1525" t="s">
        <v>231</v>
      </c>
      <c r="C1525" t="s">
        <v>697</v>
      </c>
      <c r="D1525">
        <v>-20</v>
      </c>
      <c r="E1525">
        <v>-20</v>
      </c>
      <c r="F1525">
        <v>1</v>
      </c>
      <c r="G1525">
        <v>1.000041</v>
      </c>
      <c r="H1525">
        <v>91.037499999999994</v>
      </c>
      <c r="J1525">
        <v>-24656</v>
      </c>
      <c r="N1525" t="s">
        <v>194</v>
      </c>
      <c r="O1525">
        <f t="shared" si="69"/>
        <v>90.001639999999995</v>
      </c>
      <c r="P1525">
        <f t="shared" si="70"/>
        <v>1.2948249999999994</v>
      </c>
      <c r="Q1525">
        <f t="shared" si="71"/>
        <v>1.2948249999999994</v>
      </c>
      <c r="Y1525">
        <f>TREND(H1521:H1525,G1521:G1525,G1525)</f>
        <v>90.922968901821307</v>
      </c>
      <c r="Z1525">
        <f>ABS((Y1525-H1525)/80*100)</f>
        <v>0.14316387272335973</v>
      </c>
      <c r="AE1525">
        <f>ABS(P1573-P1517)</f>
        <v>8.5937500000010658E-2</v>
      </c>
      <c r="AH1525">
        <f>H1525-AG1514</f>
        <v>90.946337499999998</v>
      </c>
      <c r="AI1525">
        <f>100*(AH1525-O1525)/80</f>
        <v>1.1808718750000047</v>
      </c>
    </row>
    <row r="1526" spans="1:41" x14ac:dyDescent="0.35">
      <c r="A1526" t="s">
        <v>277</v>
      </c>
      <c r="B1526" t="s">
        <v>231</v>
      </c>
      <c r="C1526" t="s">
        <v>734</v>
      </c>
      <c r="D1526">
        <v>-20</v>
      </c>
      <c r="E1526">
        <v>-20</v>
      </c>
      <c r="F1526">
        <v>0</v>
      </c>
      <c r="G1526">
        <v>-3.3000000000000003E-5</v>
      </c>
      <c r="H1526">
        <v>51.143749999999997</v>
      </c>
      <c r="J1526">
        <v>-24664</v>
      </c>
      <c r="N1526" t="s">
        <v>194</v>
      </c>
      <c r="O1526">
        <f t="shared" si="69"/>
        <v>49.99868</v>
      </c>
      <c r="P1526">
        <f t="shared" si="70"/>
        <v>1.4313374999999962</v>
      </c>
      <c r="Q1526">
        <f t="shared" si="71"/>
        <v>1.4313374999999962</v>
      </c>
      <c r="Y1526">
        <f>TREND(H1521:H1525,G1521:G1525,G1526)</f>
        <v>51.26427963639884</v>
      </c>
      <c r="Z1526">
        <f>ABS((Y1526-H1526)/80*100)</f>
        <v>0.150662045498553</v>
      </c>
      <c r="AE1526">
        <f>ABS(P1574-P1518)</f>
        <v>0.20790000000003417</v>
      </c>
      <c r="AH1526">
        <f>H1526-AG1514</f>
        <v>51.052587499999994</v>
      </c>
      <c r="AI1526">
        <f>100*(AH1526-O1526)/80</f>
        <v>1.3173843749999925</v>
      </c>
    </row>
    <row r="1527" spans="1:41" x14ac:dyDescent="0.35">
      <c r="A1527" t="s">
        <v>277</v>
      </c>
      <c r="B1527" t="s">
        <v>231</v>
      </c>
      <c r="C1527" t="s">
        <v>769</v>
      </c>
      <c r="D1527">
        <v>-20</v>
      </c>
      <c r="E1527">
        <v>-20.100000000000001</v>
      </c>
      <c r="F1527">
        <v>-1</v>
      </c>
      <c r="G1527">
        <v>-0.99997499999999995</v>
      </c>
      <c r="H1527">
        <v>11.69375</v>
      </c>
      <c r="J1527">
        <v>-24667</v>
      </c>
      <c r="N1527" t="s">
        <v>194</v>
      </c>
      <c r="O1527">
        <f t="shared" si="69"/>
        <v>10.001000000000001</v>
      </c>
      <c r="P1527">
        <f t="shared" si="70"/>
        <v>2.115937499999998</v>
      </c>
      <c r="Q1527">
        <f t="shared" si="71"/>
        <v>2.115937499999998</v>
      </c>
      <c r="Y1527">
        <f>TREND(H1521:H1525,G1521:G1525,G1527)</f>
        <v>11.610824930601993</v>
      </c>
      <c r="Z1527">
        <f>ABS((Y1527-H1527)/80*100)</f>
        <v>0.10365633674750852</v>
      </c>
      <c r="AE1527">
        <f>ABS(P1575-P1519)</f>
        <v>0.22435624999999959</v>
      </c>
      <c r="AH1527">
        <f>H1527-AG1514</f>
        <v>11.602587499999997</v>
      </c>
      <c r="AI1527">
        <f>100*(AH1527-O1527)/80</f>
        <v>2.0019843749999944</v>
      </c>
    </row>
    <row r="1528" spans="1:41" x14ac:dyDescent="0.35">
      <c r="A1528" t="s">
        <v>277</v>
      </c>
      <c r="B1528" t="s">
        <v>231</v>
      </c>
      <c r="C1528" t="s">
        <v>806</v>
      </c>
      <c r="D1528">
        <v>0</v>
      </c>
      <c r="E1528">
        <v>0</v>
      </c>
      <c r="F1528">
        <v>-1</v>
      </c>
      <c r="G1528">
        <v>-1.0001089999999999</v>
      </c>
      <c r="H1528">
        <v>10.7109375</v>
      </c>
      <c r="J1528">
        <v>-16889</v>
      </c>
      <c r="N1528" t="s">
        <v>194</v>
      </c>
      <c r="O1528">
        <f t="shared" si="69"/>
        <v>9.9956400000000034</v>
      </c>
      <c r="P1528">
        <f t="shared" si="70"/>
        <v>0.89412187499999585</v>
      </c>
      <c r="Q1528">
        <f t="shared" si="71"/>
        <v>0.89412187499999585</v>
      </c>
      <c r="S1528">
        <v>50.490625000000001</v>
      </c>
      <c r="T1528">
        <v>0.60418125000000877</v>
      </c>
      <c r="U1528">
        <v>90.606250000000003</v>
      </c>
      <c r="V1528">
        <v>0.76686249999999845</v>
      </c>
      <c r="W1528">
        <v>79.895309448242188</v>
      </c>
      <c r="X1528">
        <f>(W1528-80)/80*100</f>
        <v>-0.13086318969726563</v>
      </c>
      <c r="Y1528">
        <f>TREND(H1528:H1532,G1528:G1532,G1528)</f>
        <v>10.56141714903665</v>
      </c>
      <c r="Z1528">
        <f>ABS((Y1528-H1528)/80*100)</f>
        <v>0.18690043870418727</v>
      </c>
      <c r="AA1528">
        <f>MAX(Z1528:Z1532)</f>
        <v>0.18690043870418727</v>
      </c>
      <c r="AB1528">
        <f>IF(ABS(MAX(P1528:P1534)) &gt; ABS(MIN(P1528:P1534)),MAX(P1528:P1534), MIN(P1528:P1534))</f>
        <v>0.89412187499999585</v>
      </c>
      <c r="AC1528">
        <f>IF(ABS(AB1529)&gt;ABS(AB1528),AB1529,AB1528)</f>
        <v>0.89412187499999585</v>
      </c>
      <c r="AE1528">
        <f>ABS(P1576-P1520)</f>
        <v>0.41568124999999734</v>
      </c>
      <c r="AH1528">
        <f>H1528-AG1514</f>
        <v>10.619774999999997</v>
      </c>
      <c r="AI1528">
        <f>100*(AH1528-O1528)/80</f>
        <v>0.78016874999999208</v>
      </c>
      <c r="AJ1528">
        <v>50.399462499999998</v>
      </c>
      <c r="AK1528">
        <v>0.49022812500000512</v>
      </c>
      <c r="AL1528">
        <v>90.515087499999993</v>
      </c>
      <c r="AM1528">
        <v>0.65290937499998591</v>
      </c>
      <c r="AN1528">
        <f>IF(ABS(MAX(AI1528:AI1534)) &gt; ABS(MIN(AI1528:AI1534)),MAX(AI1528:AI1534), MIN(AI1528:AI1534))</f>
        <v>0.78016874999999208</v>
      </c>
      <c r="AO1528">
        <f>IF(ABS(AN1529)&gt;ABS(AN1528),AN1529,AN1528)</f>
        <v>0.78016874999999208</v>
      </c>
    </row>
    <row r="1529" spans="1:41" x14ac:dyDescent="0.35">
      <c r="A1529" t="s">
        <v>277</v>
      </c>
      <c r="B1529" t="s">
        <v>231</v>
      </c>
      <c r="C1529" t="s">
        <v>843</v>
      </c>
      <c r="D1529">
        <v>0</v>
      </c>
      <c r="E1529">
        <v>0.1</v>
      </c>
      <c r="F1529">
        <v>-0.5</v>
      </c>
      <c r="G1529">
        <v>-0.50036000000000003</v>
      </c>
      <c r="H1529">
        <v>30.392187499999999</v>
      </c>
      <c r="J1529">
        <v>-16861</v>
      </c>
      <c r="N1529" t="s">
        <v>194</v>
      </c>
      <c r="O1529">
        <f t="shared" si="69"/>
        <v>29.985599999999998</v>
      </c>
      <c r="P1529">
        <f t="shared" si="70"/>
        <v>0.50823437500000068</v>
      </c>
      <c r="Q1529">
        <f t="shared" si="71"/>
        <v>0.50823437500000068</v>
      </c>
      <c r="Y1529">
        <f>TREND(H1528:H1532,G1528:G1532,G1529)</f>
        <v>30.54144118314564</v>
      </c>
      <c r="Z1529">
        <f>ABS((Y1529-H1529)/80*100)</f>
        <v>0.18656710393205156</v>
      </c>
      <c r="AB1529">
        <f>IF(ABS(T1528) &gt; ABS(V1528),T1528,V1528)</f>
        <v>0.76686249999999845</v>
      </c>
      <c r="AE1529">
        <f>ABS(P1570-P1542)</f>
        <v>0.18133437500000404</v>
      </c>
      <c r="AH1529">
        <f>H1529-AG1514</f>
        <v>30.301024999999996</v>
      </c>
      <c r="AI1529">
        <f>100*(AH1529-O1529)/80</f>
        <v>0.39428124999999703</v>
      </c>
      <c r="AN1529">
        <f>IF(ABS(AK1528) &gt; ABS(AM1528),AK1528,AM1528)</f>
        <v>0.65290937499998591</v>
      </c>
    </row>
    <row r="1530" spans="1:41" x14ac:dyDescent="0.35">
      <c r="A1530" t="s">
        <v>277</v>
      </c>
      <c r="B1530" t="s">
        <v>231</v>
      </c>
      <c r="C1530" t="s">
        <v>878</v>
      </c>
      <c r="D1530">
        <v>0</v>
      </c>
      <c r="E1530">
        <v>0</v>
      </c>
      <c r="F1530">
        <v>0</v>
      </c>
      <c r="G1530">
        <v>1.8200000000000001E-4</v>
      </c>
      <c r="H1530">
        <v>50.490625000000001</v>
      </c>
      <c r="J1530">
        <v>-16841</v>
      </c>
      <c r="N1530" t="s">
        <v>194</v>
      </c>
      <c r="O1530">
        <f t="shared" si="69"/>
        <v>50.007279999999994</v>
      </c>
      <c r="P1530">
        <f t="shared" si="70"/>
        <v>0.60418125000000877</v>
      </c>
      <c r="Q1530">
        <f t="shared" si="71"/>
        <v>0.60418125000000877</v>
      </c>
      <c r="Y1530">
        <f>TREND(H1528:H1532,G1528:G1532,G1530)</f>
        <v>50.553169450898025</v>
      </c>
      <c r="Z1530">
        <f>ABS((Y1530-H1530)/80*100)</f>
        <v>7.8180563622529675E-2</v>
      </c>
      <c r="AE1530">
        <f>ABS(P1571-P1543)</f>
        <v>0.19082500000000113</v>
      </c>
      <c r="AH1530">
        <f>H1530-AG1514</f>
        <v>50.399462499999998</v>
      </c>
      <c r="AI1530">
        <f>100*(AH1530-O1530)/80</f>
        <v>0.49022812500000512</v>
      </c>
    </row>
    <row r="1531" spans="1:41" x14ac:dyDescent="0.35">
      <c r="A1531" t="s">
        <v>277</v>
      </c>
      <c r="B1531" t="s">
        <v>231</v>
      </c>
      <c r="C1531" t="s">
        <v>915</v>
      </c>
      <c r="D1531">
        <v>0</v>
      </c>
      <c r="E1531">
        <v>0</v>
      </c>
      <c r="F1531">
        <v>0.5</v>
      </c>
      <c r="G1531">
        <v>0.49973099999999998</v>
      </c>
      <c r="H1531">
        <v>70.5</v>
      </c>
      <c r="J1531">
        <v>-16811</v>
      </c>
      <c r="N1531" t="s">
        <v>194</v>
      </c>
      <c r="O1531">
        <f t="shared" si="69"/>
        <v>69.989239999999995</v>
      </c>
      <c r="P1531">
        <f t="shared" si="70"/>
        <v>0.63845000000000596</v>
      </c>
      <c r="Q1531">
        <f t="shared" si="71"/>
        <v>0.63845000000000596</v>
      </c>
      <c r="Y1531">
        <f>TREND(H1528:H1532,G1528:G1532,G1531)</f>
        <v>70.525197461389524</v>
      </c>
      <c r="Z1531">
        <f>ABS((Y1531-H1531)/80*100)</f>
        <v>3.1496826736905348E-2</v>
      </c>
      <c r="AE1531">
        <f>ABS(P1572-P1544)</f>
        <v>6.0746874999999534E-2</v>
      </c>
      <c r="AH1531">
        <f>H1531-AG1514</f>
        <v>70.408837500000004</v>
      </c>
      <c r="AI1531">
        <f>100*(AH1531-O1531)/80</f>
        <v>0.52449687500001119</v>
      </c>
    </row>
    <row r="1532" spans="1:41" x14ac:dyDescent="0.35">
      <c r="A1532" t="s">
        <v>277</v>
      </c>
      <c r="B1532" t="s">
        <v>231</v>
      </c>
      <c r="C1532" t="s">
        <v>952</v>
      </c>
      <c r="D1532">
        <v>0</v>
      </c>
      <c r="E1532">
        <v>0.1</v>
      </c>
      <c r="F1532">
        <v>1</v>
      </c>
      <c r="G1532">
        <v>0.99981900000000001</v>
      </c>
      <c r="H1532">
        <v>90.606250000000003</v>
      </c>
      <c r="J1532">
        <v>-16802</v>
      </c>
      <c r="N1532" t="s">
        <v>194</v>
      </c>
      <c r="O1532">
        <f t="shared" si="69"/>
        <v>89.992760000000004</v>
      </c>
      <c r="P1532">
        <f t="shared" si="70"/>
        <v>0.76686249999999845</v>
      </c>
      <c r="Q1532">
        <f t="shared" si="71"/>
        <v>0.76686249999999845</v>
      </c>
      <c r="Y1532">
        <f>TREND(H1528:H1532,G1528:G1532,G1532)</f>
        <v>90.518774755530174</v>
      </c>
      <c r="Z1532">
        <f>ABS((Y1532-H1532)/80*100)</f>
        <v>0.10934405558728599</v>
      </c>
      <c r="AE1532">
        <f>ABS(P1573-P1545)</f>
        <v>6.3581249999984379E-2</v>
      </c>
      <c r="AH1532">
        <f>H1532-AG1514</f>
        <v>90.515087499999993</v>
      </c>
      <c r="AI1532">
        <f>100*(AH1532-O1532)/80</f>
        <v>0.65290937499998591</v>
      </c>
    </row>
    <row r="1533" spans="1:41" x14ac:dyDescent="0.35">
      <c r="A1533" t="s">
        <v>277</v>
      </c>
      <c r="B1533" t="s">
        <v>231</v>
      </c>
      <c r="C1533" t="s">
        <v>989</v>
      </c>
      <c r="D1533">
        <v>0</v>
      </c>
      <c r="E1533">
        <v>0</v>
      </c>
      <c r="F1533">
        <v>0</v>
      </c>
      <c r="G1533">
        <v>1.08E-4</v>
      </c>
      <c r="H1533">
        <v>50.4609375</v>
      </c>
      <c r="J1533">
        <v>-16779</v>
      </c>
      <c r="N1533" t="s">
        <v>194</v>
      </c>
      <c r="O1533">
        <f t="shared" si="69"/>
        <v>50.00432</v>
      </c>
      <c r="P1533">
        <f t="shared" si="70"/>
        <v>0.57077187500000015</v>
      </c>
      <c r="Q1533">
        <f t="shared" si="71"/>
        <v>0.57077187500000015</v>
      </c>
      <c r="Y1533">
        <f>TREND(H1528:H1532,G1528:G1532,G1533)</f>
        <v>50.55021092215955</v>
      </c>
      <c r="Z1533">
        <f>ABS((Y1533-H1533)/80*100)</f>
        <v>0.11159177769943796</v>
      </c>
      <c r="AE1533">
        <f>ABS(P1574-P1546)</f>
        <v>0.16260625000002804</v>
      </c>
      <c r="AH1533">
        <f>H1533-AG1514</f>
        <v>50.369774999999997</v>
      </c>
      <c r="AI1533">
        <f>100*(AH1533-O1533)/80</f>
        <v>0.4568187499999965</v>
      </c>
    </row>
    <row r="1534" spans="1:41" x14ac:dyDescent="0.35">
      <c r="A1534" t="s">
        <v>277</v>
      </c>
      <c r="B1534" t="s">
        <v>231</v>
      </c>
      <c r="C1534" t="s">
        <v>1024</v>
      </c>
      <c r="D1534">
        <v>0</v>
      </c>
      <c r="E1534">
        <v>0</v>
      </c>
      <c r="F1534">
        <v>-1</v>
      </c>
      <c r="G1534">
        <v>-1.000135</v>
      </c>
      <c r="H1534">
        <v>10.6265625</v>
      </c>
      <c r="J1534">
        <v>-16748</v>
      </c>
      <c r="N1534" t="s">
        <v>194</v>
      </c>
      <c r="O1534">
        <f t="shared" si="69"/>
        <v>9.9946000000000002</v>
      </c>
      <c r="P1534">
        <f t="shared" si="70"/>
        <v>0.78995312500000026</v>
      </c>
      <c r="Q1534">
        <f t="shared" si="71"/>
        <v>0.78995312500000026</v>
      </c>
      <c r="Y1534">
        <f>TREND(H1528:H1532,G1528:G1532,G1534)</f>
        <v>10.560377665966371</v>
      </c>
      <c r="Z1534">
        <f>ABS((Y1534-H1534)/80*100)</f>
        <v>8.2731042542036892E-2</v>
      </c>
      <c r="AE1534">
        <f>ABS(P1575-P1547)</f>
        <v>8.5625000000000284E-2</v>
      </c>
      <c r="AH1534">
        <f>H1534-AG1514</f>
        <v>10.535399999999997</v>
      </c>
      <c r="AI1534">
        <f>100*(AH1534-O1534)/80</f>
        <v>0.6759999999999966</v>
      </c>
    </row>
    <row r="1535" spans="1:41" x14ac:dyDescent="0.35">
      <c r="A1535" t="s">
        <v>277</v>
      </c>
      <c r="B1535" t="s">
        <v>231</v>
      </c>
      <c r="C1535" t="s">
        <v>1061</v>
      </c>
      <c r="D1535">
        <v>10</v>
      </c>
      <c r="E1535">
        <v>10</v>
      </c>
      <c r="F1535">
        <v>-1</v>
      </c>
      <c r="G1535">
        <v>-0.99999800000000005</v>
      </c>
      <c r="H1535">
        <v>10.2796875</v>
      </c>
      <c r="J1535">
        <v>-12482</v>
      </c>
      <c r="N1535" t="s">
        <v>194</v>
      </c>
      <c r="O1535">
        <f t="shared" si="69"/>
        <v>10.000079999999997</v>
      </c>
      <c r="P1535">
        <f t="shared" si="70"/>
        <v>0.34950937500000334</v>
      </c>
      <c r="Q1535">
        <f t="shared" si="71"/>
        <v>0.34950937500000334</v>
      </c>
      <c r="S1535">
        <v>50.215625000000003</v>
      </c>
      <c r="T1535">
        <v>0.27618125000000937</v>
      </c>
      <c r="U1535">
        <v>90.371875000000003</v>
      </c>
      <c r="V1535">
        <v>0.4671437500000053</v>
      </c>
      <c r="W1535">
        <v>80.092184448242193</v>
      </c>
      <c r="X1535">
        <f>(W1535-80)/80*100</f>
        <v>0.11523056030274148</v>
      </c>
      <c r="Y1535">
        <f>TREND(H1535:H1539,G1535:G1539,G1535)</f>
        <v>10.187882621789939</v>
      </c>
      <c r="Z1535">
        <f>ABS((Y1535-H1535)/80*100)</f>
        <v>0.11475609776257611</v>
      </c>
      <c r="AA1535">
        <f>MAX(Z1535:Z1539)</f>
        <v>0.12490882119237767</v>
      </c>
      <c r="AB1535">
        <f>IF(ABS(MAX(P1535:P1541)) &gt; ABS(MIN(P1535:P1541)),MAX(P1535:P1541), MIN(P1535:P1541))</f>
        <v>0.4671437500000053</v>
      </c>
      <c r="AC1535">
        <f>IF(ABS(AB1536)&gt;ABS(AB1535),AB1536,AB1535)</f>
        <v>0.4671437500000053</v>
      </c>
      <c r="AE1535">
        <f>ABS(P1576-P1548)</f>
        <v>0.23491875000000606</v>
      </c>
      <c r="AH1535">
        <f>H1535-AG1514</f>
        <v>10.188524999999997</v>
      </c>
      <c r="AI1535">
        <f>100*(AH1535-O1535)/80</f>
        <v>0.23555624999999969</v>
      </c>
      <c r="AJ1535">
        <v>50.1244625</v>
      </c>
      <c r="AK1535">
        <v>0.16222812500000572</v>
      </c>
      <c r="AL1535">
        <v>90.280712499999993</v>
      </c>
      <c r="AM1535">
        <v>0.35319062499999276</v>
      </c>
      <c r="AN1535">
        <f>IF(ABS(MAX(AI1535:AI1541)) &gt; ABS(MIN(AI1535:AI1541)),MAX(AI1535:AI1541), MIN(AI1535:AI1541))</f>
        <v>0.35319062499999276</v>
      </c>
      <c r="AO1535">
        <f>IF(ABS(AN1536)&gt;ABS(AN1535),AN1536,AN1535)</f>
        <v>0.35319062499999276</v>
      </c>
    </row>
    <row r="1536" spans="1:41" x14ac:dyDescent="0.35">
      <c r="A1536" t="s">
        <v>277</v>
      </c>
      <c r="B1536" t="s">
        <v>231</v>
      </c>
      <c r="C1536" t="s">
        <v>1096</v>
      </c>
      <c r="D1536">
        <v>10</v>
      </c>
      <c r="E1536">
        <v>10</v>
      </c>
      <c r="F1536">
        <v>-0.5</v>
      </c>
      <c r="G1536">
        <v>-0.499998</v>
      </c>
      <c r="H1536">
        <v>30.126562499999999</v>
      </c>
      <c r="J1536">
        <v>-12469</v>
      </c>
      <c r="N1536" t="s">
        <v>194</v>
      </c>
      <c r="O1536">
        <f t="shared" si="69"/>
        <v>30.000080000000004</v>
      </c>
      <c r="P1536">
        <f t="shared" si="70"/>
        <v>0.15810312499999313</v>
      </c>
      <c r="Q1536">
        <f t="shared" si="71"/>
        <v>0.15810312499999313</v>
      </c>
      <c r="Y1536">
        <f>TREND(H1535:H1539,G1535:G1539,G1536)</f>
        <v>30.226489556953901</v>
      </c>
      <c r="Z1536">
        <f>ABS((Y1536-H1536)/80*100)</f>
        <v>0.12490882119237767</v>
      </c>
      <c r="AB1536">
        <f>IF(ABS(T1535) &gt; ABS(V1535),T1535,V1535)</f>
        <v>0.4671437500000053</v>
      </c>
      <c r="AH1536">
        <f>H1536-AG1514</f>
        <v>30.035399999999996</v>
      </c>
      <c r="AI1536">
        <f>100*(AH1536-O1536)/80</f>
        <v>4.4149999999989475E-2</v>
      </c>
      <c r="AN1536">
        <f>IF(ABS(AK1535) &gt; ABS(AM1535),AK1535,AM1535)</f>
        <v>0.35319062499999276</v>
      </c>
    </row>
    <row r="1537" spans="1:41" x14ac:dyDescent="0.35">
      <c r="A1537" t="s">
        <v>277</v>
      </c>
      <c r="B1537" t="s">
        <v>1111</v>
      </c>
      <c r="C1537" t="s">
        <v>1134</v>
      </c>
      <c r="D1537">
        <v>10</v>
      </c>
      <c r="E1537">
        <v>10</v>
      </c>
      <c r="F1537">
        <v>0</v>
      </c>
      <c r="G1537">
        <v>-1.3300000000000001E-4</v>
      </c>
      <c r="H1537">
        <v>50.215625000000003</v>
      </c>
      <c r="J1537">
        <v>-12463</v>
      </c>
      <c r="N1537" t="s">
        <v>194</v>
      </c>
      <c r="O1537">
        <f t="shared" si="69"/>
        <v>49.994679999999995</v>
      </c>
      <c r="P1537">
        <f t="shared" si="70"/>
        <v>0.27618125000000937</v>
      </c>
      <c r="Q1537">
        <f t="shared" si="71"/>
        <v>0.27618125000000937</v>
      </c>
      <c r="Y1537">
        <f>TREND(H1535:H1539,G1535:G1539,G1537)</f>
        <v>50.259686068245358</v>
      </c>
      <c r="Z1537">
        <f>ABS((Y1537-H1537)/80*100)</f>
        <v>5.5076335306694091E-2</v>
      </c>
      <c r="AH1537">
        <f>H1537-AG1514</f>
        <v>50.1244625</v>
      </c>
      <c r="AI1537">
        <f>100*(AH1537-O1537)/80</f>
        <v>0.16222812500000572</v>
      </c>
    </row>
    <row r="1538" spans="1:41" x14ac:dyDescent="0.35">
      <c r="A1538" t="s">
        <v>277</v>
      </c>
      <c r="B1538" t="s">
        <v>1111</v>
      </c>
      <c r="C1538" t="s">
        <v>1171</v>
      </c>
      <c r="D1538">
        <v>10</v>
      </c>
      <c r="E1538">
        <v>10</v>
      </c>
      <c r="F1538">
        <v>0.5</v>
      </c>
      <c r="G1538">
        <v>0.50005599999999994</v>
      </c>
      <c r="H1538">
        <v>70.326562499999994</v>
      </c>
      <c r="J1538">
        <v>-12458</v>
      </c>
      <c r="N1538" t="s">
        <v>194</v>
      </c>
      <c r="O1538">
        <f t="shared" si="69"/>
        <v>70.00224</v>
      </c>
      <c r="P1538">
        <f t="shared" si="70"/>
        <v>0.40540312499999231</v>
      </c>
      <c r="Q1538">
        <f t="shared" si="71"/>
        <v>0.40540312499999231</v>
      </c>
      <c r="Y1538">
        <f>TREND(H1535:H1539,G1535:G1539,G1538)</f>
        <v>70.305867596830808</v>
      </c>
      <c r="Z1538">
        <f>ABS((Y1538-H1538)/80*100)</f>
        <v>2.5868628961482898E-2</v>
      </c>
      <c r="AH1538">
        <f>H1538-AG1514</f>
        <v>70.235399999999998</v>
      </c>
      <c r="AI1538">
        <f>100*(AH1538-O1538)/80</f>
        <v>0.29144999999999754</v>
      </c>
    </row>
    <row r="1539" spans="1:41" x14ac:dyDescent="0.35">
      <c r="A1539" t="s">
        <v>277</v>
      </c>
      <c r="B1539" t="s">
        <v>1111</v>
      </c>
      <c r="C1539" t="s">
        <v>1208</v>
      </c>
      <c r="D1539">
        <v>10</v>
      </c>
      <c r="E1539">
        <v>10</v>
      </c>
      <c r="F1539">
        <v>1</v>
      </c>
      <c r="G1539">
        <v>0.99995400000000001</v>
      </c>
      <c r="H1539">
        <v>90.371875000000003</v>
      </c>
      <c r="J1539">
        <v>-12452</v>
      </c>
      <c r="N1539" t="s">
        <v>194</v>
      </c>
      <c r="O1539">
        <f t="shared" si="69"/>
        <v>89.998159999999999</v>
      </c>
      <c r="P1539">
        <f t="shared" si="70"/>
        <v>0.4671437500000053</v>
      </c>
      <c r="Q1539">
        <f t="shared" si="71"/>
        <v>0.4671437500000053</v>
      </c>
      <c r="Y1539">
        <f>TREND(H1535:H1539,G1535:G1539,G1539)</f>
        <v>90.340386656179987</v>
      </c>
      <c r="Z1539">
        <f>ABS((Y1539-H1539)/80*100)</f>
        <v>3.9360429775019412E-2</v>
      </c>
      <c r="AH1539">
        <f>H1539-AG1514</f>
        <v>90.280712499999993</v>
      </c>
      <c r="AI1539">
        <f>100*(AH1539-O1539)/80</f>
        <v>0.35319062499999276</v>
      </c>
    </row>
    <row r="1540" spans="1:41" x14ac:dyDescent="0.35">
      <c r="A1540" t="s">
        <v>277</v>
      </c>
      <c r="B1540" t="s">
        <v>1111</v>
      </c>
      <c r="C1540" t="s">
        <v>1245</v>
      </c>
      <c r="D1540">
        <v>10</v>
      </c>
      <c r="E1540">
        <v>10</v>
      </c>
      <c r="F1540">
        <v>0</v>
      </c>
      <c r="G1540">
        <v>5.5000000000000003E-4</v>
      </c>
      <c r="H1540">
        <v>50.184375000000003</v>
      </c>
      <c r="J1540">
        <v>-12443</v>
      </c>
      <c r="N1540" t="s">
        <v>194</v>
      </c>
      <c r="O1540">
        <f t="shared" si="69"/>
        <v>50.022000000000006</v>
      </c>
      <c r="P1540">
        <f t="shared" si="70"/>
        <v>0.20296874999999659</v>
      </c>
      <c r="Q1540">
        <f t="shared" si="71"/>
        <v>0.20296874999999659</v>
      </c>
      <c r="Y1540">
        <f>TREND(H1535:H1539,G1535:G1539,G1540)</f>
        <v>50.287058805318793</v>
      </c>
      <c r="Z1540">
        <f>ABS((Y1540-H1540)/80*100)</f>
        <v>0.12835475664848772</v>
      </c>
      <c r="AH1540">
        <f>H1540-AG1514</f>
        <v>50.0932125</v>
      </c>
      <c r="AI1540">
        <f>100*(AH1540-O1540)/80</f>
        <v>8.9015624999992937E-2</v>
      </c>
    </row>
    <row r="1541" spans="1:41" x14ac:dyDescent="0.35">
      <c r="A1541" t="s">
        <v>277</v>
      </c>
      <c r="B1541" t="s">
        <v>1111</v>
      </c>
      <c r="C1541" t="s">
        <v>1281</v>
      </c>
      <c r="D1541">
        <v>10</v>
      </c>
      <c r="E1541">
        <v>10</v>
      </c>
      <c r="F1541">
        <v>-1</v>
      </c>
      <c r="G1541">
        <v>-0.99979700000000005</v>
      </c>
      <c r="H1541">
        <v>10.265625</v>
      </c>
      <c r="J1541">
        <v>-12439</v>
      </c>
      <c r="N1541" t="s">
        <v>194</v>
      </c>
      <c r="O1541">
        <f t="shared" si="69"/>
        <v>10.008119999999998</v>
      </c>
      <c r="P1541">
        <f t="shared" si="70"/>
        <v>0.32188125000000234</v>
      </c>
      <c r="Q1541">
        <f t="shared" si="71"/>
        <v>0.32188125000000234</v>
      </c>
      <c r="Y1541">
        <f>TREND(H1535:H1539,G1535:G1539,G1541)</f>
        <v>10.19593814177788</v>
      </c>
      <c r="Z1541">
        <f>ABS((Y1541-H1541)/80*100)</f>
        <v>8.710857277764994E-2</v>
      </c>
      <c r="AH1541">
        <f>H1541-AG1514</f>
        <v>10.174462499999997</v>
      </c>
      <c r="AI1541">
        <f>100*(AH1541-O1541)/80</f>
        <v>0.20792812499999869</v>
      </c>
    </row>
    <row r="1542" spans="1:41" x14ac:dyDescent="0.35">
      <c r="A1542" t="s">
        <v>277</v>
      </c>
      <c r="B1542" t="s">
        <v>1111</v>
      </c>
      <c r="C1542" t="s">
        <v>1317</v>
      </c>
      <c r="D1542">
        <v>25</v>
      </c>
      <c r="E1542">
        <v>25</v>
      </c>
      <c r="F1542">
        <v>-1</v>
      </c>
      <c r="G1542">
        <v>-1.0002470000000001</v>
      </c>
      <c r="H1542">
        <v>10.0484375</v>
      </c>
      <c r="J1542">
        <v>-6456</v>
      </c>
      <c r="N1542" t="s">
        <v>194</v>
      </c>
      <c r="O1542">
        <f t="shared" si="69"/>
        <v>9.9901199999999957</v>
      </c>
      <c r="P1542">
        <f t="shared" si="70"/>
        <v>7.2896875000005856E-2</v>
      </c>
      <c r="Q1542">
        <f t="shared" si="71"/>
        <v>7.2896875000005856E-2</v>
      </c>
      <c r="S1542">
        <v>50.034374999999997</v>
      </c>
      <c r="T1542">
        <v>4.8768749999998917E-2</v>
      </c>
      <c r="U1542">
        <v>90.259375000000006</v>
      </c>
      <c r="V1542">
        <v>0.33721875000001234</v>
      </c>
      <c r="W1542">
        <v>80.210939025878901</v>
      </c>
      <c r="X1542">
        <f>(W1542-80)/80*100</f>
        <v>0.26367378234862571</v>
      </c>
      <c r="Y1542">
        <f>TREND(H1542:H1546,G1542:G1546,G1542)</f>
        <v>9.9421487179318362</v>
      </c>
      <c r="Z1542">
        <f>ABS((Y1542-H1542)/80*100)</f>
        <v>0.13286097758520521</v>
      </c>
      <c r="AA1542">
        <f>MAX(Z1542:Z1546)</f>
        <v>0.13560266566037704</v>
      </c>
      <c r="AB1542">
        <f>IF(ABS(MAX(P1542:P1548)) &gt; ABS(MIN(P1542:P1548)),MAX(P1542:P1548), MIN(P1542:P1548))</f>
        <v>0.33721875000001234</v>
      </c>
      <c r="AC1542">
        <f>IF(ABS(AB1543)&gt;ABS(AB1542),AB1543,AB1542)</f>
        <v>0.33721875000001234</v>
      </c>
      <c r="AH1542">
        <f>H1542-AG1514</f>
        <v>9.9572749999999974</v>
      </c>
      <c r="AI1542">
        <f>100*(AH1542-O1542)/80</f>
        <v>-4.1056249999997796E-2</v>
      </c>
      <c r="AJ1542">
        <v>49.943212499999994</v>
      </c>
      <c r="AK1542">
        <v>-6.5184375000004735E-2</v>
      </c>
      <c r="AL1542">
        <v>90.16821250000001</v>
      </c>
      <c r="AM1542">
        <v>0.22326562500001756</v>
      </c>
      <c r="AN1542">
        <f>IF(ABS(MAX(AI1542:AI1548)) &gt; ABS(MIN(AI1542:AI1548)),MAX(AI1542:AI1548), MIN(AI1542:AI1548))</f>
        <v>-0.22898437500000313</v>
      </c>
      <c r="AO1542">
        <f>IF(ABS(AN1543)&gt;ABS(AN1542),AN1543,AN1542)</f>
        <v>-0.22898437500000313</v>
      </c>
    </row>
    <row r="1543" spans="1:41" x14ac:dyDescent="0.35">
      <c r="A1543" t="s">
        <v>277</v>
      </c>
      <c r="B1543" t="s">
        <v>1111</v>
      </c>
      <c r="C1543" t="s">
        <v>1354</v>
      </c>
      <c r="D1543">
        <v>25</v>
      </c>
      <c r="E1543">
        <v>25</v>
      </c>
      <c r="F1543">
        <v>-0.5</v>
      </c>
      <c r="G1543">
        <v>-0.49996499999999999</v>
      </c>
      <c r="H1543">
        <v>29.909375000000001</v>
      </c>
      <c r="J1543">
        <v>-6438</v>
      </c>
      <c r="N1543" t="s">
        <v>194</v>
      </c>
      <c r="O1543">
        <f t="shared" si="69"/>
        <v>30.0014</v>
      </c>
      <c r="P1543">
        <f t="shared" si="70"/>
        <v>-0.11503124999999947</v>
      </c>
      <c r="Q1543">
        <f t="shared" si="71"/>
        <v>0.11503124999999947</v>
      </c>
      <c r="Y1543">
        <f>TREND(H1542:H1546,G1542:G1546,G1543)</f>
        <v>30.017857132528302</v>
      </c>
      <c r="Z1543">
        <f>ABS((Y1543-H1543)/80*100)</f>
        <v>0.13560266566037704</v>
      </c>
      <c r="AB1543">
        <f>IF(ABS(T1542) &gt; ABS(V1542),T1542,V1542)</f>
        <v>0.33721875000001234</v>
      </c>
      <c r="AH1543">
        <f>H1543-AG1514</f>
        <v>29.818212499999998</v>
      </c>
      <c r="AI1543">
        <f>100*(AH1543-O1543)/80</f>
        <v>-0.22898437500000313</v>
      </c>
      <c r="AN1543">
        <f>IF(ABS(AK1542) &gt; ABS(AM1542),AK1542,AM1542)</f>
        <v>0.22326562500001756</v>
      </c>
    </row>
    <row r="1544" spans="1:41" x14ac:dyDescent="0.35">
      <c r="A1544" t="s">
        <v>277</v>
      </c>
      <c r="B1544" t="s">
        <v>1111</v>
      </c>
      <c r="C1544" t="s">
        <v>1390</v>
      </c>
      <c r="D1544">
        <v>25</v>
      </c>
      <c r="E1544">
        <v>25</v>
      </c>
      <c r="F1544">
        <v>0</v>
      </c>
      <c r="G1544">
        <v>-1.16E-4</v>
      </c>
      <c r="H1544">
        <v>50.034374999999997</v>
      </c>
      <c r="J1544">
        <v>-6421</v>
      </c>
      <c r="N1544" t="s">
        <v>194</v>
      </c>
      <c r="O1544">
        <f t="shared" si="69"/>
        <v>49.995359999999998</v>
      </c>
      <c r="P1544">
        <f t="shared" si="70"/>
        <v>4.8768749999998917E-2</v>
      </c>
      <c r="Q1544">
        <f t="shared" si="71"/>
        <v>4.8768749999998917E-2</v>
      </c>
      <c r="Y1544">
        <f>TREND(H1542:H1546,G1542:G1546,G1544)</f>
        <v>50.076189783568367</v>
      </c>
      <c r="Z1544">
        <f>ABS((Y1544-H1544)/80*100)</f>
        <v>5.2268479460462203E-2</v>
      </c>
      <c r="AH1544">
        <f>H1544-AG1514</f>
        <v>49.943212499999994</v>
      </c>
      <c r="AI1544">
        <f>100*(AH1544-O1544)/80</f>
        <v>-6.5184375000004735E-2</v>
      </c>
    </row>
    <row r="1545" spans="1:41" x14ac:dyDescent="0.35">
      <c r="A1545" t="s">
        <v>277</v>
      </c>
      <c r="B1545" t="s">
        <v>1111</v>
      </c>
      <c r="C1545" t="s">
        <v>1427</v>
      </c>
      <c r="D1545">
        <v>25</v>
      </c>
      <c r="E1545">
        <v>25</v>
      </c>
      <c r="F1545">
        <v>0.5</v>
      </c>
      <c r="G1545">
        <v>0.50032699999999997</v>
      </c>
      <c r="H1545">
        <v>70.142187500000006</v>
      </c>
      <c r="J1545">
        <v>-6416</v>
      </c>
      <c r="N1545" t="s">
        <v>194</v>
      </c>
      <c r="O1545">
        <f t="shared" ref="O1545:O1608" si="72">(((G1545--1)*(40))+10)</f>
        <v>70.013080000000002</v>
      </c>
      <c r="P1545">
        <f t="shared" ref="P1545:P1608" si="73">100*(H1545-O1545)/80</f>
        <v>0.16138437500000435</v>
      </c>
      <c r="Q1545">
        <f t="shared" ref="Q1545:Q1608" si="74">ABS(P1545)</f>
        <v>0.16138437500000435</v>
      </c>
      <c r="Y1545">
        <f>TREND(H1542:H1546,G1542:G1546,G1545)</f>
        <v>70.158358932420214</v>
      </c>
      <c r="Z1545">
        <f>ABS((Y1545-H1545)/80*100)</f>
        <v>2.0214290525260026E-2</v>
      </c>
      <c r="AH1545">
        <f>H1545-AG1514</f>
        <v>70.05102500000001</v>
      </c>
      <c r="AI1545">
        <f>100*(AH1545-O1545)/80</f>
        <v>4.7431250000009584E-2</v>
      </c>
    </row>
    <row r="1546" spans="1:41" x14ac:dyDescent="0.35">
      <c r="A1546" t="s">
        <v>277</v>
      </c>
      <c r="B1546" t="s">
        <v>1111</v>
      </c>
      <c r="C1546" t="s">
        <v>1463</v>
      </c>
      <c r="D1546">
        <v>25</v>
      </c>
      <c r="E1546">
        <v>25</v>
      </c>
      <c r="F1546">
        <v>1</v>
      </c>
      <c r="G1546">
        <v>0.99973999999999996</v>
      </c>
      <c r="H1546">
        <v>90.259375000000006</v>
      </c>
      <c r="J1546">
        <v>-6410</v>
      </c>
      <c r="N1546" t="s">
        <v>194</v>
      </c>
      <c r="O1546">
        <f t="shared" si="72"/>
        <v>89.989599999999996</v>
      </c>
      <c r="P1546">
        <f t="shared" si="73"/>
        <v>0.33721875000001234</v>
      </c>
      <c r="Q1546">
        <f t="shared" si="74"/>
        <v>0.33721875000001234</v>
      </c>
      <c r="Y1546">
        <f>TREND(H1542:H1546,G1542:G1546,G1546)</f>
        <v>90.199195433551296</v>
      </c>
      <c r="Z1546">
        <f>ABS((Y1546-H1546)/80*100)</f>
        <v>7.52244580608874E-2</v>
      </c>
      <c r="AH1546">
        <f>H1546-AG1514</f>
        <v>90.16821250000001</v>
      </c>
      <c r="AI1546">
        <f>100*(AH1546-O1546)/80</f>
        <v>0.22326562500001756</v>
      </c>
    </row>
    <row r="1547" spans="1:41" x14ac:dyDescent="0.35">
      <c r="A1547" t="s">
        <v>277</v>
      </c>
      <c r="B1547" t="s">
        <v>1111</v>
      </c>
      <c r="C1547" t="s">
        <v>1500</v>
      </c>
      <c r="D1547">
        <v>25</v>
      </c>
      <c r="E1547">
        <v>25</v>
      </c>
      <c r="F1547">
        <v>0</v>
      </c>
      <c r="G1547">
        <v>-2.4800000000000001E-4</v>
      </c>
      <c r="H1547">
        <v>50.006250000000001</v>
      </c>
      <c r="J1547">
        <v>-6395</v>
      </c>
      <c r="N1547" t="s">
        <v>194</v>
      </c>
      <c r="O1547">
        <f t="shared" si="72"/>
        <v>49.990079999999999</v>
      </c>
      <c r="P1547">
        <f t="shared" si="73"/>
        <v>2.0212500000003075E-2</v>
      </c>
      <c r="Q1547">
        <f t="shared" si="74"/>
        <v>2.0212500000003075E-2</v>
      </c>
      <c r="Y1547">
        <f>TREND(H1542:H1546,G1542:G1546,G1547)</f>
        <v>50.070892784054642</v>
      </c>
      <c r="Z1547">
        <f>ABS((Y1547-H1547)/80*100)</f>
        <v>8.080348006830107E-2</v>
      </c>
      <c r="AH1547">
        <f>H1547-AG1514</f>
        <v>49.915087499999998</v>
      </c>
      <c r="AI1547">
        <f>100*(AH1547-O1547)/80</f>
        <v>-9.3740625000000577E-2</v>
      </c>
    </row>
    <row r="1548" spans="1:41" x14ac:dyDescent="0.35">
      <c r="A1548" t="s">
        <v>277</v>
      </c>
      <c r="B1548" t="s">
        <v>1111</v>
      </c>
      <c r="C1548" t="s">
        <v>1537</v>
      </c>
      <c r="D1548">
        <v>25</v>
      </c>
      <c r="E1548">
        <v>25</v>
      </c>
      <c r="F1548">
        <v>-1</v>
      </c>
      <c r="G1548">
        <v>-0.99980500000000005</v>
      </c>
      <c r="H1548">
        <v>9.9906249999999996</v>
      </c>
      <c r="J1548">
        <v>-6390</v>
      </c>
      <c r="N1548" t="s">
        <v>194</v>
      </c>
      <c r="O1548">
        <f t="shared" si="72"/>
        <v>10.007799999999998</v>
      </c>
      <c r="P1548">
        <f t="shared" si="73"/>
        <v>-2.1468749999997705E-2</v>
      </c>
      <c r="Q1548">
        <f t="shared" si="74"/>
        <v>2.1468749999997705E-2</v>
      </c>
      <c r="Y1548">
        <f>TREND(H1542:H1546,G1542:G1546,G1548)</f>
        <v>9.9598856405459912</v>
      </c>
      <c r="Z1548">
        <f>ABS((Y1548-H1548)/80*100)</f>
        <v>3.842419931751051E-2</v>
      </c>
      <c r="AH1548">
        <f>H1548-AG1514</f>
        <v>9.8994624999999967</v>
      </c>
      <c r="AI1548">
        <f>100*(AH1548-O1548)/80</f>
        <v>-0.13542187500000136</v>
      </c>
    </row>
    <row r="1549" spans="1:41" x14ac:dyDescent="0.35">
      <c r="A1549" t="s">
        <v>277</v>
      </c>
      <c r="B1549" t="s">
        <v>1111</v>
      </c>
      <c r="C1549" t="s">
        <v>1574</v>
      </c>
      <c r="D1549">
        <v>50</v>
      </c>
      <c r="E1549">
        <v>50</v>
      </c>
      <c r="F1549">
        <v>-1</v>
      </c>
      <c r="G1549">
        <v>-1.000464</v>
      </c>
      <c r="H1549">
        <v>10.2171875</v>
      </c>
      <c r="J1549">
        <v>3552</v>
      </c>
      <c r="N1549" t="s">
        <v>194</v>
      </c>
      <c r="O1549">
        <f t="shared" si="72"/>
        <v>9.9814399999999992</v>
      </c>
      <c r="P1549">
        <f t="shared" si="73"/>
        <v>0.29468437500000055</v>
      </c>
      <c r="Q1549">
        <f t="shared" si="74"/>
        <v>0.29468437500000055</v>
      </c>
      <c r="S1549">
        <v>50.253124999999997</v>
      </c>
      <c r="T1549">
        <v>0.34120624999999905</v>
      </c>
      <c r="U1549">
        <v>90.339062499999997</v>
      </c>
      <c r="V1549">
        <v>0.41782812500001043</v>
      </c>
      <c r="W1549">
        <v>80.121878051757818</v>
      </c>
      <c r="X1549">
        <f>(W1549-80)/80*100</f>
        <v>0.15234756469727273</v>
      </c>
      <c r="Y1549">
        <f>TREND(H1549:H1553,G1549:G1553,G1549)</f>
        <v>10.192215582781053</v>
      </c>
      <c r="Z1549">
        <f>ABS((Y1549-H1549)/80*100)</f>
        <v>3.1214896523683588E-2</v>
      </c>
      <c r="AA1549">
        <f>MAX(Z1549:Z1553)</f>
        <v>5.24616261499311E-2</v>
      </c>
      <c r="AB1549">
        <f>IF(ABS(MAX(P1549:P1555)) &gt; ABS(MIN(P1549:P1555)),MAX(P1549:P1555), MIN(P1549:P1555))</f>
        <v>1.3055875000000028</v>
      </c>
      <c r="AC1549">
        <f>IF(ABS(AB1550)&gt;ABS(AB1549),AB1550,AB1549)</f>
        <v>1.3055875000000028</v>
      </c>
      <c r="AH1549">
        <f>H1549-AG1514</f>
        <v>10.126024999999997</v>
      </c>
      <c r="AI1549">
        <f>100*(AH1549-O1549)/80</f>
        <v>0.1807312499999969</v>
      </c>
      <c r="AJ1549">
        <v>50.161962499999994</v>
      </c>
      <c r="AK1549">
        <v>0.22725312499999539</v>
      </c>
      <c r="AL1549">
        <v>90.247899999999987</v>
      </c>
      <c r="AM1549">
        <v>0.3038749999999979</v>
      </c>
      <c r="AN1549">
        <f>IF(ABS(MAX(AI1549:AI1555)) &gt; ABS(MIN(AI1549:AI1555)),MAX(AI1549:AI1555), MIN(AI1549:AI1555))</f>
        <v>1.1916343749999991</v>
      </c>
      <c r="AO1549">
        <f>IF(ABS(AN1550)&gt;ABS(AN1549),AN1550,AN1549)</f>
        <v>1.1916343749999991</v>
      </c>
    </row>
    <row r="1550" spans="1:41" x14ac:dyDescent="0.35">
      <c r="A1550" t="s">
        <v>277</v>
      </c>
      <c r="B1550" t="s">
        <v>1111</v>
      </c>
      <c r="C1550" t="s">
        <v>1610</v>
      </c>
      <c r="D1550">
        <v>50</v>
      </c>
      <c r="E1550">
        <v>50</v>
      </c>
      <c r="F1550">
        <v>-0.5</v>
      </c>
      <c r="G1550">
        <v>-0.50005999999999995</v>
      </c>
      <c r="H1550">
        <v>30.201562500000001</v>
      </c>
      <c r="J1550">
        <v>3583</v>
      </c>
      <c r="N1550" t="s">
        <v>194</v>
      </c>
      <c r="O1550">
        <f t="shared" si="72"/>
        <v>29.997600000000002</v>
      </c>
      <c r="P1550">
        <f t="shared" si="73"/>
        <v>0.25495312499999923</v>
      </c>
      <c r="Q1550">
        <f t="shared" si="74"/>
        <v>0.25495312499999923</v>
      </c>
      <c r="Y1550">
        <f>TREND(H1549:H1553,G1549:G1553,G1550)</f>
        <v>30.243509283377026</v>
      </c>
      <c r="Z1550">
        <f>ABS((Y1550-H1550)/80*100)</f>
        <v>5.2433479221281054E-2</v>
      </c>
      <c r="AB1550">
        <f>IF(ABS(T1549) &gt; ABS(V1549),T1549,V1549)</f>
        <v>0.41782812500001043</v>
      </c>
      <c r="AH1550">
        <f>H1550-AG1514</f>
        <v>30.110399999999998</v>
      </c>
      <c r="AI1550">
        <f>100*(AH1550-O1550)/80</f>
        <v>0.14099999999999557</v>
      </c>
      <c r="AN1550">
        <f>IF(ABS(AK1549) &gt; ABS(AM1549),AK1549,AM1549)</f>
        <v>0.3038749999999979</v>
      </c>
    </row>
    <row r="1551" spans="1:41" x14ac:dyDescent="0.35">
      <c r="A1551" t="s">
        <v>277</v>
      </c>
      <c r="B1551" t="s">
        <v>1111</v>
      </c>
      <c r="C1551" t="s">
        <v>1647</v>
      </c>
      <c r="D1551">
        <v>50</v>
      </c>
      <c r="E1551">
        <v>50</v>
      </c>
      <c r="F1551">
        <v>0</v>
      </c>
      <c r="G1551">
        <v>-4.9600000000000002E-4</v>
      </c>
      <c r="H1551">
        <v>50.253124999999997</v>
      </c>
      <c r="J1551">
        <v>3605</v>
      </c>
      <c r="N1551" t="s">
        <v>194</v>
      </c>
      <c r="O1551">
        <f t="shared" si="72"/>
        <v>49.980159999999998</v>
      </c>
      <c r="P1551">
        <f t="shared" si="73"/>
        <v>0.34120624999999905</v>
      </c>
      <c r="Q1551">
        <f t="shared" si="74"/>
        <v>0.34120624999999905</v>
      </c>
      <c r="Y1551">
        <f>TREND(H1549:H1553,G1549:G1553,G1551)</f>
        <v>50.261144007009385</v>
      </c>
      <c r="Z1551">
        <f>ABS((Y1551-H1551)/80*100)</f>
        <v>1.0023758761734669E-2</v>
      </c>
      <c r="AH1551">
        <f>H1551-AG1514</f>
        <v>50.161962499999994</v>
      </c>
      <c r="AI1551">
        <f>100*(AH1551-O1551)/80</f>
        <v>0.22725312499999539</v>
      </c>
    </row>
    <row r="1552" spans="1:41" x14ac:dyDescent="0.35">
      <c r="A1552" t="s">
        <v>277</v>
      </c>
      <c r="B1552" t="s">
        <v>1111</v>
      </c>
      <c r="C1552" t="s">
        <v>1684</v>
      </c>
      <c r="D1552">
        <v>50</v>
      </c>
      <c r="E1552">
        <v>50</v>
      </c>
      <c r="F1552">
        <v>0.5</v>
      </c>
      <c r="G1552">
        <v>0.499915</v>
      </c>
      <c r="H1552">
        <v>70.354687499999997</v>
      </c>
      <c r="J1552">
        <v>3628</v>
      </c>
      <c r="N1552" t="s">
        <v>194</v>
      </c>
      <c r="O1552">
        <f t="shared" si="72"/>
        <v>69.996600000000001</v>
      </c>
      <c r="P1552">
        <f t="shared" si="73"/>
        <v>0.44760937499999542</v>
      </c>
      <c r="Q1552">
        <f t="shared" si="74"/>
        <v>0.44760937499999542</v>
      </c>
      <c r="Y1552">
        <f>TREND(H1549:H1553,G1549:G1553,G1552)</f>
        <v>70.312718199080052</v>
      </c>
      <c r="Z1552">
        <f>ABS((Y1552-H1552)/80*100)</f>
        <v>5.24616261499311E-2</v>
      </c>
      <c r="AH1552">
        <f>H1552-AG1514</f>
        <v>70.263524999999987</v>
      </c>
      <c r="AI1552">
        <f>100*(AH1552-O1552)/80</f>
        <v>0.33365624999998289</v>
      </c>
    </row>
    <row r="1553" spans="1:41" x14ac:dyDescent="0.35">
      <c r="A1553" t="s">
        <v>277</v>
      </c>
      <c r="B1553" t="s">
        <v>1111</v>
      </c>
      <c r="C1553" t="s">
        <v>1721</v>
      </c>
      <c r="D1553">
        <v>50</v>
      </c>
      <c r="E1553">
        <v>50</v>
      </c>
      <c r="F1553">
        <v>1</v>
      </c>
      <c r="G1553">
        <v>1.0001199999999999</v>
      </c>
      <c r="H1553">
        <v>90.339062499999997</v>
      </c>
      <c r="J1553">
        <v>3644</v>
      </c>
      <c r="N1553" t="s">
        <v>194</v>
      </c>
      <c r="O1553">
        <f t="shared" si="72"/>
        <v>90.004799999999989</v>
      </c>
      <c r="P1553">
        <f t="shared" si="73"/>
        <v>0.41782812500001043</v>
      </c>
      <c r="Q1553">
        <f t="shared" si="74"/>
        <v>0.41782812500001043</v>
      </c>
      <c r="Y1553">
        <f>TREND(H1549:H1553,G1549:G1553,G1553)</f>
        <v>90.35603792775251</v>
      </c>
      <c r="Z1553">
        <f>ABS((Y1553-H1553)/80*100)</f>
        <v>2.121928469064116E-2</v>
      </c>
      <c r="AH1553">
        <f>H1553-AG1514</f>
        <v>90.247899999999987</v>
      </c>
      <c r="AI1553">
        <f>100*(AH1553-O1553)/80</f>
        <v>0.3038749999999979</v>
      </c>
    </row>
    <row r="1554" spans="1:41" x14ac:dyDescent="0.35">
      <c r="A1554" t="s">
        <v>277</v>
      </c>
      <c r="B1554" t="s">
        <v>1111</v>
      </c>
      <c r="C1554" t="s">
        <v>1757</v>
      </c>
      <c r="D1554">
        <v>50</v>
      </c>
      <c r="E1554">
        <v>50</v>
      </c>
      <c r="F1554">
        <v>0</v>
      </c>
      <c r="G1554">
        <v>1.5999999999999999E-5</v>
      </c>
      <c r="H1554">
        <v>50.28125</v>
      </c>
      <c r="J1554">
        <v>3659</v>
      </c>
      <c r="N1554" t="s">
        <v>194</v>
      </c>
      <c r="O1554">
        <f t="shared" si="72"/>
        <v>50.000640000000004</v>
      </c>
      <c r="P1554">
        <f t="shared" si="73"/>
        <v>0.35076249999999476</v>
      </c>
      <c r="Q1554">
        <f t="shared" si="74"/>
        <v>0.35076249999999476</v>
      </c>
      <c r="Y1554">
        <f>TREND(H1549:H1553,G1549:G1553,G1554)</f>
        <v>50.281659954872922</v>
      </c>
      <c r="Z1554">
        <f>ABS((Y1554-H1554)/80*100)</f>
        <v>5.1244359115187876E-4</v>
      </c>
      <c r="AH1554">
        <f>H1554-AG1514</f>
        <v>50.190087499999997</v>
      </c>
      <c r="AI1554">
        <f>100*(AH1554-O1554)/80</f>
        <v>0.23680937499999111</v>
      </c>
    </row>
    <row r="1555" spans="1:41" x14ac:dyDescent="0.35">
      <c r="A1555" t="s">
        <v>277</v>
      </c>
      <c r="B1555" t="s">
        <v>1111</v>
      </c>
      <c r="C1555" t="s">
        <v>1794</v>
      </c>
      <c r="D1555">
        <v>50</v>
      </c>
      <c r="E1555">
        <v>50</v>
      </c>
      <c r="F1555">
        <v>-1</v>
      </c>
      <c r="G1555">
        <v>-1.0000180000000001</v>
      </c>
      <c r="H1555">
        <v>11.043749999999999</v>
      </c>
      <c r="J1555">
        <v>3681</v>
      </c>
      <c r="N1555" t="s">
        <v>194</v>
      </c>
      <c r="O1555">
        <f t="shared" si="72"/>
        <v>9.9992799999999971</v>
      </c>
      <c r="P1555">
        <f t="shared" si="73"/>
        <v>1.3055875000000028</v>
      </c>
      <c r="Q1555">
        <f t="shared" si="74"/>
        <v>1.3055875000000028</v>
      </c>
      <c r="Y1555">
        <f>TREND(H1549:H1553,G1549:G1553,G1555)</f>
        <v>10.2100868967403</v>
      </c>
      <c r="Z1555">
        <f>ABS((Y1555-H1555)/80*100)</f>
        <v>1.0420788790746238</v>
      </c>
      <c r="AH1555">
        <f>H1555-AG1514</f>
        <v>10.952587499999996</v>
      </c>
      <c r="AI1555">
        <f>100*(AH1555-O1555)/80</f>
        <v>1.1916343749999991</v>
      </c>
    </row>
    <row r="1556" spans="1:41" x14ac:dyDescent="0.35">
      <c r="A1556" t="s">
        <v>277</v>
      </c>
      <c r="B1556" t="s">
        <v>1111</v>
      </c>
      <c r="C1556" t="s">
        <v>1831</v>
      </c>
      <c r="D1556">
        <v>70</v>
      </c>
      <c r="E1556">
        <v>70</v>
      </c>
      <c r="F1556">
        <v>-1</v>
      </c>
      <c r="G1556">
        <v>-1.000289</v>
      </c>
      <c r="H1556">
        <v>10.706250000000001</v>
      </c>
      <c r="J1556">
        <v>11727</v>
      </c>
      <c r="N1556" t="s">
        <v>194</v>
      </c>
      <c r="O1556">
        <f t="shared" si="72"/>
        <v>9.9884400000000007</v>
      </c>
      <c r="P1556">
        <f t="shared" si="73"/>
        <v>0.89726250000000007</v>
      </c>
      <c r="Q1556">
        <f t="shared" si="74"/>
        <v>0.89726250000000007</v>
      </c>
      <c r="S1556">
        <v>50.6796875</v>
      </c>
      <c r="T1556">
        <v>0.8481593750000016</v>
      </c>
      <c r="U1556">
        <v>90.545312499999994</v>
      </c>
      <c r="V1556">
        <v>0.68704062500000163</v>
      </c>
      <c r="W1556">
        <v>79.839060974121097</v>
      </c>
      <c r="X1556">
        <f>(W1556-80)/80*100</f>
        <v>-0.20117378234862926</v>
      </c>
      <c r="Y1556">
        <f>TREND(H1556:H1560,G1556:G1560,G1556)</f>
        <v>10.673700301213053</v>
      </c>
      <c r="Z1556">
        <f>ABS((Y1556-H1556)/80*100)</f>
        <v>4.0687123483684751E-2</v>
      </c>
      <c r="AA1556">
        <f>MAX(Z1556:Z1560)</f>
        <v>0.11650605291633198</v>
      </c>
      <c r="AB1556">
        <f>IF(ABS(MAX(P1556:P1562)) &gt; ABS(MIN(P1556:P1562)),MAX(P1556:P1562), MIN(P1556:P1562))</f>
        <v>0.89726250000000007</v>
      </c>
      <c r="AC1556">
        <f>IF(ABS(AB1557)&gt;ABS(AB1556),AB1557,AB1556)</f>
        <v>0.89726250000000007</v>
      </c>
      <c r="AH1556">
        <f>H1556-AG1514</f>
        <v>10.615087499999998</v>
      </c>
      <c r="AI1556">
        <f>100*(AH1556-O1556)/80</f>
        <v>0.78330937499999642</v>
      </c>
      <c r="AJ1556">
        <v>50.588524999999997</v>
      </c>
      <c r="AK1556">
        <v>0.73420624999999795</v>
      </c>
      <c r="AL1556">
        <v>90.454149999999998</v>
      </c>
      <c r="AM1556">
        <v>0.57308750000000686</v>
      </c>
      <c r="AN1556">
        <f>IF(ABS(MAX(AI1556:AI1562)) &gt; ABS(MIN(AI1556:AI1562)),MAX(AI1556:AI1562), MIN(AI1556:AI1562))</f>
        <v>0.78330937499999642</v>
      </c>
      <c r="AO1556">
        <f>IF(ABS(AN1557)&gt;ABS(AN1556),AN1557,AN1556)</f>
        <v>0.78330937499999642</v>
      </c>
    </row>
    <row r="1557" spans="1:41" x14ac:dyDescent="0.35">
      <c r="A1557" t="s">
        <v>277</v>
      </c>
      <c r="B1557" t="s">
        <v>1111</v>
      </c>
      <c r="C1557" t="s">
        <v>1868</v>
      </c>
      <c r="D1557">
        <v>70</v>
      </c>
      <c r="E1557">
        <v>70</v>
      </c>
      <c r="F1557">
        <v>-0.5</v>
      </c>
      <c r="G1557">
        <v>-0.49996299999999999</v>
      </c>
      <c r="H1557">
        <v>30.573437500000001</v>
      </c>
      <c r="J1557">
        <v>11747</v>
      </c>
      <c r="N1557" t="s">
        <v>194</v>
      </c>
      <c r="O1557">
        <f t="shared" si="72"/>
        <v>30.001480000000001</v>
      </c>
      <c r="P1557">
        <f t="shared" si="73"/>
        <v>0.71494687499999987</v>
      </c>
      <c r="Q1557">
        <f t="shared" si="74"/>
        <v>0.71494687499999987</v>
      </c>
      <c r="Y1557">
        <f>TREND(H1556:H1560,G1556:G1560,G1557)</f>
        <v>30.666642342333066</v>
      </c>
      <c r="Z1557">
        <f>ABS((Y1557-H1557)/80*100)</f>
        <v>0.11650605291633198</v>
      </c>
      <c r="AB1557">
        <f>IF(ABS(T1556) &gt; ABS(V1556),T1556,V1556)</f>
        <v>0.8481593750000016</v>
      </c>
      <c r="AH1557">
        <f>H1557-AG1514</f>
        <v>30.482274999999998</v>
      </c>
      <c r="AI1557">
        <f>100*(AH1557-O1557)/80</f>
        <v>0.60099374999999622</v>
      </c>
      <c r="AN1557">
        <f>IF(ABS(AK1556) &gt; ABS(AM1556),AK1556,AM1556)</f>
        <v>0.73420624999999795</v>
      </c>
    </row>
    <row r="1558" spans="1:41" x14ac:dyDescent="0.35">
      <c r="A1558" t="s">
        <v>277</v>
      </c>
      <c r="B1558" t="s">
        <v>1111</v>
      </c>
      <c r="C1558" t="s">
        <v>1905</v>
      </c>
      <c r="D1558">
        <v>70</v>
      </c>
      <c r="E1558">
        <v>70</v>
      </c>
      <c r="F1558">
        <v>0</v>
      </c>
      <c r="G1558">
        <v>2.9E-5</v>
      </c>
      <c r="H1558">
        <v>50.6796875</v>
      </c>
      <c r="J1558">
        <v>11773</v>
      </c>
      <c r="N1558" t="s">
        <v>194</v>
      </c>
      <c r="O1558">
        <f t="shared" si="72"/>
        <v>50.001159999999999</v>
      </c>
      <c r="P1558">
        <f t="shared" si="73"/>
        <v>0.8481593750000016</v>
      </c>
      <c r="Q1558">
        <f t="shared" si="74"/>
        <v>0.8481593750000016</v>
      </c>
      <c r="Y1558">
        <f>TREND(H1556:H1560,G1556:G1560,G1558)</f>
        <v>50.646237800141932</v>
      </c>
      <c r="Z1558">
        <f>ABS((Y1558-H1558)/80*100)</f>
        <v>4.1812124822584451E-2</v>
      </c>
      <c r="AH1558">
        <f>H1558-AG1514</f>
        <v>50.588524999999997</v>
      </c>
      <c r="AI1558">
        <f>100*(AH1558-O1558)/80</f>
        <v>0.73420624999999795</v>
      </c>
    </row>
    <row r="1559" spans="1:41" x14ac:dyDescent="0.35">
      <c r="A1559" t="s">
        <v>277</v>
      </c>
      <c r="B1559" t="s">
        <v>1111</v>
      </c>
      <c r="C1559" t="s">
        <v>1941</v>
      </c>
      <c r="D1559">
        <v>70</v>
      </c>
      <c r="E1559">
        <v>70</v>
      </c>
      <c r="F1559">
        <v>0.5</v>
      </c>
      <c r="G1559">
        <v>0.49989099999999997</v>
      </c>
      <c r="H1559">
        <v>70.703125</v>
      </c>
      <c r="J1559">
        <v>11793</v>
      </c>
      <c r="N1559" t="s">
        <v>194</v>
      </c>
      <c r="O1559">
        <f t="shared" si="72"/>
        <v>69.995639999999995</v>
      </c>
      <c r="P1559">
        <f t="shared" si="73"/>
        <v>0.88435625000000684</v>
      </c>
      <c r="Q1559">
        <f t="shared" si="74"/>
        <v>0.88435625000000684</v>
      </c>
      <c r="Y1559">
        <f>TREND(H1556:H1560,G1556:G1560,G1559)</f>
        <v>70.620638480015316</v>
      </c>
      <c r="Z1559">
        <f>ABS((Y1559-H1559)/80*100)</f>
        <v>0.10310814998085506</v>
      </c>
      <c r="AH1559">
        <f>H1559-AG1514</f>
        <v>70.611962500000004</v>
      </c>
      <c r="AI1559">
        <f>100*(AH1559-O1559)/80</f>
        <v>0.77040312500001207</v>
      </c>
    </row>
    <row r="1560" spans="1:41" x14ac:dyDescent="0.35">
      <c r="A1560" t="s">
        <v>277</v>
      </c>
      <c r="B1560" t="s">
        <v>1111</v>
      </c>
      <c r="C1560" t="s">
        <v>1977</v>
      </c>
      <c r="D1560">
        <v>70</v>
      </c>
      <c r="E1560">
        <v>70</v>
      </c>
      <c r="F1560">
        <v>1</v>
      </c>
      <c r="G1560">
        <v>0.999892</v>
      </c>
      <c r="H1560">
        <v>90.545312499999994</v>
      </c>
      <c r="J1560">
        <v>11808</v>
      </c>
      <c r="N1560" t="s">
        <v>194</v>
      </c>
      <c r="O1560">
        <f t="shared" si="72"/>
        <v>89.995679999999993</v>
      </c>
      <c r="P1560">
        <f t="shared" si="73"/>
        <v>0.68704062500000163</v>
      </c>
      <c r="Q1560">
        <f t="shared" si="74"/>
        <v>0.68704062500000163</v>
      </c>
      <c r="Y1560">
        <f>TREND(H1556:H1560,G1556:G1560,G1560)</f>
        <v>90.600593576296632</v>
      </c>
      <c r="Z1560">
        <f>ABS((Y1560-H1560)/80*100)</f>
        <v>6.9101345370796707E-2</v>
      </c>
      <c r="AH1560">
        <f>H1560-AG1514</f>
        <v>90.454149999999998</v>
      </c>
      <c r="AI1560">
        <f>100*(AH1560-O1560)/80</f>
        <v>0.57308750000000686</v>
      </c>
    </row>
    <row r="1561" spans="1:41" x14ac:dyDescent="0.35">
      <c r="A1561" t="s">
        <v>277</v>
      </c>
      <c r="B1561" t="s">
        <v>1111</v>
      </c>
      <c r="C1561" t="s">
        <v>2014</v>
      </c>
      <c r="D1561">
        <v>70</v>
      </c>
      <c r="E1561">
        <v>70</v>
      </c>
      <c r="F1561">
        <v>0</v>
      </c>
      <c r="G1561">
        <v>-6.0000000000000002E-6</v>
      </c>
      <c r="H1561">
        <v>50.629687500000003</v>
      </c>
      <c r="J1561">
        <v>11825</v>
      </c>
      <c r="N1561" t="s">
        <v>194</v>
      </c>
      <c r="O1561">
        <f t="shared" si="72"/>
        <v>49.999760000000002</v>
      </c>
      <c r="P1561">
        <f t="shared" si="73"/>
        <v>0.78740937500000108</v>
      </c>
      <c r="Q1561">
        <f t="shared" si="74"/>
        <v>0.78740937500000108</v>
      </c>
      <c r="Y1561">
        <f>TREND(H1556:H1560,G1556:G1560,G1561)</f>
        <v>50.644839206082381</v>
      </c>
      <c r="Z1561">
        <f>ABS((Y1561-H1561)/80*100)</f>
        <v>1.8939632602972267E-2</v>
      </c>
      <c r="AH1561">
        <f>H1561-AG1514</f>
        <v>50.538525</v>
      </c>
      <c r="AI1561">
        <f>100*(AH1561-O1561)/80</f>
        <v>0.67345624999999742</v>
      </c>
    </row>
    <row r="1562" spans="1:41" x14ac:dyDescent="0.35">
      <c r="A1562" t="s">
        <v>277</v>
      </c>
      <c r="B1562" t="s">
        <v>1111</v>
      </c>
      <c r="C1562" t="s">
        <v>2051</v>
      </c>
      <c r="D1562">
        <v>70</v>
      </c>
      <c r="E1562">
        <v>70</v>
      </c>
      <c r="F1562">
        <v>-1</v>
      </c>
      <c r="G1562">
        <v>-1.000035</v>
      </c>
      <c r="H1562">
        <v>10.6703125</v>
      </c>
      <c r="J1562">
        <v>11836</v>
      </c>
      <c r="N1562" t="s">
        <v>194</v>
      </c>
      <c r="O1562">
        <f t="shared" si="72"/>
        <v>9.9985999999999997</v>
      </c>
      <c r="P1562">
        <f t="shared" si="73"/>
        <v>0.83964062499999981</v>
      </c>
      <c r="Q1562">
        <f t="shared" si="74"/>
        <v>0.83964062499999981</v>
      </c>
      <c r="Y1562">
        <f>TREND(H1556:H1560,G1556:G1560,G1562)</f>
        <v>10.683850098102369</v>
      </c>
      <c r="Z1562">
        <f>ABS((Y1562-H1562)/80*100)</f>
        <v>1.6921997627961094E-2</v>
      </c>
      <c r="AH1562">
        <f>H1562-AG1514</f>
        <v>10.579149999999997</v>
      </c>
      <c r="AI1562">
        <f>100*(AH1562-O1562)/80</f>
        <v>0.72568749999999627</v>
      </c>
    </row>
    <row r="1563" spans="1:41" x14ac:dyDescent="0.35">
      <c r="A1563" t="s">
        <v>277</v>
      </c>
      <c r="B1563" t="s">
        <v>1111</v>
      </c>
      <c r="C1563" t="s">
        <v>2087</v>
      </c>
      <c r="D1563">
        <v>85</v>
      </c>
      <c r="E1563">
        <v>85</v>
      </c>
      <c r="F1563">
        <v>-1</v>
      </c>
      <c r="G1563">
        <v>-1.0000830000000001</v>
      </c>
      <c r="H1563">
        <v>11.1484375</v>
      </c>
      <c r="J1563">
        <v>17882</v>
      </c>
      <c r="N1563" t="s">
        <v>194</v>
      </c>
      <c r="O1563">
        <f t="shared" si="72"/>
        <v>9.9966799999999978</v>
      </c>
      <c r="P1563">
        <f t="shared" si="73"/>
        <v>1.4396968750000028</v>
      </c>
      <c r="Q1563">
        <f t="shared" si="74"/>
        <v>1.4396968750000028</v>
      </c>
      <c r="S1563">
        <v>50.95</v>
      </c>
      <c r="T1563">
        <v>1.1796500000000076</v>
      </c>
      <c r="U1563">
        <v>90.692187500000003</v>
      </c>
      <c r="V1563">
        <v>0.86923437500001199</v>
      </c>
      <c r="W1563">
        <v>79.543746948242188</v>
      </c>
      <c r="X1563">
        <f>(W1563-80)/80*100</f>
        <v>-0.57031631469726563</v>
      </c>
      <c r="Y1563">
        <f>TREND(H1563:H1567,G1563:G1567,G1563)</f>
        <v>11.13114187821995</v>
      </c>
      <c r="Z1563">
        <f>ABS((Y1563-H1563)/80*100)</f>
        <v>2.1619527225062996E-2</v>
      </c>
      <c r="AA1563">
        <f>MAX(Z1563:Z1567)</f>
        <v>0.1251256521747024</v>
      </c>
      <c r="AB1563">
        <f>IF(ABS(MAX(P1563:P1569)) &gt; ABS(MIN(P1563:P1569)),MAX(P1563:P1569), MIN(P1563:P1569))</f>
        <v>1.4718343749999985</v>
      </c>
      <c r="AC1563">
        <f>IF(ABS(AB1564)&gt;ABS(AB1563),AB1564,AB1563)</f>
        <v>1.4718343749999985</v>
      </c>
      <c r="AH1563">
        <f>H1563-AG1514</f>
        <v>11.057274999999997</v>
      </c>
      <c r="AI1563">
        <f>100*(AH1563-O1563)/80</f>
        <v>1.3257437499999991</v>
      </c>
      <c r="AJ1563">
        <v>50.8588375</v>
      </c>
      <c r="AK1563">
        <v>1.065696875000004</v>
      </c>
      <c r="AL1563">
        <v>90.601024999999993</v>
      </c>
      <c r="AM1563">
        <v>0.75528124999999946</v>
      </c>
      <c r="AN1563">
        <f>IF(ABS(MAX(AI1563:AI1569)) &gt; ABS(MIN(AI1563:AI1569)),MAX(AI1563:AI1569), MIN(AI1563:AI1569))</f>
        <v>1.3578812499999948</v>
      </c>
      <c r="AO1563">
        <f>IF(ABS(AN1564)&gt;ABS(AN1563),AN1564,AN1563)</f>
        <v>1.3578812499999948</v>
      </c>
    </row>
    <row r="1564" spans="1:41" x14ac:dyDescent="0.35">
      <c r="A1564" t="s">
        <v>277</v>
      </c>
      <c r="B1564" t="s">
        <v>1111</v>
      </c>
      <c r="C1564" t="s">
        <v>2123</v>
      </c>
      <c r="D1564">
        <v>85</v>
      </c>
      <c r="E1564">
        <v>85</v>
      </c>
      <c r="F1564">
        <v>-0.5</v>
      </c>
      <c r="G1564">
        <v>-0.49984099999999998</v>
      </c>
      <c r="H1564">
        <v>30.990625000000001</v>
      </c>
      <c r="J1564">
        <v>17900</v>
      </c>
      <c r="N1564" t="s">
        <v>194</v>
      </c>
      <c r="O1564">
        <f t="shared" si="72"/>
        <v>30.006360000000001</v>
      </c>
      <c r="P1564">
        <f t="shared" si="73"/>
        <v>1.2303312500000008</v>
      </c>
      <c r="Q1564">
        <f t="shared" si="74"/>
        <v>1.2303312500000008</v>
      </c>
      <c r="Y1564">
        <f>TREND(H1563:H1567,G1563:G1567,G1564)</f>
        <v>31.046129614467397</v>
      </c>
      <c r="Z1564">
        <f>ABS((Y1564-H1564)/80*100)</f>
        <v>6.9380768084243982E-2</v>
      </c>
      <c r="AB1564">
        <f>IF(ABS(T1563) &gt; ABS(V1563),T1563,V1563)</f>
        <v>1.1796500000000076</v>
      </c>
      <c r="AH1564">
        <f>H1564-AG1514</f>
        <v>30.899462499999998</v>
      </c>
      <c r="AI1564">
        <f>100*(AH1564-O1564)/80</f>
        <v>1.1163781249999971</v>
      </c>
      <c r="AN1564">
        <f>IF(ABS(AK1563) &gt; ABS(AM1563),AK1563,AM1563)</f>
        <v>1.065696875000004</v>
      </c>
    </row>
    <row r="1565" spans="1:41" x14ac:dyDescent="0.35">
      <c r="A1565" t="s">
        <v>277</v>
      </c>
      <c r="B1565" t="s">
        <v>1111</v>
      </c>
      <c r="C1565" t="s">
        <v>2159</v>
      </c>
      <c r="D1565">
        <v>85</v>
      </c>
      <c r="E1565">
        <v>85</v>
      </c>
      <c r="F1565">
        <v>0</v>
      </c>
      <c r="G1565">
        <v>1.5699999999999999E-4</v>
      </c>
      <c r="H1565">
        <v>50.95</v>
      </c>
      <c r="J1565">
        <v>17913</v>
      </c>
      <c r="N1565" t="s">
        <v>194</v>
      </c>
      <c r="O1565">
        <f t="shared" si="72"/>
        <v>50.006279999999997</v>
      </c>
      <c r="P1565">
        <f t="shared" si="73"/>
        <v>1.1796500000000076</v>
      </c>
      <c r="Q1565">
        <f t="shared" si="74"/>
        <v>1.1796500000000076</v>
      </c>
      <c r="Y1565">
        <f>TREND(H1563:H1567,G1563:G1567,G1565)</f>
        <v>50.951403538184813</v>
      </c>
      <c r="Z1565">
        <f>ABS((Y1565-H1565)/80*100)</f>
        <v>1.7544227310128944E-3</v>
      </c>
      <c r="AH1565">
        <f>H1565-AG1514</f>
        <v>50.8588375</v>
      </c>
      <c r="AI1565">
        <f>100*(AH1565-O1565)/80</f>
        <v>1.065696875000004</v>
      </c>
    </row>
    <row r="1566" spans="1:41" x14ac:dyDescent="0.35">
      <c r="A1566" t="s">
        <v>277</v>
      </c>
      <c r="B1566" t="s">
        <v>1111</v>
      </c>
      <c r="C1566" t="s">
        <v>2196</v>
      </c>
      <c r="D1566">
        <v>85</v>
      </c>
      <c r="E1566">
        <v>85</v>
      </c>
      <c r="F1566">
        <v>0.5</v>
      </c>
      <c r="G1566">
        <v>0.49986700000000001</v>
      </c>
      <c r="H1566">
        <v>70.9453125</v>
      </c>
      <c r="J1566">
        <v>17930</v>
      </c>
      <c r="N1566" t="s">
        <v>194</v>
      </c>
      <c r="O1566">
        <f t="shared" si="72"/>
        <v>69.994680000000002</v>
      </c>
      <c r="P1566">
        <f t="shared" si="73"/>
        <v>1.1882906249999969</v>
      </c>
      <c r="Q1566">
        <f t="shared" si="74"/>
        <v>1.1882906249999969</v>
      </c>
      <c r="Y1566">
        <f>TREND(H1563:H1567,G1563:G1567,G1566)</f>
        <v>70.845211978260238</v>
      </c>
      <c r="Z1566">
        <f>ABS((Y1566-H1566)/80*100)</f>
        <v>0.1251256521747024</v>
      </c>
      <c r="AH1566">
        <f>H1566-AG1514</f>
        <v>70.854150000000004</v>
      </c>
      <c r="AI1566">
        <f>100*(AH1566-O1566)/80</f>
        <v>1.0743375000000022</v>
      </c>
    </row>
    <row r="1567" spans="1:41" x14ac:dyDescent="0.35">
      <c r="A1567" t="s">
        <v>277</v>
      </c>
      <c r="B1567" t="s">
        <v>1111</v>
      </c>
      <c r="C1567" t="s">
        <v>2233</v>
      </c>
      <c r="D1567">
        <v>85</v>
      </c>
      <c r="E1567">
        <v>85</v>
      </c>
      <c r="F1567">
        <v>1</v>
      </c>
      <c r="G1567">
        <v>0.99992000000000003</v>
      </c>
      <c r="H1567">
        <v>90.692187500000003</v>
      </c>
      <c r="J1567">
        <v>17943</v>
      </c>
      <c r="N1567" t="s">
        <v>194</v>
      </c>
      <c r="O1567">
        <f t="shared" si="72"/>
        <v>89.996799999999993</v>
      </c>
      <c r="P1567">
        <f t="shared" si="73"/>
        <v>0.86923437500001199</v>
      </c>
      <c r="Q1567">
        <f t="shared" si="74"/>
        <v>0.86923437500001199</v>
      </c>
      <c r="Y1567">
        <f>TREND(H1563:H1567,G1563:G1567,G1567)</f>
        <v>90.752675490867617</v>
      </c>
      <c r="Z1567">
        <f>ABS((Y1567-H1567)/80*100)</f>
        <v>7.5609988584517396E-2</v>
      </c>
      <c r="AH1567">
        <f>H1567-AG1514</f>
        <v>90.601024999999993</v>
      </c>
      <c r="AI1567">
        <f>100*(AH1567-O1567)/80</f>
        <v>0.75528124999999946</v>
      </c>
    </row>
    <row r="1568" spans="1:41" x14ac:dyDescent="0.35">
      <c r="A1568" t="s">
        <v>277</v>
      </c>
      <c r="B1568" t="s">
        <v>1111</v>
      </c>
      <c r="C1568" t="s">
        <v>2269</v>
      </c>
      <c r="D1568">
        <v>85</v>
      </c>
      <c r="E1568">
        <v>85</v>
      </c>
      <c r="F1568">
        <v>0</v>
      </c>
      <c r="G1568">
        <v>6.6000000000000005E-5</v>
      </c>
      <c r="H1568">
        <v>51.024999999999999</v>
      </c>
      <c r="J1568">
        <v>17959</v>
      </c>
      <c r="N1568" t="s">
        <v>194</v>
      </c>
      <c r="O1568">
        <f t="shared" si="72"/>
        <v>50.00264</v>
      </c>
      <c r="P1568">
        <f t="shared" si="73"/>
        <v>1.2779499999999988</v>
      </c>
      <c r="Q1568">
        <f t="shared" si="74"/>
        <v>1.2779499999999988</v>
      </c>
      <c r="Y1568">
        <f>TREND(H1563:H1567,G1563:G1567,G1568)</f>
        <v>50.947780763839596</v>
      </c>
      <c r="Z1568">
        <f>ABS((Y1568-H1568)/80*100)</f>
        <v>9.6524045200503394E-2</v>
      </c>
      <c r="AH1568">
        <f>H1568-AG1514</f>
        <v>50.933837499999996</v>
      </c>
      <c r="AI1568">
        <f>100*(AH1568-O1568)/80</f>
        <v>1.1639968749999952</v>
      </c>
    </row>
    <row r="1569" spans="1:41" x14ac:dyDescent="0.35">
      <c r="A1569" t="s">
        <v>277</v>
      </c>
      <c r="B1569" t="s">
        <v>1111</v>
      </c>
      <c r="C1569" t="s">
        <v>2306</v>
      </c>
      <c r="D1569">
        <v>85</v>
      </c>
      <c r="E1569">
        <v>85</v>
      </c>
      <c r="F1569">
        <v>-1</v>
      </c>
      <c r="G1569">
        <v>-1.000257</v>
      </c>
      <c r="H1569">
        <v>11.167187500000001</v>
      </c>
      <c r="J1569">
        <v>17976</v>
      </c>
      <c r="N1569" t="s">
        <v>194</v>
      </c>
      <c r="O1569">
        <f t="shared" si="72"/>
        <v>9.9897200000000019</v>
      </c>
      <c r="P1569">
        <f t="shared" si="73"/>
        <v>1.4718343749999985</v>
      </c>
      <c r="Q1569">
        <f t="shared" si="74"/>
        <v>1.4718343749999985</v>
      </c>
      <c r="Y1569">
        <f>TREND(H1563:H1567,G1563:G1567,G1569)</f>
        <v>11.124214815186249</v>
      </c>
      <c r="Z1569">
        <f>ABS((Y1569-H1569)/80*100)</f>
        <v>5.371585601718909E-2</v>
      </c>
      <c r="AH1569">
        <f>H1569-AG1514</f>
        <v>11.076024999999998</v>
      </c>
      <c r="AI1569">
        <f>100*(AH1569-O1569)/80</f>
        <v>1.3578812499999948</v>
      </c>
    </row>
    <row r="1570" spans="1:41" x14ac:dyDescent="0.35">
      <c r="A1570" t="s">
        <v>277</v>
      </c>
      <c r="B1570" t="s">
        <v>1111</v>
      </c>
      <c r="C1570" t="s">
        <v>2343</v>
      </c>
      <c r="D1570">
        <v>25</v>
      </c>
      <c r="E1570">
        <v>25</v>
      </c>
      <c r="F1570">
        <v>-1</v>
      </c>
      <c r="G1570">
        <v>-1.000175</v>
      </c>
      <c r="H1570">
        <v>9.90625</v>
      </c>
      <c r="J1570">
        <v>-5838</v>
      </c>
      <c r="N1570" t="s">
        <v>194</v>
      </c>
      <c r="O1570">
        <f t="shared" si="72"/>
        <v>9.9929999999999986</v>
      </c>
      <c r="P1570">
        <f t="shared" si="73"/>
        <v>-0.10843749999999819</v>
      </c>
      <c r="Q1570">
        <f t="shared" si="74"/>
        <v>0.10843749999999819</v>
      </c>
      <c r="S1570">
        <v>49.985937499999999</v>
      </c>
      <c r="T1570">
        <v>-1.1978125000000617E-2</v>
      </c>
      <c r="U1570">
        <v>90.131249999999994</v>
      </c>
      <c r="V1570">
        <v>0.17461249999998429</v>
      </c>
      <c r="W1570">
        <v>80.224998474121094</v>
      </c>
      <c r="X1570">
        <f>(W1570-80)/80*100</f>
        <v>0.28124809265136719</v>
      </c>
      <c r="Y1570">
        <f>TREND(H1570:H1574,G1570:G1574,G1570)</f>
        <v>9.8132028495942762</v>
      </c>
      <c r="Z1570">
        <f>ABS((Y1570-H1570)/80*100)</f>
        <v>0.11630893800715469</v>
      </c>
      <c r="AA1570">
        <f>MAX(Z1570:Z1574)</f>
        <v>0.19092395516637328</v>
      </c>
      <c r="AB1570">
        <f>IF(ABS(MAX(P1570:P1576)) &gt; ABS(MIN(P1570:P1576)),MAX(P1570:P1576), MIN(P1570:P1576))</f>
        <v>-0.30585625000000061</v>
      </c>
      <c r="AC1570">
        <f>IF(ABS(AB1571)&gt;ABS(AB1570),AB1571,AB1570)</f>
        <v>-0.30585625000000061</v>
      </c>
      <c r="AH1570">
        <f>H1570-AG1514</f>
        <v>9.8150874999999971</v>
      </c>
      <c r="AI1570">
        <f>100*(AH1570-O1570)/80</f>
        <v>-0.22239062500000184</v>
      </c>
      <c r="AJ1570">
        <v>49.894774999999996</v>
      </c>
      <c r="AK1570">
        <v>-0.12593125000000427</v>
      </c>
      <c r="AL1570">
        <v>90.040087499999998</v>
      </c>
      <c r="AM1570">
        <v>6.0659374999989524E-2</v>
      </c>
      <c r="AN1570">
        <f>IF(ABS(MAX(AI1570:AI1576)) &gt; ABS(MIN(AI1570:AI1576)),MAX(AI1570:AI1576), MIN(AI1570:AI1576))</f>
        <v>-0.41980937500000426</v>
      </c>
      <c r="AO1570">
        <f>IF(ABS(AN1571)&gt;ABS(AN1570),AN1571,AN1570)</f>
        <v>-0.41980937500000426</v>
      </c>
    </row>
    <row r="1571" spans="1:41" x14ac:dyDescent="0.35">
      <c r="A1571" t="s">
        <v>277</v>
      </c>
      <c r="B1571" t="s">
        <v>1111</v>
      </c>
      <c r="C1571" t="s">
        <v>2380</v>
      </c>
      <c r="D1571">
        <v>25</v>
      </c>
      <c r="E1571">
        <v>25</v>
      </c>
      <c r="F1571">
        <v>-0.5</v>
      </c>
      <c r="G1571">
        <v>-0.49958599999999997</v>
      </c>
      <c r="H1571">
        <v>29.771875000000001</v>
      </c>
      <c r="J1571">
        <v>-5873</v>
      </c>
      <c r="N1571" t="s">
        <v>194</v>
      </c>
      <c r="O1571">
        <f t="shared" si="72"/>
        <v>30.016560000000002</v>
      </c>
      <c r="P1571">
        <f t="shared" si="73"/>
        <v>-0.30585625000000061</v>
      </c>
      <c r="Q1571">
        <f t="shared" si="74"/>
        <v>0.30585625000000061</v>
      </c>
      <c r="Y1571">
        <f>TREND(H1570:H1574,G1570:G1574,G1571)</f>
        <v>29.9246141641331</v>
      </c>
      <c r="Z1571">
        <f>ABS((Y1571-H1571)/80*100)</f>
        <v>0.19092395516637328</v>
      </c>
      <c r="AB1571">
        <f>IF(ABS(T1570) &gt; ABS(V1570),T1570,V1570)</f>
        <v>0.17461249999998429</v>
      </c>
      <c r="AH1571">
        <f>H1571-AG1514</f>
        <v>29.680712499999998</v>
      </c>
      <c r="AI1571">
        <f>100*(AH1571-O1571)/80</f>
        <v>-0.41980937500000426</v>
      </c>
      <c r="AN1571">
        <f>IF(ABS(AK1570) &gt; ABS(AM1570),AK1570,AM1570)</f>
        <v>-0.12593125000000427</v>
      </c>
    </row>
    <row r="1572" spans="1:41" x14ac:dyDescent="0.35">
      <c r="A1572" t="s">
        <v>277</v>
      </c>
      <c r="B1572" t="s">
        <v>1111</v>
      </c>
      <c r="C1572" t="s">
        <v>2416</v>
      </c>
      <c r="D1572">
        <v>25</v>
      </c>
      <c r="E1572">
        <v>25</v>
      </c>
      <c r="F1572">
        <v>0</v>
      </c>
      <c r="G1572">
        <v>-1.12E-4</v>
      </c>
      <c r="H1572">
        <v>49.985937499999999</v>
      </c>
      <c r="J1572">
        <v>-5908</v>
      </c>
      <c r="N1572" t="s">
        <v>194</v>
      </c>
      <c r="O1572">
        <f t="shared" si="72"/>
        <v>49.995519999999999</v>
      </c>
      <c r="P1572">
        <f t="shared" si="73"/>
        <v>-1.1978125000000617E-2</v>
      </c>
      <c r="Q1572">
        <f t="shared" si="74"/>
        <v>1.1978125000000617E-2</v>
      </c>
      <c r="Y1572">
        <f>TREND(H1570:H1574,G1570:G1574,G1572)</f>
        <v>49.991229800749096</v>
      </c>
      <c r="Z1572">
        <f>ABS((Y1572-H1572)/80*100)</f>
        <v>6.615375936371847E-3</v>
      </c>
      <c r="AH1572">
        <f>H1572-AG1514</f>
        <v>49.894774999999996</v>
      </c>
      <c r="AI1572">
        <f>100*(AH1572-O1572)/80</f>
        <v>-0.12593125000000427</v>
      </c>
    </row>
    <row r="1573" spans="1:41" x14ac:dyDescent="0.35">
      <c r="A1573" t="s">
        <v>277</v>
      </c>
      <c r="B1573" t="s">
        <v>1111</v>
      </c>
      <c r="C1573" t="s">
        <v>2453</v>
      </c>
      <c r="D1573">
        <v>25</v>
      </c>
      <c r="E1573">
        <v>25</v>
      </c>
      <c r="F1573">
        <v>0.5</v>
      </c>
      <c r="G1573">
        <v>0.50007100000000004</v>
      </c>
      <c r="H1573">
        <v>70.182812499999997</v>
      </c>
      <c r="J1573">
        <v>-5929</v>
      </c>
      <c r="N1573" t="s">
        <v>194</v>
      </c>
      <c r="O1573">
        <f t="shared" si="72"/>
        <v>70.002840000000006</v>
      </c>
      <c r="P1573">
        <f t="shared" si="73"/>
        <v>0.22496562499998873</v>
      </c>
      <c r="Q1573">
        <f t="shared" si="74"/>
        <v>0.22496562499998873</v>
      </c>
      <c r="Y1573">
        <f>TREND(H1570:H1574,G1570:G1574,G1573)</f>
        <v>70.086329863954589</v>
      </c>
      <c r="Z1573">
        <f>ABS((Y1573-H1573)/80*100)</f>
        <v>0.12060329505676037</v>
      </c>
      <c r="AH1573">
        <f>H1573-AG1514</f>
        <v>70.091649999999987</v>
      </c>
      <c r="AI1573">
        <f>100*(AH1573-O1573)/80</f>
        <v>0.1110124999999762</v>
      </c>
    </row>
    <row r="1574" spans="1:41" x14ac:dyDescent="0.35">
      <c r="A1574" t="s">
        <v>277</v>
      </c>
      <c r="B1574" t="s">
        <v>1111</v>
      </c>
      <c r="C1574" t="s">
        <v>2490</v>
      </c>
      <c r="D1574">
        <v>25</v>
      </c>
      <c r="E1574">
        <v>25</v>
      </c>
      <c r="F1574">
        <v>1</v>
      </c>
      <c r="G1574">
        <v>0.99978900000000004</v>
      </c>
      <c r="H1574">
        <v>90.131249999999994</v>
      </c>
      <c r="J1574">
        <v>-5956</v>
      </c>
      <c r="N1574" t="s">
        <v>194</v>
      </c>
      <c r="O1574">
        <f t="shared" si="72"/>
        <v>89.991560000000007</v>
      </c>
      <c r="P1574">
        <f t="shared" si="73"/>
        <v>0.17461249999998429</v>
      </c>
      <c r="Q1574">
        <f t="shared" si="74"/>
        <v>0.17461249999998429</v>
      </c>
      <c r="Y1574">
        <f>TREND(H1570:H1574,G1570:G1574,G1574)</f>
        <v>90.162748321568941</v>
      </c>
      <c r="Z1574">
        <f>ABS((Y1574-H1574)/80*100)</f>
        <v>3.937290196118326E-2</v>
      </c>
      <c r="AH1574">
        <f>H1574-AG1514</f>
        <v>90.040087499999998</v>
      </c>
      <c r="AI1574">
        <f>100*(AH1574-O1574)/80</f>
        <v>6.0659374999989524E-2</v>
      </c>
    </row>
    <row r="1575" spans="1:41" x14ac:dyDescent="0.35">
      <c r="A1575" t="s">
        <v>277</v>
      </c>
      <c r="B1575" t="s">
        <v>1111</v>
      </c>
      <c r="C1575" t="s">
        <v>2527</v>
      </c>
      <c r="D1575">
        <v>25</v>
      </c>
      <c r="E1575">
        <v>25</v>
      </c>
      <c r="F1575">
        <v>0</v>
      </c>
      <c r="G1575">
        <v>-9.7999999999999997E-5</v>
      </c>
      <c r="H1575">
        <v>49.943750000000001</v>
      </c>
      <c r="J1575">
        <v>-5979</v>
      </c>
      <c r="N1575" t="s">
        <v>194</v>
      </c>
      <c r="O1575">
        <f t="shared" si="72"/>
        <v>49.996079999999999</v>
      </c>
      <c r="P1575">
        <f t="shared" si="73"/>
        <v>-6.5412499999997209E-2</v>
      </c>
      <c r="Q1575">
        <f t="shared" si="74"/>
        <v>6.5412499999997209E-2</v>
      </c>
      <c r="Y1575">
        <f>TREND(H1570:H1574,G1570:G1574,G1575)</f>
        <v>49.991792257691621</v>
      </c>
      <c r="Z1575">
        <f>ABS((Y1575-H1575)/80*100)</f>
        <v>6.005282211452468E-2</v>
      </c>
      <c r="AH1575">
        <f>H1575-AG1514</f>
        <v>49.852587499999998</v>
      </c>
      <c r="AI1575">
        <f>100*(AH1575-O1575)/80</f>
        <v>-0.17936562500000086</v>
      </c>
    </row>
    <row r="1576" spans="1:41" x14ac:dyDescent="0.35">
      <c r="A1576" t="s">
        <v>277</v>
      </c>
      <c r="B1576" t="s">
        <v>1111</v>
      </c>
      <c r="C1576" t="s">
        <v>2562</v>
      </c>
      <c r="D1576">
        <v>25</v>
      </c>
      <c r="E1576">
        <v>25</v>
      </c>
      <c r="F1576">
        <v>-1</v>
      </c>
      <c r="G1576">
        <v>-1.0003409999999999</v>
      </c>
      <c r="H1576">
        <v>9.78125</v>
      </c>
      <c r="J1576">
        <v>-6005</v>
      </c>
      <c r="N1576" t="s">
        <v>194</v>
      </c>
      <c r="O1576">
        <f t="shared" si="72"/>
        <v>9.986360000000003</v>
      </c>
      <c r="P1576">
        <f t="shared" si="73"/>
        <v>-0.25638750000000377</v>
      </c>
      <c r="Q1576">
        <f t="shared" si="74"/>
        <v>0.25638750000000377</v>
      </c>
      <c r="Y1576">
        <f>TREND(H1570:H1574,G1570:G1574,G1576)</f>
        <v>9.8065337172757268</v>
      </c>
      <c r="Z1576">
        <f>ABS((Y1576-H1576)/80*100)</f>
        <v>3.1604646594658448E-2</v>
      </c>
      <c r="AH1576">
        <f>H1576-AG1514</f>
        <v>9.6900874999999971</v>
      </c>
      <c r="AI1576">
        <f>100*(AH1576-O1576)/80</f>
        <v>-0.37034062500000742</v>
      </c>
    </row>
    <row r="1577" spans="1:41" x14ac:dyDescent="0.35">
      <c r="A1577" t="s">
        <v>279</v>
      </c>
      <c r="B1577" t="s">
        <v>231</v>
      </c>
      <c r="C1577" t="s">
        <v>280</v>
      </c>
      <c r="D1577">
        <v>25</v>
      </c>
      <c r="E1577">
        <v>25</v>
      </c>
      <c r="F1577">
        <v>-1</v>
      </c>
      <c r="G1577">
        <v>-1.0001260000000001</v>
      </c>
      <c r="H1577">
        <v>10.34375</v>
      </c>
      <c r="J1577">
        <v>-6269</v>
      </c>
      <c r="N1577" t="s">
        <v>195</v>
      </c>
      <c r="O1577">
        <f t="shared" si="72"/>
        <v>9.9949599999999972</v>
      </c>
      <c r="P1577">
        <f t="shared" si="73"/>
        <v>0.43598750000000353</v>
      </c>
      <c r="Q1577">
        <f t="shared" si="74"/>
        <v>0.43598750000000353</v>
      </c>
      <c r="S1577">
        <v>50.264062500000001</v>
      </c>
      <c r="T1577">
        <v>0.31862812500000004</v>
      </c>
      <c r="U1577">
        <v>90.434375000000003</v>
      </c>
      <c r="V1577">
        <v>0.54551874999999583</v>
      </c>
      <c r="W1577">
        <v>80.090621948242188</v>
      </c>
      <c r="X1577">
        <f>(W1577-80)/80*100</f>
        <v>0.11327743530273438</v>
      </c>
      <c r="Y1577">
        <f>TREND(H1577:H1581,G1577:G1581,G1577)</f>
        <v>10.279793162138787</v>
      </c>
      <c r="Z1577">
        <f>ABS((Y1577-H1577)/80*100)</f>
        <v>7.9946047326515668E-2</v>
      </c>
      <c r="AA1577">
        <f>MAX(Z1577:Z1581)</f>
        <v>0.1294399091611087</v>
      </c>
      <c r="AB1577">
        <f>IF(ABS(MAX(P1577:P1583)) &gt; ABS(MIN(P1577:P1583)),MAX(P1577:P1583), MIN(P1577:P1583))</f>
        <v>0.59054687499999758</v>
      </c>
      <c r="AC1577">
        <f>IF(ABS(AB1578)&gt;ABS(AB1577),AB1578,AB1577)</f>
        <v>0.59054687499999758</v>
      </c>
      <c r="AD1577">
        <f>MAX(AD1578:AD1579)</f>
        <v>0.1552687499999994</v>
      </c>
      <c r="AE1577">
        <f>MAX(AE1578:AE1598)</f>
        <v>0.4004812499999888</v>
      </c>
      <c r="AF1577">
        <f>MAX(AD1577,AA1577)</f>
        <v>0.1552687499999994</v>
      </c>
      <c r="AG1577">
        <f>H1579-O1579</f>
        <v>0.25490250000000003</v>
      </c>
      <c r="AH1577">
        <f>H1577-AG1577</f>
        <v>10.0888475</v>
      </c>
      <c r="AI1577">
        <f>100*(AH1577-O1577)/80</f>
        <v>0.11735937500000349</v>
      </c>
      <c r="AJ1577">
        <v>50.009160000000001</v>
      </c>
      <c r="AK1577">
        <v>0</v>
      </c>
      <c r="AL1577">
        <v>90.179472500000003</v>
      </c>
      <c r="AM1577">
        <v>0.22689062499999579</v>
      </c>
      <c r="AN1577">
        <f>IF(ABS(MAX(AI1577:AI1583)) &gt; ABS(MIN(AI1577:AI1583)),MAX(AI1577:AI1583), MIN(AI1577:AI1583))</f>
        <v>0.27191874999999754</v>
      </c>
      <c r="AO1577">
        <f>IF(ABS(AN1578)&gt;ABS(AN1577),AN1578,AN1577)</f>
        <v>0.27191874999999754</v>
      </c>
    </row>
    <row r="1578" spans="1:41" x14ac:dyDescent="0.35">
      <c r="A1578" t="s">
        <v>279</v>
      </c>
      <c r="B1578" t="s">
        <v>231</v>
      </c>
      <c r="C1578" t="s">
        <v>331</v>
      </c>
      <c r="D1578">
        <v>25</v>
      </c>
      <c r="E1578">
        <v>25</v>
      </c>
      <c r="F1578">
        <v>-0.5</v>
      </c>
      <c r="G1578">
        <v>-0.500116</v>
      </c>
      <c r="H1578">
        <v>30.274999999999999</v>
      </c>
      <c r="J1578">
        <v>-6262</v>
      </c>
      <c r="N1578" t="s">
        <v>195</v>
      </c>
      <c r="O1578">
        <f t="shared" si="72"/>
        <v>29.995359999999998</v>
      </c>
      <c r="P1578">
        <f t="shared" si="73"/>
        <v>0.34955000000000069</v>
      </c>
      <c r="Q1578">
        <f t="shared" si="74"/>
        <v>0.34955000000000069</v>
      </c>
      <c r="Y1578">
        <f>TREND(H1577:H1581,G1577:G1581,G1578)</f>
        <v>30.316991467548071</v>
      </c>
      <c r="Z1578">
        <f>ABS((Y1578-H1578)/80*100)</f>
        <v>5.248933443509074E-2</v>
      </c>
      <c r="AB1578">
        <f>IF(ABS(T1577) &gt; ABS(V1577),T1577,V1577)</f>
        <v>0.54551874999999583</v>
      </c>
      <c r="AD1578">
        <f>ABS(P1579-P1582)</f>
        <v>0.1552687499999994</v>
      </c>
      <c r="AE1578">
        <f>ABS(P1605-P1577)</f>
        <v>0.23982812500000117</v>
      </c>
      <c r="AH1578">
        <f>H1578-AG1577</f>
        <v>30.020097499999999</v>
      </c>
      <c r="AI1578">
        <f>100*(AH1578-O1578)/80</f>
        <v>3.0921875000000654E-2</v>
      </c>
      <c r="AN1578">
        <f>IF(ABS(AK1577) &gt; ABS(AM1577),AK1577,AM1577)</f>
        <v>0.22689062499999579</v>
      </c>
    </row>
    <row r="1579" spans="1:41" x14ac:dyDescent="0.35">
      <c r="A1579" t="s">
        <v>279</v>
      </c>
      <c r="B1579" t="s">
        <v>231</v>
      </c>
      <c r="C1579" t="s">
        <v>367</v>
      </c>
      <c r="D1579">
        <v>25</v>
      </c>
      <c r="E1579">
        <v>25</v>
      </c>
      <c r="F1579">
        <v>0</v>
      </c>
      <c r="G1579">
        <v>2.2900000000000001E-4</v>
      </c>
      <c r="H1579">
        <v>50.264062500000001</v>
      </c>
      <c r="J1579">
        <v>-6262</v>
      </c>
      <c r="N1579" t="s">
        <v>195</v>
      </c>
      <c r="O1579">
        <f t="shared" si="72"/>
        <v>50.009160000000001</v>
      </c>
      <c r="P1579">
        <f t="shared" si="73"/>
        <v>0.31862812500000004</v>
      </c>
      <c r="Q1579">
        <f t="shared" si="74"/>
        <v>0.31862812500000004</v>
      </c>
      <c r="Y1579">
        <f>TREND(H1577:H1581,G1577:G1581,G1579)</f>
        <v>50.367614427328888</v>
      </c>
      <c r="Z1579">
        <f>ABS((Y1579-H1579)/80*100)</f>
        <v>0.1294399091611087</v>
      </c>
      <c r="AD1579">
        <f>ABS(P1577-P1583)</f>
        <v>9.7253124999994167E-2</v>
      </c>
      <c r="AE1579">
        <f>ABS(P1606-P1578)</f>
        <v>0.15054999999999374</v>
      </c>
      <c r="AH1579">
        <f>H1579-AG1577</f>
        <v>50.009160000000001</v>
      </c>
      <c r="AI1579">
        <f>100*(AH1579-O1579)/80</f>
        <v>0</v>
      </c>
    </row>
    <row r="1580" spans="1:41" x14ac:dyDescent="0.35">
      <c r="A1580" t="s">
        <v>279</v>
      </c>
      <c r="B1580" t="s">
        <v>231</v>
      </c>
      <c r="C1580" t="s">
        <v>404</v>
      </c>
      <c r="D1580">
        <v>25</v>
      </c>
      <c r="E1580">
        <v>25</v>
      </c>
      <c r="F1580">
        <v>0.5</v>
      </c>
      <c r="G1580">
        <v>0.50002500000000005</v>
      </c>
      <c r="H1580">
        <v>70.473437500000003</v>
      </c>
      <c r="J1580">
        <v>-6266</v>
      </c>
      <c r="N1580" t="s">
        <v>195</v>
      </c>
      <c r="O1580">
        <f t="shared" si="72"/>
        <v>70.001000000000005</v>
      </c>
      <c r="P1580">
        <f t="shared" si="73"/>
        <v>0.59054687499999758</v>
      </c>
      <c r="Q1580">
        <f t="shared" si="74"/>
        <v>0.59054687499999758</v>
      </c>
      <c r="Y1580">
        <f>TREND(H1577:H1581,G1577:G1581,G1580)</f>
        <v>70.396236983378444</v>
      </c>
      <c r="Z1580">
        <f>ABS((Y1580-H1580)/80*100)</f>
        <v>9.6500645776949057E-2</v>
      </c>
      <c r="AE1580">
        <f>ABS(P1607-P1579)</f>
        <v>0.27325312500000365</v>
      </c>
      <c r="AH1580">
        <f>H1580-AG1577</f>
        <v>70.218535000000003</v>
      </c>
      <c r="AI1580">
        <f>100*(AH1580-O1580)/80</f>
        <v>0.27191874999999754</v>
      </c>
    </row>
    <row r="1581" spans="1:41" x14ac:dyDescent="0.35">
      <c r="A1581" t="s">
        <v>279</v>
      </c>
      <c r="B1581" t="s">
        <v>231</v>
      </c>
      <c r="C1581" t="s">
        <v>441</v>
      </c>
      <c r="D1581">
        <v>25</v>
      </c>
      <c r="E1581">
        <v>25</v>
      </c>
      <c r="F1581">
        <v>1</v>
      </c>
      <c r="G1581">
        <v>0.99994899999999998</v>
      </c>
      <c r="H1581">
        <v>90.434375000000003</v>
      </c>
      <c r="J1581">
        <v>-6266</v>
      </c>
      <c r="N1581" t="s">
        <v>195</v>
      </c>
      <c r="O1581">
        <f t="shared" si="72"/>
        <v>89.997960000000006</v>
      </c>
      <c r="P1581">
        <f t="shared" si="73"/>
        <v>0.54551874999999583</v>
      </c>
      <c r="Q1581">
        <f t="shared" si="74"/>
        <v>0.54551874999999583</v>
      </c>
      <c r="Y1581">
        <f>TREND(H1577:H1581,G1577:G1581,G1581)</f>
        <v>90.42998895960578</v>
      </c>
      <c r="Z1581">
        <f>ABS((Y1581-H1581)/80*100)</f>
        <v>5.4825504927791258E-3</v>
      </c>
      <c r="AE1581">
        <f>ABS(P1608-P1580)</f>
        <v>5.118750000001171E-2</v>
      </c>
      <c r="AH1581">
        <f>H1581-AG1577</f>
        <v>90.179472500000003</v>
      </c>
      <c r="AI1581">
        <f>100*(AH1581-O1581)/80</f>
        <v>0.22689062499999579</v>
      </c>
    </row>
    <row r="1582" spans="1:41" x14ac:dyDescent="0.35">
      <c r="A1582" t="s">
        <v>279</v>
      </c>
      <c r="B1582" t="s">
        <v>231</v>
      </c>
      <c r="C1582" t="s">
        <v>478</v>
      </c>
      <c r="D1582">
        <v>25</v>
      </c>
      <c r="E1582">
        <v>25</v>
      </c>
      <c r="F1582">
        <v>0</v>
      </c>
      <c r="G1582">
        <v>-1.4200000000000001E-4</v>
      </c>
      <c r="H1582">
        <v>50.373437500000001</v>
      </c>
      <c r="J1582">
        <v>-6262</v>
      </c>
      <c r="N1582" t="s">
        <v>195</v>
      </c>
      <c r="O1582">
        <f t="shared" si="72"/>
        <v>49.994320000000002</v>
      </c>
      <c r="P1582">
        <f t="shared" si="73"/>
        <v>0.47389687499999944</v>
      </c>
      <c r="Q1582">
        <f t="shared" si="74"/>
        <v>0.47389687499999944</v>
      </c>
      <c r="Y1582">
        <f>TREND(H1577:H1581,G1577:G1581,G1582)</f>
        <v>50.352747123532353</v>
      </c>
      <c r="Z1582">
        <f>ABS((Y1582-H1582)/80*100)</f>
        <v>2.586297058456033E-2</v>
      </c>
      <c r="AE1582">
        <f>ABS(P1609-P1581)</f>
        <v>5.9225000000004968E-2</v>
      </c>
      <c r="AH1582">
        <f>H1582-AG1577</f>
        <v>50.118535000000001</v>
      </c>
      <c r="AI1582">
        <f>100*(AH1582-O1582)/80</f>
        <v>0.1552687499999994</v>
      </c>
    </row>
    <row r="1583" spans="1:41" x14ac:dyDescent="0.35">
      <c r="A1583" t="s">
        <v>279</v>
      </c>
      <c r="B1583" t="s">
        <v>231</v>
      </c>
      <c r="C1583" t="s">
        <v>515</v>
      </c>
      <c r="D1583">
        <v>25</v>
      </c>
      <c r="E1583">
        <v>25</v>
      </c>
      <c r="F1583">
        <v>-1</v>
      </c>
      <c r="G1583">
        <v>-1.000157</v>
      </c>
      <c r="H1583">
        <v>10.4203125</v>
      </c>
      <c r="J1583">
        <v>-6262</v>
      </c>
      <c r="N1583" t="s">
        <v>195</v>
      </c>
      <c r="O1583">
        <f t="shared" si="72"/>
        <v>9.9937200000000015</v>
      </c>
      <c r="P1583">
        <f t="shared" si="73"/>
        <v>0.53324062499999769</v>
      </c>
      <c r="Q1583">
        <f t="shared" si="74"/>
        <v>0.53324062499999769</v>
      </c>
      <c r="Y1583">
        <f>TREND(H1577:H1581,G1577:G1581,G1583)</f>
        <v>10.278550880689487</v>
      </c>
      <c r="Z1583">
        <f>ABS((Y1583-H1583)/80*100)</f>
        <v>0.17720202413814112</v>
      </c>
      <c r="AE1583">
        <f>ABS(P1610-P1582)</f>
        <v>0.13530937499999673</v>
      </c>
      <c r="AH1583">
        <f>H1583-AG1577</f>
        <v>10.16541</v>
      </c>
      <c r="AI1583">
        <f>100*(AH1583-O1583)/80</f>
        <v>0.21461249999999765</v>
      </c>
    </row>
    <row r="1584" spans="1:41" x14ac:dyDescent="0.35">
      <c r="A1584" t="s">
        <v>279</v>
      </c>
      <c r="B1584" t="s">
        <v>231</v>
      </c>
      <c r="C1584" t="s">
        <v>552</v>
      </c>
      <c r="D1584">
        <v>-20</v>
      </c>
      <c r="E1584">
        <v>-20.100000000000001</v>
      </c>
      <c r="F1584">
        <v>-1</v>
      </c>
      <c r="G1584">
        <v>-0.99998299999999996</v>
      </c>
      <c r="H1584">
        <v>9.3375000000000004</v>
      </c>
      <c r="J1584">
        <v>-24601</v>
      </c>
      <c r="N1584" t="s">
        <v>195</v>
      </c>
      <c r="O1584">
        <f t="shared" si="72"/>
        <v>10.000680000000003</v>
      </c>
      <c r="P1584">
        <f t="shared" si="73"/>
        <v>-0.82897500000000302</v>
      </c>
      <c r="Q1584">
        <f t="shared" si="74"/>
        <v>0.82897500000000302</v>
      </c>
      <c r="S1584">
        <v>49.639062500000001</v>
      </c>
      <c r="T1584">
        <v>-0.43592187499999824</v>
      </c>
      <c r="U1584">
        <v>90.025000000000006</v>
      </c>
      <c r="V1584">
        <v>3.1850000000002154E-2</v>
      </c>
      <c r="W1584">
        <v>80.687501525878901</v>
      </c>
      <c r="X1584">
        <f>(W1584-80)/80*100</f>
        <v>0.8593769073486256</v>
      </c>
      <c r="Y1584">
        <f>TREND(H1584:H1588,G1584:G1588,G1584)</f>
        <v>9.2989575717885771</v>
      </c>
      <c r="Z1584">
        <f>ABS((Y1584-H1584)/80*100)</f>
        <v>4.8178035264279107E-2</v>
      </c>
      <c r="AA1584">
        <f>MAX(Z1584:Z1588)</f>
        <v>6.9898157882812839E-2</v>
      </c>
      <c r="AB1584">
        <f>IF(ABS(MAX(P1584:P1590)) &gt; ABS(MIN(P1584:P1590)),MAX(P1584:P1590), MIN(P1584:P1590))</f>
        <v>-0.82897500000000302</v>
      </c>
      <c r="AC1584">
        <f>IF(ABS(AB1585)&gt;ABS(AB1584),AB1585,AB1584)</f>
        <v>-0.82897500000000302</v>
      </c>
      <c r="AE1584">
        <f>ABS(P1611-P1583)</f>
        <v>7.0640625000002455E-2</v>
      </c>
      <c r="AH1584">
        <f>H1584-AG1577</f>
        <v>9.0825975000000003</v>
      </c>
      <c r="AI1584">
        <f>100*(AH1584-O1584)/80</f>
        <v>-1.1476031250000029</v>
      </c>
      <c r="AJ1584">
        <v>49.384160000000001</v>
      </c>
      <c r="AK1584">
        <v>-0.75454999999999828</v>
      </c>
      <c r="AL1584">
        <v>89.770097500000006</v>
      </c>
      <c r="AM1584">
        <v>-0.28677812499999789</v>
      </c>
      <c r="AN1584">
        <f>IF(ABS(MAX(AI1584:AI1590)) &gt; ABS(MIN(AI1584:AI1590)),MAX(AI1584:AI1590), MIN(AI1584:AI1590))</f>
        <v>-1.1476031250000029</v>
      </c>
      <c r="AO1584">
        <f>IF(ABS(AN1585)&gt;ABS(AN1584),AN1585,AN1584)</f>
        <v>-1.1476031250000029</v>
      </c>
    </row>
    <row r="1585" spans="1:41" x14ac:dyDescent="0.35">
      <c r="A1585" t="s">
        <v>279</v>
      </c>
      <c r="B1585" t="s">
        <v>231</v>
      </c>
      <c r="C1585" t="s">
        <v>589</v>
      </c>
      <c r="D1585">
        <v>-20</v>
      </c>
      <c r="E1585">
        <v>-20.100000000000001</v>
      </c>
      <c r="F1585">
        <v>-0.5</v>
      </c>
      <c r="G1585">
        <v>-0.50006200000000001</v>
      </c>
      <c r="H1585">
        <v>29.425000000000001</v>
      </c>
      <c r="J1585">
        <v>-24633</v>
      </c>
      <c r="N1585" t="s">
        <v>195</v>
      </c>
      <c r="O1585">
        <f t="shared" si="72"/>
        <v>29.997520000000002</v>
      </c>
      <c r="P1585">
        <f t="shared" si="73"/>
        <v>-0.71565000000000101</v>
      </c>
      <c r="Q1585">
        <f t="shared" si="74"/>
        <v>0.71565000000000101</v>
      </c>
      <c r="Y1585">
        <f>TREND(H1584:H1588,G1584:G1588,G1585)</f>
        <v>29.480918526306251</v>
      </c>
      <c r="Z1585">
        <f>ABS((Y1585-H1585)/80*100)</f>
        <v>6.9898157882812839E-2</v>
      </c>
      <c r="AB1585">
        <f>IF(ABS(T1584) &gt; ABS(V1584),T1584,V1584)</f>
        <v>-0.43592187499999824</v>
      </c>
      <c r="AE1585">
        <f>ABS(P1633-P1577)</f>
        <v>0.1004562500000028</v>
      </c>
      <c r="AH1585">
        <f>H1585-AG1577</f>
        <v>29.170097500000001</v>
      </c>
      <c r="AI1585">
        <f>100*(AH1585-O1585)/80</f>
        <v>-1.034278125000001</v>
      </c>
      <c r="AN1585">
        <f>IF(ABS(AK1584) &gt; ABS(AM1584),AK1584,AM1584)</f>
        <v>-0.75454999999999828</v>
      </c>
    </row>
    <row r="1586" spans="1:41" x14ac:dyDescent="0.35">
      <c r="A1586" t="s">
        <v>279</v>
      </c>
      <c r="B1586" t="s">
        <v>231</v>
      </c>
      <c r="C1586" t="s">
        <v>626</v>
      </c>
      <c r="D1586">
        <v>-20</v>
      </c>
      <c r="E1586">
        <v>-19.899999999999999</v>
      </c>
      <c r="F1586">
        <v>0</v>
      </c>
      <c r="G1586">
        <v>-3.0499999999999999E-4</v>
      </c>
      <c r="H1586">
        <v>49.639062500000001</v>
      </c>
      <c r="J1586">
        <v>-24650</v>
      </c>
      <c r="N1586" t="s">
        <v>195</v>
      </c>
      <c r="O1586">
        <f t="shared" si="72"/>
        <v>49.9878</v>
      </c>
      <c r="P1586">
        <f t="shared" si="73"/>
        <v>-0.43592187499999824</v>
      </c>
      <c r="Q1586">
        <f t="shared" si="74"/>
        <v>0.43592187499999824</v>
      </c>
      <c r="Y1586">
        <f>TREND(H1584:H1588,G1584:G1588,G1586)</f>
        <v>49.656258751555619</v>
      </c>
      <c r="Z1586">
        <f>ABS((Y1586-H1586)/80*100)</f>
        <v>2.1495314444521796E-2</v>
      </c>
      <c r="AE1586">
        <f>ABS(P1634-P1578)</f>
        <v>0.24993124999999505</v>
      </c>
      <c r="AH1586">
        <f>H1586-AG1577</f>
        <v>49.384160000000001</v>
      </c>
      <c r="AI1586">
        <f>100*(AH1586-O1586)/80</f>
        <v>-0.75454999999999828</v>
      </c>
    </row>
    <row r="1587" spans="1:41" x14ac:dyDescent="0.35">
      <c r="A1587" t="s">
        <v>279</v>
      </c>
      <c r="B1587" t="s">
        <v>231</v>
      </c>
      <c r="C1587" t="s">
        <v>661</v>
      </c>
      <c r="D1587">
        <v>-20</v>
      </c>
      <c r="E1587">
        <v>-20</v>
      </c>
      <c r="F1587">
        <v>0.5</v>
      </c>
      <c r="G1587">
        <v>0.49961</v>
      </c>
      <c r="H1587">
        <v>69.885937499999997</v>
      </c>
      <c r="J1587">
        <v>-24667</v>
      </c>
      <c r="N1587" t="s">
        <v>195</v>
      </c>
      <c r="O1587">
        <f t="shared" si="72"/>
        <v>69.984400000000008</v>
      </c>
      <c r="P1587">
        <f t="shared" si="73"/>
        <v>-0.12307812500001347</v>
      </c>
      <c r="Q1587">
        <f t="shared" si="74"/>
        <v>0.12307812500001347</v>
      </c>
      <c r="Y1587">
        <f>TREND(H1584:H1588,G1584:G1588,G1587)</f>
        <v>69.837977484270795</v>
      </c>
      <c r="Z1587">
        <f>ABS((Y1587-H1587)/80*100)</f>
        <v>5.9950019661503262E-2</v>
      </c>
      <c r="AE1587">
        <f>ABS(P1635-P1579)</f>
        <v>5.1206249999999898E-2</v>
      </c>
      <c r="AH1587">
        <f>H1587-AG1577</f>
        <v>69.631034999999997</v>
      </c>
      <c r="AI1587">
        <f>100*(AH1587-O1587)/80</f>
        <v>-0.44170625000001351</v>
      </c>
    </row>
    <row r="1588" spans="1:41" x14ac:dyDescent="0.35">
      <c r="A1588" t="s">
        <v>279</v>
      </c>
      <c r="B1588" t="s">
        <v>231</v>
      </c>
      <c r="C1588" t="s">
        <v>698</v>
      </c>
      <c r="D1588">
        <v>-20</v>
      </c>
      <c r="E1588">
        <v>-20</v>
      </c>
      <c r="F1588">
        <v>1</v>
      </c>
      <c r="G1588">
        <v>0.99998799999999999</v>
      </c>
      <c r="H1588">
        <v>90.025000000000006</v>
      </c>
      <c r="J1588">
        <v>-24663</v>
      </c>
      <c r="N1588" t="s">
        <v>195</v>
      </c>
      <c r="O1588">
        <f t="shared" si="72"/>
        <v>89.999520000000004</v>
      </c>
      <c r="P1588">
        <f t="shared" si="73"/>
        <v>3.1850000000002154E-2</v>
      </c>
      <c r="Q1588">
        <f t="shared" si="74"/>
        <v>3.1850000000002154E-2</v>
      </c>
      <c r="Y1588">
        <f>TREND(H1584:H1588,G1584:G1588,G1588)</f>
        <v>90.038387666078805</v>
      </c>
      <c r="Z1588">
        <f>ABS((Y1588-H1588)/80*100)</f>
        <v>1.6734582598498804E-2</v>
      </c>
      <c r="AE1588">
        <f>ABS(P1636-P1580)</f>
        <v>0.16105312499998803</v>
      </c>
      <c r="AH1588">
        <f>H1588-AG1577</f>
        <v>89.770097500000006</v>
      </c>
      <c r="AI1588">
        <f>100*(AH1588-O1588)/80</f>
        <v>-0.28677812499999789</v>
      </c>
    </row>
    <row r="1589" spans="1:41" x14ac:dyDescent="0.35">
      <c r="A1589" t="s">
        <v>279</v>
      </c>
      <c r="B1589" t="s">
        <v>231</v>
      </c>
      <c r="C1589" t="s">
        <v>735</v>
      </c>
      <c r="D1589">
        <v>-20</v>
      </c>
      <c r="E1589">
        <v>-20</v>
      </c>
      <c r="F1589">
        <v>0</v>
      </c>
      <c r="G1589">
        <v>-2.34E-4</v>
      </c>
      <c r="H1589">
        <v>49.721874999999997</v>
      </c>
      <c r="J1589">
        <v>-24676</v>
      </c>
      <c r="N1589" t="s">
        <v>195</v>
      </c>
      <c r="O1589">
        <f t="shared" si="72"/>
        <v>49.990639999999999</v>
      </c>
      <c r="P1589">
        <f t="shared" si="73"/>
        <v>-0.3359562500000024</v>
      </c>
      <c r="Q1589">
        <f t="shared" si="74"/>
        <v>0.3359562500000024</v>
      </c>
      <c r="Y1589">
        <f>TREND(H1584:H1588,G1584:G1588,G1589)</f>
        <v>49.659125042885186</v>
      </c>
      <c r="Z1589">
        <f>ABS((Y1589-H1589)/80*100)</f>
        <v>7.8437446393513355E-2</v>
      </c>
      <c r="AE1589">
        <f>ABS(P1637-P1581)</f>
        <v>0.17786562499999548</v>
      </c>
      <c r="AH1589">
        <f>H1589-AG1577</f>
        <v>49.466972499999997</v>
      </c>
      <c r="AI1589">
        <f>100*(AH1589-O1589)/80</f>
        <v>-0.65458437500000244</v>
      </c>
    </row>
    <row r="1590" spans="1:41" x14ac:dyDescent="0.35">
      <c r="A1590" t="s">
        <v>279</v>
      </c>
      <c r="B1590" t="s">
        <v>231</v>
      </c>
      <c r="C1590" t="s">
        <v>770</v>
      </c>
      <c r="D1590">
        <v>-20</v>
      </c>
      <c r="E1590">
        <v>-20.100000000000001</v>
      </c>
      <c r="F1590">
        <v>-1</v>
      </c>
      <c r="G1590">
        <v>-1.000021</v>
      </c>
      <c r="H1590">
        <v>9.3703125000000007</v>
      </c>
      <c r="J1590">
        <v>-24673</v>
      </c>
      <c r="N1590" t="s">
        <v>195</v>
      </c>
      <c r="O1590">
        <f t="shared" si="72"/>
        <v>9.999159999999998</v>
      </c>
      <c r="P1590">
        <f t="shared" si="73"/>
        <v>-0.78605937499999667</v>
      </c>
      <c r="Q1590">
        <f t="shared" si="74"/>
        <v>0.78605937499999667</v>
      </c>
      <c r="Y1590">
        <f>TREND(H1584:H1588,G1584:G1588,G1590)</f>
        <v>9.2974235003727514</v>
      </c>
      <c r="Z1590">
        <f>ABS((Y1590-H1590)/80*100)</f>
        <v>9.1111249534061578E-2</v>
      </c>
      <c r="AE1590">
        <f>ABS(P1638-P1582)</f>
        <v>0.18704374999999551</v>
      </c>
      <c r="AH1590">
        <f>H1590-AG1577</f>
        <v>9.1154100000000007</v>
      </c>
      <c r="AI1590">
        <f>100*(AH1590-O1590)/80</f>
        <v>-1.1046874999999967</v>
      </c>
    </row>
    <row r="1591" spans="1:41" x14ac:dyDescent="0.35">
      <c r="A1591" t="s">
        <v>279</v>
      </c>
      <c r="B1591" t="s">
        <v>231</v>
      </c>
      <c r="C1591" t="s">
        <v>807</v>
      </c>
      <c r="D1591">
        <v>0</v>
      </c>
      <c r="E1591">
        <v>0</v>
      </c>
      <c r="F1591">
        <v>-1</v>
      </c>
      <c r="G1591">
        <v>-0.99985500000000005</v>
      </c>
      <c r="H1591">
        <v>10.19375</v>
      </c>
      <c r="J1591">
        <v>-16861</v>
      </c>
      <c r="N1591" t="s">
        <v>195</v>
      </c>
      <c r="O1591">
        <f t="shared" si="72"/>
        <v>10.005799999999997</v>
      </c>
      <c r="P1591">
        <f t="shared" si="73"/>
        <v>0.23493750000000313</v>
      </c>
      <c r="Q1591">
        <f t="shared" si="74"/>
        <v>0.23493750000000313</v>
      </c>
      <c r="S1591">
        <v>50.21875</v>
      </c>
      <c r="T1591">
        <v>0.25678750000000861</v>
      </c>
      <c r="U1591">
        <v>90.464062499999997</v>
      </c>
      <c r="V1591">
        <v>0.58312812500000533</v>
      </c>
      <c r="W1591">
        <v>80.270315551757818</v>
      </c>
      <c r="X1591">
        <f>(W1591-80)/80*100</f>
        <v>0.33789443969727273</v>
      </c>
      <c r="Y1591">
        <f>TREND(H1591:H1595,G1591:G1595,G1591)</f>
        <v>10.140382067071272</v>
      </c>
      <c r="Z1591">
        <f>ABS((Y1591-H1591)/80*100)</f>
        <v>6.670991616090971E-2</v>
      </c>
      <c r="AA1591">
        <f>MAX(Z1591:Z1595)</f>
        <v>0.10845770184973347</v>
      </c>
      <c r="AB1591">
        <f>IF(ABS(MAX(P1591:P1597)) &gt; ABS(MIN(P1591:P1597)),MAX(P1591:P1597), MIN(P1591:P1597))</f>
        <v>0.58312812500000533</v>
      </c>
      <c r="AC1591">
        <f>IF(ABS(AB1592)&gt;ABS(AB1591),AB1592,AB1591)</f>
        <v>0.58312812500000533</v>
      </c>
      <c r="AE1591">
        <f>ABS(P1639-P1583)</f>
        <v>0.11204374999999933</v>
      </c>
      <c r="AH1591">
        <f>H1591-AG1577</f>
        <v>9.9388474999999996</v>
      </c>
      <c r="AI1591">
        <f>100*(AH1591-O1591)/80</f>
        <v>-8.369062499999691E-2</v>
      </c>
      <c r="AJ1591">
        <v>49.9638475</v>
      </c>
      <c r="AK1591">
        <v>-6.1840624999991434E-2</v>
      </c>
      <c r="AL1591">
        <v>90.209159999999997</v>
      </c>
      <c r="AM1591">
        <v>0.26450000000000529</v>
      </c>
      <c r="AN1591">
        <f>IF(ABS(MAX(AI1591:AI1597)) &gt; ABS(MIN(AI1591:AI1597)),MAX(AI1591:AI1597), MIN(AI1591:AI1597))</f>
        <v>0.26450000000000529</v>
      </c>
      <c r="AO1591">
        <f>IF(ABS(AN1592)&gt;ABS(AN1591),AN1592,AN1591)</f>
        <v>0.26450000000000529</v>
      </c>
    </row>
    <row r="1592" spans="1:41" x14ac:dyDescent="0.35">
      <c r="A1592" t="s">
        <v>279</v>
      </c>
      <c r="B1592" t="s">
        <v>231</v>
      </c>
      <c r="C1592" t="s">
        <v>844</v>
      </c>
      <c r="D1592">
        <v>0</v>
      </c>
      <c r="E1592">
        <v>0.1</v>
      </c>
      <c r="F1592">
        <v>-0.5</v>
      </c>
      <c r="G1592">
        <v>-0.50036700000000001</v>
      </c>
      <c r="H1592">
        <v>30.170312500000001</v>
      </c>
      <c r="J1592">
        <v>-16831</v>
      </c>
      <c r="N1592" t="s">
        <v>195</v>
      </c>
      <c r="O1592">
        <f t="shared" si="72"/>
        <v>29.985320000000002</v>
      </c>
      <c r="P1592">
        <f t="shared" si="73"/>
        <v>0.23124062499999987</v>
      </c>
      <c r="Q1592">
        <f t="shared" si="74"/>
        <v>0.23124062499999987</v>
      </c>
      <c r="Y1592">
        <f>TREND(H1591:H1595,G1591:G1595,G1592)</f>
        <v>30.198613618087602</v>
      </c>
      <c r="Z1592">
        <f>ABS((Y1592-H1592)/80*100)</f>
        <v>3.5376397609501176E-2</v>
      </c>
      <c r="AB1592">
        <f>IF(ABS(T1591) &gt; ABS(V1591),T1591,V1591)</f>
        <v>0.58312812500000533</v>
      </c>
      <c r="AE1592">
        <f>ABS(P1633-P1605)</f>
        <v>0.34028437500000397</v>
      </c>
      <c r="AH1592">
        <f>H1592-AG1577</f>
        <v>29.915410000000001</v>
      </c>
      <c r="AI1592">
        <f>100*(AH1592-O1592)/80</f>
        <v>-8.7387500000000173E-2</v>
      </c>
      <c r="AN1592">
        <f>IF(ABS(AK1591) &gt; ABS(AM1591),AK1591,AM1591)</f>
        <v>0.26450000000000529</v>
      </c>
    </row>
    <row r="1593" spans="1:41" x14ac:dyDescent="0.35">
      <c r="A1593" t="s">
        <v>279</v>
      </c>
      <c r="B1593" t="s">
        <v>231</v>
      </c>
      <c r="C1593" t="s">
        <v>879</v>
      </c>
      <c r="D1593">
        <v>0</v>
      </c>
      <c r="E1593">
        <v>0</v>
      </c>
      <c r="F1593">
        <v>0</v>
      </c>
      <c r="G1593">
        <v>3.3300000000000002E-4</v>
      </c>
      <c r="H1593">
        <v>50.21875</v>
      </c>
      <c r="J1593">
        <v>-16803</v>
      </c>
      <c r="N1593" t="s">
        <v>195</v>
      </c>
      <c r="O1593">
        <f t="shared" si="72"/>
        <v>50.013319999999993</v>
      </c>
      <c r="P1593">
        <f t="shared" si="73"/>
        <v>0.25678750000000861</v>
      </c>
      <c r="Q1593">
        <f t="shared" si="74"/>
        <v>0.25678750000000861</v>
      </c>
      <c r="Y1593">
        <f>TREND(H1591:H1595,G1591:G1595,G1593)</f>
        <v>50.305516161479787</v>
      </c>
      <c r="Z1593">
        <f>ABS((Y1593-H1593)/80*100)</f>
        <v>0.10845770184973347</v>
      </c>
      <c r="AE1593">
        <f>ABS(P1634-P1606)</f>
        <v>0.4004812499999888</v>
      </c>
      <c r="AH1593">
        <f>H1593-AG1577</f>
        <v>49.9638475</v>
      </c>
      <c r="AI1593">
        <f>100*(AH1593-O1593)/80</f>
        <v>-6.1840624999991434E-2</v>
      </c>
    </row>
    <row r="1594" spans="1:41" x14ac:dyDescent="0.35">
      <c r="A1594" t="s">
        <v>279</v>
      </c>
      <c r="B1594" t="s">
        <v>231</v>
      </c>
      <c r="C1594" t="s">
        <v>916</v>
      </c>
      <c r="D1594">
        <v>0</v>
      </c>
      <c r="E1594">
        <v>0</v>
      </c>
      <c r="F1594">
        <v>0.5</v>
      </c>
      <c r="G1594">
        <v>0.499722</v>
      </c>
      <c r="H1594">
        <v>70.404687499999994</v>
      </c>
      <c r="J1594">
        <v>-16795</v>
      </c>
      <c r="N1594" t="s">
        <v>195</v>
      </c>
      <c r="O1594">
        <f t="shared" si="72"/>
        <v>69.988879999999995</v>
      </c>
      <c r="P1594">
        <f t="shared" si="73"/>
        <v>0.51975937499999958</v>
      </c>
      <c r="Q1594">
        <f t="shared" si="74"/>
        <v>0.51975937499999958</v>
      </c>
      <c r="Y1594">
        <f>TREND(H1591:H1595,G1591:G1595,G1594)</f>
        <v>70.359772111633731</v>
      </c>
      <c r="Z1594">
        <f>ABS((Y1594-H1594)/80*100)</f>
        <v>5.6144235457828977E-2</v>
      </c>
      <c r="AE1594">
        <f>ABS(P1635-P1607)</f>
        <v>0.22204687500000375</v>
      </c>
      <c r="AH1594">
        <f>H1594-AG1577</f>
        <v>70.149784999999994</v>
      </c>
      <c r="AI1594">
        <f>100*(AH1594-O1594)/80</f>
        <v>0.20113124999999954</v>
      </c>
    </row>
    <row r="1595" spans="1:41" x14ac:dyDescent="0.35">
      <c r="A1595" t="s">
        <v>279</v>
      </c>
      <c r="B1595" t="s">
        <v>231</v>
      </c>
      <c r="C1595" t="s">
        <v>953</v>
      </c>
      <c r="D1595">
        <v>0</v>
      </c>
      <c r="E1595">
        <v>0.1</v>
      </c>
      <c r="F1595">
        <v>1</v>
      </c>
      <c r="G1595">
        <v>0.99993900000000002</v>
      </c>
      <c r="H1595">
        <v>90.464062499999997</v>
      </c>
      <c r="J1595">
        <v>-16778</v>
      </c>
      <c r="N1595" t="s">
        <v>195</v>
      </c>
      <c r="O1595">
        <f t="shared" si="72"/>
        <v>89.997559999999993</v>
      </c>
      <c r="P1595">
        <f t="shared" si="73"/>
        <v>0.58312812500000533</v>
      </c>
      <c r="Q1595">
        <f t="shared" si="74"/>
        <v>0.58312812500000533</v>
      </c>
      <c r="Y1595">
        <f>TREND(H1591:H1595,G1591:G1595,G1595)</f>
        <v>90.447278541727627</v>
      </c>
      <c r="Z1595">
        <f>ABS((Y1595-H1595)/80*100)</f>
        <v>2.0979947840462643E-2</v>
      </c>
      <c r="AE1595">
        <f>ABS(P1636-P1608)</f>
        <v>0.21224062499999974</v>
      </c>
      <c r="AH1595">
        <f>H1595-AG1577</f>
        <v>90.209159999999997</v>
      </c>
      <c r="AI1595">
        <f>100*(AH1595-O1595)/80</f>
        <v>0.26450000000000529</v>
      </c>
    </row>
    <row r="1596" spans="1:41" x14ac:dyDescent="0.35">
      <c r="A1596" t="s">
        <v>279</v>
      </c>
      <c r="B1596" t="s">
        <v>231</v>
      </c>
      <c r="C1596" t="s">
        <v>990</v>
      </c>
      <c r="D1596">
        <v>0</v>
      </c>
      <c r="E1596">
        <v>0</v>
      </c>
      <c r="F1596">
        <v>0</v>
      </c>
      <c r="G1596">
        <v>2.41E-4</v>
      </c>
      <c r="H1596">
        <v>50.245312499999997</v>
      </c>
      <c r="J1596">
        <v>-16750</v>
      </c>
      <c r="N1596" t="s">
        <v>195</v>
      </c>
      <c r="O1596">
        <f t="shared" si="72"/>
        <v>50.009639999999997</v>
      </c>
      <c r="P1596">
        <f t="shared" si="73"/>
        <v>0.29459062499999966</v>
      </c>
      <c r="Q1596">
        <f t="shared" si="74"/>
        <v>0.29459062499999966</v>
      </c>
      <c r="Y1596">
        <f>TREND(H1591:H1595,G1591:G1595,G1596)</f>
        <v>50.301821663708687</v>
      </c>
      <c r="Z1596">
        <f>ABS((Y1596-H1596)/80*100)</f>
        <v>7.0636454635861767E-2</v>
      </c>
      <c r="AE1596">
        <f>ABS(P1637-P1609)</f>
        <v>0.23709062500000044</v>
      </c>
      <c r="AH1596">
        <f>H1596-AG1577</f>
        <v>49.990409999999997</v>
      </c>
      <c r="AI1596">
        <f>100*(AH1596-O1596)/80</f>
        <v>-2.4037500000000378E-2</v>
      </c>
    </row>
    <row r="1597" spans="1:41" x14ac:dyDescent="0.35">
      <c r="A1597" t="s">
        <v>279</v>
      </c>
      <c r="B1597" t="s">
        <v>231</v>
      </c>
      <c r="C1597" t="s">
        <v>1025</v>
      </c>
      <c r="D1597">
        <v>0</v>
      </c>
      <c r="E1597">
        <v>0</v>
      </c>
      <c r="F1597">
        <v>-1</v>
      </c>
      <c r="G1597">
        <v>-1.000162</v>
      </c>
      <c r="H1597">
        <v>10.2265625</v>
      </c>
      <c r="J1597">
        <v>-16724</v>
      </c>
      <c r="N1597" t="s">
        <v>195</v>
      </c>
      <c r="O1597">
        <f t="shared" si="72"/>
        <v>9.9935200000000002</v>
      </c>
      <c r="P1597">
        <f t="shared" si="73"/>
        <v>0.29130312499999977</v>
      </c>
      <c r="Q1597">
        <f t="shared" si="74"/>
        <v>0.29130312499999977</v>
      </c>
      <c r="Y1597">
        <f>TREND(H1591:H1595,G1591:G1595,G1597)</f>
        <v>10.128053688639433</v>
      </c>
      <c r="Z1597">
        <f>ABS((Y1597-H1597)/80*100)</f>
        <v>0.12313601420070874</v>
      </c>
      <c r="AE1597">
        <f>ABS(P1638-P1610)</f>
        <v>0.32235312499999225</v>
      </c>
      <c r="AH1597">
        <f>H1597-AG1577</f>
        <v>9.97166</v>
      </c>
      <c r="AI1597">
        <f>100*(AH1597-O1597)/80</f>
        <v>-2.7325000000000266E-2</v>
      </c>
    </row>
    <row r="1598" spans="1:41" x14ac:dyDescent="0.35">
      <c r="A1598" t="s">
        <v>279</v>
      </c>
      <c r="B1598" t="s">
        <v>231</v>
      </c>
      <c r="C1598" t="s">
        <v>1062</v>
      </c>
      <c r="D1598">
        <v>10</v>
      </c>
      <c r="E1598">
        <v>10</v>
      </c>
      <c r="F1598">
        <v>-1</v>
      </c>
      <c r="G1598">
        <v>-1.0000180000000001</v>
      </c>
      <c r="H1598">
        <v>10.426562499999999</v>
      </c>
      <c r="J1598">
        <v>-12475</v>
      </c>
      <c r="N1598" t="s">
        <v>195</v>
      </c>
      <c r="O1598">
        <f t="shared" si="72"/>
        <v>9.9992799999999971</v>
      </c>
      <c r="P1598">
        <f t="shared" si="73"/>
        <v>0.53410312500000279</v>
      </c>
      <c r="Q1598">
        <f t="shared" si="74"/>
        <v>0.53410312500000279</v>
      </c>
      <c r="S1598">
        <v>50.379687500000003</v>
      </c>
      <c r="T1598">
        <v>0.47785937500000486</v>
      </c>
      <c r="U1598">
        <v>90.420312499999994</v>
      </c>
      <c r="V1598">
        <v>0.52849062499999988</v>
      </c>
      <c r="W1598">
        <v>79.993748474121091</v>
      </c>
      <c r="X1598">
        <f>(W1598-80)/80*100</f>
        <v>-7.8144073486363652E-3</v>
      </c>
      <c r="Y1598">
        <f>TREND(H1598:H1602,G1598:G1602,G1598)</f>
        <v>10.40255794286972</v>
      </c>
      <c r="Z1598">
        <f>ABS((Y1598-H1598)/80*100)</f>
        <v>3.0005696412849225E-2</v>
      </c>
      <c r="AA1598">
        <f>MAX(Z1598:Z1602)</f>
        <v>8.5418818300606603E-2</v>
      </c>
      <c r="AB1598">
        <f>IF(ABS(MAX(P1598:P1604)) &gt; ABS(MIN(P1598:P1604)),MAX(P1598:P1604), MIN(P1598:P1604))</f>
        <v>0.62976249999998402</v>
      </c>
      <c r="AC1598">
        <f>IF(ABS(AB1599)&gt;ABS(AB1598),AB1599,AB1598)</f>
        <v>0.62976249999998402</v>
      </c>
      <c r="AE1598">
        <f>ABS(P1639-P1611)</f>
        <v>0.18268437500000179</v>
      </c>
      <c r="AH1598">
        <f>H1598-AG1577</f>
        <v>10.171659999999999</v>
      </c>
      <c r="AI1598">
        <f>100*(AH1598-O1598)/80</f>
        <v>0.21547500000000275</v>
      </c>
      <c r="AJ1598">
        <v>50.124785000000003</v>
      </c>
      <c r="AK1598">
        <v>0.15923125000000482</v>
      </c>
      <c r="AL1598">
        <v>90.165409999999994</v>
      </c>
      <c r="AM1598">
        <v>0.20986249999999984</v>
      </c>
      <c r="AN1598">
        <f>IF(ABS(MAX(AI1598:AI1604)) &gt; ABS(MIN(AI1598:AI1604)),MAX(AI1598:AI1604), MIN(AI1598:AI1604))</f>
        <v>0.31113437499998398</v>
      </c>
      <c r="AO1598">
        <f>IF(ABS(AN1599)&gt;ABS(AN1598),AN1599,AN1598)</f>
        <v>0.31113437499998398</v>
      </c>
    </row>
    <row r="1599" spans="1:41" x14ac:dyDescent="0.35">
      <c r="A1599" t="s">
        <v>279</v>
      </c>
      <c r="B1599" t="s">
        <v>231</v>
      </c>
      <c r="C1599" t="s">
        <v>1097</v>
      </c>
      <c r="D1599">
        <v>10</v>
      </c>
      <c r="E1599">
        <v>10</v>
      </c>
      <c r="F1599">
        <v>-0.5</v>
      </c>
      <c r="G1599">
        <v>-0.50011799999999995</v>
      </c>
      <c r="H1599">
        <v>30.3828125</v>
      </c>
      <c r="J1599">
        <v>-12464</v>
      </c>
      <c r="N1599" t="s">
        <v>195</v>
      </c>
      <c r="O1599">
        <f t="shared" si="72"/>
        <v>29.995280000000001</v>
      </c>
      <c r="P1599">
        <f t="shared" si="73"/>
        <v>0.48441562499999868</v>
      </c>
      <c r="Q1599">
        <f t="shared" si="74"/>
        <v>0.48441562499999868</v>
      </c>
      <c r="Y1599">
        <f>TREND(H1598:H1602,G1598:G1602,G1599)</f>
        <v>30.409287565472699</v>
      </c>
      <c r="Z1599">
        <f>ABS((Y1599-H1599)/80*100)</f>
        <v>3.3093831840873555E-2</v>
      </c>
      <c r="AB1599">
        <f>IF(ABS(T1598) &gt; ABS(V1598),T1598,V1598)</f>
        <v>0.52849062499999988</v>
      </c>
      <c r="AH1599">
        <f>H1599-AG1577</f>
        <v>30.12791</v>
      </c>
      <c r="AI1599">
        <f>100*(AH1599-O1599)/80</f>
        <v>0.16578749999999864</v>
      </c>
      <c r="AN1599">
        <f>IF(ABS(AK1598) &gt; ABS(AM1598),AK1598,AM1598)</f>
        <v>0.20986249999999984</v>
      </c>
    </row>
    <row r="1600" spans="1:41" x14ac:dyDescent="0.35">
      <c r="A1600" t="s">
        <v>279</v>
      </c>
      <c r="B1600" t="s">
        <v>1111</v>
      </c>
      <c r="C1600" t="s">
        <v>1135</v>
      </c>
      <c r="D1600">
        <v>10</v>
      </c>
      <c r="E1600">
        <v>10</v>
      </c>
      <c r="F1600">
        <v>0</v>
      </c>
      <c r="G1600">
        <v>-6.4999999999999994E-5</v>
      </c>
      <c r="H1600">
        <v>50.379687500000003</v>
      </c>
      <c r="J1600">
        <v>-12456</v>
      </c>
      <c r="N1600" t="s">
        <v>195</v>
      </c>
      <c r="O1600">
        <f t="shared" si="72"/>
        <v>49.997399999999999</v>
      </c>
      <c r="P1600">
        <f t="shared" si="73"/>
        <v>0.47785937500000486</v>
      </c>
      <c r="Q1600">
        <f t="shared" si="74"/>
        <v>0.47785937500000486</v>
      </c>
      <c r="Y1600">
        <f>TREND(H1598:H1602,G1598:G1602,G1600)</f>
        <v>50.422140471996968</v>
      </c>
      <c r="Z1600">
        <f>ABS((Y1600-H1600)/80*100)</f>
        <v>5.3066214996206888E-2</v>
      </c>
      <c r="AH1600">
        <f>H1600-AG1577</f>
        <v>50.124785000000003</v>
      </c>
      <c r="AI1600">
        <f>100*(AH1600-O1600)/80</f>
        <v>0.15923125000000482</v>
      </c>
    </row>
    <row r="1601" spans="1:41" x14ac:dyDescent="0.35">
      <c r="A1601" t="s">
        <v>279</v>
      </c>
      <c r="B1601" t="s">
        <v>1111</v>
      </c>
      <c r="C1601" t="s">
        <v>1172</v>
      </c>
      <c r="D1601">
        <v>10</v>
      </c>
      <c r="E1601">
        <v>10</v>
      </c>
      <c r="F1601">
        <v>0.5</v>
      </c>
      <c r="G1601">
        <v>0.50006099999999998</v>
      </c>
      <c r="H1601">
        <v>70.506249999999994</v>
      </c>
      <c r="J1601">
        <v>-12440</v>
      </c>
      <c r="N1601" t="s">
        <v>195</v>
      </c>
      <c r="O1601">
        <f t="shared" si="72"/>
        <v>70.002440000000007</v>
      </c>
      <c r="P1601">
        <f t="shared" si="73"/>
        <v>0.62976249999998402</v>
      </c>
      <c r="Q1601">
        <f t="shared" si="74"/>
        <v>0.62976249999998402</v>
      </c>
      <c r="Y1601">
        <f>TREND(H1598:H1602,G1598:G1602,G1601)</f>
        <v>70.437914945359509</v>
      </c>
      <c r="Z1601">
        <f>ABS((Y1601-H1601)/80*100)</f>
        <v>8.5418818300606603E-2</v>
      </c>
      <c r="AH1601">
        <f>H1601-AG1577</f>
        <v>70.251347499999994</v>
      </c>
      <c r="AI1601">
        <f>100*(AH1601-O1601)/80</f>
        <v>0.31113437499998398</v>
      </c>
    </row>
    <row r="1602" spans="1:41" x14ac:dyDescent="0.35">
      <c r="A1602" t="s">
        <v>279</v>
      </c>
      <c r="B1602" t="s">
        <v>1111</v>
      </c>
      <c r="C1602" t="s">
        <v>1209</v>
      </c>
      <c r="D1602">
        <v>10</v>
      </c>
      <c r="E1602">
        <v>10</v>
      </c>
      <c r="F1602">
        <v>1</v>
      </c>
      <c r="G1602">
        <v>0.99993799999999999</v>
      </c>
      <c r="H1602">
        <v>90.420312499999994</v>
      </c>
      <c r="J1602">
        <v>-12443</v>
      </c>
      <c r="N1602" t="s">
        <v>195</v>
      </c>
      <c r="O1602">
        <f t="shared" si="72"/>
        <v>89.997519999999994</v>
      </c>
      <c r="P1602">
        <f t="shared" si="73"/>
        <v>0.52849062499999988</v>
      </c>
      <c r="Q1602">
        <f t="shared" si="74"/>
        <v>0.52849062499999988</v>
      </c>
      <c r="Y1602">
        <f>TREND(H1598:H1602,G1598:G1602,G1602)</f>
        <v>90.443724074301116</v>
      </c>
      <c r="Z1602">
        <f>ABS((Y1602-H1602)/80*100)</f>
        <v>2.9264467876402026E-2</v>
      </c>
      <c r="AH1602">
        <f>H1602-AG1577</f>
        <v>90.165409999999994</v>
      </c>
      <c r="AI1602">
        <f>100*(AH1602-O1602)/80</f>
        <v>0.20986249999999984</v>
      </c>
    </row>
    <row r="1603" spans="1:41" x14ac:dyDescent="0.35">
      <c r="A1603" t="s">
        <v>279</v>
      </c>
      <c r="B1603" t="s">
        <v>1111</v>
      </c>
      <c r="C1603" t="s">
        <v>1246</v>
      </c>
      <c r="D1603">
        <v>10</v>
      </c>
      <c r="E1603">
        <v>10</v>
      </c>
      <c r="F1603">
        <v>0</v>
      </c>
      <c r="G1603">
        <v>3.9399999999999998E-4</v>
      </c>
      <c r="H1603">
        <v>50.410937500000003</v>
      </c>
      <c r="J1603">
        <v>-12426</v>
      </c>
      <c r="N1603" t="s">
        <v>195</v>
      </c>
      <c r="O1603">
        <f t="shared" si="72"/>
        <v>50.01576</v>
      </c>
      <c r="P1603">
        <f t="shared" si="73"/>
        <v>0.49397187500000328</v>
      </c>
      <c r="Q1603">
        <f t="shared" si="74"/>
        <v>0.49397187500000328</v>
      </c>
      <c r="Y1603">
        <f>TREND(H1598:H1602,G1598:G1602,G1603)</f>
        <v>50.440510323760869</v>
      </c>
      <c r="Z1603">
        <f>ABS((Y1603-H1603)/80*100)</f>
        <v>3.6966029701082093E-2</v>
      </c>
      <c r="AH1603">
        <f>H1603-AG1577</f>
        <v>50.156035000000003</v>
      </c>
      <c r="AI1603">
        <f>100*(AH1603-O1603)/80</f>
        <v>0.17534375000000324</v>
      </c>
    </row>
    <row r="1604" spans="1:41" x14ac:dyDescent="0.35">
      <c r="A1604" t="s">
        <v>279</v>
      </c>
      <c r="B1604" t="s">
        <v>1111</v>
      </c>
      <c r="C1604" t="s">
        <v>1282</v>
      </c>
      <c r="D1604">
        <v>10</v>
      </c>
      <c r="E1604">
        <v>10</v>
      </c>
      <c r="F1604">
        <v>-1</v>
      </c>
      <c r="G1604">
        <v>-0.99972700000000003</v>
      </c>
      <c r="H1604">
        <v>10.417187500000001</v>
      </c>
      <c r="J1604">
        <v>-12430</v>
      </c>
      <c r="N1604" t="s">
        <v>195</v>
      </c>
      <c r="O1604">
        <f t="shared" si="72"/>
        <v>10.010919999999999</v>
      </c>
      <c r="P1604">
        <f t="shared" si="73"/>
        <v>0.5078343750000025</v>
      </c>
      <c r="Q1604">
        <f t="shared" si="74"/>
        <v>0.5078343750000025</v>
      </c>
      <c r="Y1604">
        <f>TREND(H1598:H1602,G1598:G1602,G1604)</f>
        <v>10.414204188759257</v>
      </c>
      <c r="Z1604">
        <f>ABS((Y1604-H1604)/80*100)</f>
        <v>3.7291390509297524E-3</v>
      </c>
      <c r="AH1604">
        <f>H1604-AG1577</f>
        <v>10.162285000000001</v>
      </c>
      <c r="AI1604">
        <f>100*(AH1604-O1604)/80</f>
        <v>0.18920625000000246</v>
      </c>
    </row>
    <row r="1605" spans="1:41" x14ac:dyDescent="0.35">
      <c r="A1605" t="s">
        <v>279</v>
      </c>
      <c r="B1605" t="s">
        <v>1111</v>
      </c>
      <c r="C1605" t="s">
        <v>1318</v>
      </c>
      <c r="D1605">
        <v>25</v>
      </c>
      <c r="E1605">
        <v>25</v>
      </c>
      <c r="F1605">
        <v>-1</v>
      </c>
      <c r="G1605">
        <v>-1.0001960000000001</v>
      </c>
      <c r="H1605">
        <v>10.5328125</v>
      </c>
      <c r="J1605">
        <v>-6458</v>
      </c>
      <c r="N1605" t="s">
        <v>195</v>
      </c>
      <c r="O1605">
        <f t="shared" si="72"/>
        <v>9.9921599999999966</v>
      </c>
      <c r="P1605">
        <f t="shared" si="73"/>
        <v>0.67581562500000469</v>
      </c>
      <c r="Q1605">
        <f t="shared" si="74"/>
        <v>0.67581562500000469</v>
      </c>
      <c r="S1605">
        <v>50.465625000000003</v>
      </c>
      <c r="T1605">
        <v>0.59188125000000369</v>
      </c>
      <c r="U1605">
        <v>90.471874999999997</v>
      </c>
      <c r="V1605">
        <v>0.6047437500000008</v>
      </c>
      <c r="W1605">
        <v>79.939065551757807</v>
      </c>
      <c r="X1605">
        <f>(W1605-80)/80*100</f>
        <v>-7.616806030274148E-2</v>
      </c>
      <c r="Y1605">
        <f>TREND(H1605:H1609,G1605:G1609,G1605)</f>
        <v>10.474528326767683</v>
      </c>
      <c r="Z1605">
        <f>ABS((Y1605-H1605)/80*100)</f>
        <v>7.2855216540397283E-2</v>
      </c>
      <c r="AA1605">
        <f>MAX(Z1605:Z1609)</f>
        <v>0.10280768780842388</v>
      </c>
      <c r="AB1605">
        <f>IF(ABS(MAX(P1605:P1611)) &gt; ABS(MIN(P1605:P1611)),MAX(P1605:P1611), MIN(P1605:P1611))</f>
        <v>0.67581562500000469</v>
      </c>
      <c r="AC1605">
        <f>IF(ABS(AB1606)&gt;ABS(AB1605),AB1606,AB1605)</f>
        <v>0.67581562500000469</v>
      </c>
      <c r="AH1605">
        <f>H1605-AG1577</f>
        <v>10.27791</v>
      </c>
      <c r="AI1605">
        <f>100*(AH1605-O1605)/80</f>
        <v>0.35718750000000465</v>
      </c>
      <c r="AJ1605">
        <v>50.210722500000003</v>
      </c>
      <c r="AK1605">
        <v>0.27325312500000365</v>
      </c>
      <c r="AL1605">
        <v>90.216972499999997</v>
      </c>
      <c r="AM1605">
        <v>0.28611562500000076</v>
      </c>
      <c r="AN1605">
        <f>IF(ABS(MAX(AI1605:AI1611)) &gt; ABS(MIN(AI1605:AI1611)),MAX(AI1605:AI1611), MIN(AI1605:AI1611))</f>
        <v>0.35718750000000465</v>
      </c>
      <c r="AO1605">
        <f>IF(ABS(AN1606)&gt;ABS(AN1605),AN1606,AN1605)</f>
        <v>0.35718750000000465</v>
      </c>
    </row>
    <row r="1606" spans="1:41" x14ac:dyDescent="0.35">
      <c r="A1606" t="s">
        <v>279</v>
      </c>
      <c r="B1606" t="s">
        <v>1111</v>
      </c>
      <c r="C1606" t="s">
        <v>1355</v>
      </c>
      <c r="D1606">
        <v>25</v>
      </c>
      <c r="E1606">
        <v>25</v>
      </c>
      <c r="F1606">
        <v>-0.5</v>
      </c>
      <c r="G1606">
        <v>-0.50000199999999995</v>
      </c>
      <c r="H1606">
        <v>30.4</v>
      </c>
      <c r="J1606">
        <v>-6437</v>
      </c>
      <c r="N1606" t="s">
        <v>195</v>
      </c>
      <c r="O1606">
        <f t="shared" si="72"/>
        <v>29.999920000000003</v>
      </c>
      <c r="P1606">
        <f t="shared" si="73"/>
        <v>0.50009999999999444</v>
      </c>
      <c r="Q1606">
        <f t="shared" si="74"/>
        <v>0.50009999999999444</v>
      </c>
      <c r="Y1606">
        <f>TREND(H1605:H1609,G1605:G1609,G1606)</f>
        <v>30.482246150246738</v>
      </c>
      <c r="Z1606">
        <f>ABS((Y1606-H1606)/80*100)</f>
        <v>0.10280768780842388</v>
      </c>
      <c r="AB1606">
        <f>IF(ABS(T1605) &gt; ABS(V1605),T1605,V1605)</f>
        <v>0.6047437500000008</v>
      </c>
      <c r="AH1606">
        <f>H1606-AG1577</f>
        <v>30.145097499999999</v>
      </c>
      <c r="AI1606">
        <f>100*(AH1606-O1606)/80</f>
        <v>0.1814718749999944</v>
      </c>
      <c r="AN1606">
        <f>IF(ABS(AK1605) &gt; ABS(AM1605),AK1605,AM1605)</f>
        <v>0.28611562500000076</v>
      </c>
    </row>
    <row r="1607" spans="1:41" x14ac:dyDescent="0.35">
      <c r="A1607" t="s">
        <v>279</v>
      </c>
      <c r="B1607" t="s">
        <v>1111</v>
      </c>
      <c r="C1607" t="s">
        <v>1391</v>
      </c>
      <c r="D1607">
        <v>25</v>
      </c>
      <c r="E1607">
        <v>25</v>
      </c>
      <c r="F1607">
        <v>0</v>
      </c>
      <c r="G1607">
        <v>-1.9699999999999999E-4</v>
      </c>
      <c r="H1607">
        <v>50.465625000000003</v>
      </c>
      <c r="J1607">
        <v>-6431</v>
      </c>
      <c r="N1607" t="s">
        <v>195</v>
      </c>
      <c r="O1607">
        <f t="shared" si="72"/>
        <v>49.99212</v>
      </c>
      <c r="P1607">
        <f t="shared" si="73"/>
        <v>0.59188125000000369</v>
      </c>
      <c r="Q1607">
        <f t="shared" si="74"/>
        <v>0.59188125000000369</v>
      </c>
      <c r="Y1607">
        <f>TREND(H1605:H1609,G1605:G1609,G1607)</f>
        <v>50.474404006526392</v>
      </c>
      <c r="Z1607">
        <f>ABS((Y1607-H1607)/80*100)</f>
        <v>1.0973758157986069E-2</v>
      </c>
      <c r="AH1607">
        <f>H1607-AG1577</f>
        <v>50.210722500000003</v>
      </c>
      <c r="AI1607">
        <f>100*(AH1607-O1607)/80</f>
        <v>0.27325312500000365</v>
      </c>
    </row>
    <row r="1608" spans="1:41" x14ac:dyDescent="0.35">
      <c r="A1608" t="s">
        <v>279</v>
      </c>
      <c r="B1608" t="s">
        <v>1111</v>
      </c>
      <c r="C1608" t="s">
        <v>1428</v>
      </c>
      <c r="D1608">
        <v>25</v>
      </c>
      <c r="E1608">
        <v>25</v>
      </c>
      <c r="F1608">
        <v>0.5</v>
      </c>
      <c r="G1608">
        <v>0.50009499999999996</v>
      </c>
      <c r="H1608">
        <v>70.517187500000006</v>
      </c>
      <c r="J1608">
        <v>-6424</v>
      </c>
      <c r="N1608" t="s">
        <v>195</v>
      </c>
      <c r="O1608">
        <f t="shared" si="72"/>
        <v>70.003799999999998</v>
      </c>
      <c r="P1608">
        <f t="shared" si="73"/>
        <v>0.64173437500000929</v>
      </c>
      <c r="Q1608">
        <f t="shared" si="74"/>
        <v>0.64173437500000929</v>
      </c>
      <c r="Y1608">
        <f>TREND(H1605:H1609,G1605:G1609,G1608)</f>
        <v>70.486041821742049</v>
      </c>
      <c r="Z1608">
        <f>ABS((Y1608-H1608)/80*100)</f>
        <v>3.893209782244611E-2</v>
      </c>
      <c r="AH1608">
        <f>H1608-AG1577</f>
        <v>70.262285000000006</v>
      </c>
      <c r="AI1608">
        <f>100*(AH1608-O1608)/80</f>
        <v>0.32310625000000925</v>
      </c>
    </row>
    <row r="1609" spans="1:41" x14ac:dyDescent="0.35">
      <c r="A1609" t="s">
        <v>279</v>
      </c>
      <c r="B1609" t="s">
        <v>1111</v>
      </c>
      <c r="C1609" t="s">
        <v>1464</v>
      </c>
      <c r="D1609">
        <v>25</v>
      </c>
      <c r="E1609">
        <v>25</v>
      </c>
      <c r="F1609">
        <v>1</v>
      </c>
      <c r="G1609">
        <v>0.99970199999999998</v>
      </c>
      <c r="H1609">
        <v>90.471874999999997</v>
      </c>
      <c r="J1609">
        <v>-6411</v>
      </c>
      <c r="N1609" t="s">
        <v>195</v>
      </c>
      <c r="O1609">
        <f t="shared" ref="O1609:O1672" si="75">(((G1609--1)*(40))+10)</f>
        <v>89.988079999999997</v>
      </c>
      <c r="P1609">
        <f t="shared" ref="P1609:P1672" si="76">100*(H1609-O1609)/80</f>
        <v>0.6047437500000008</v>
      </c>
      <c r="Q1609">
        <f t="shared" ref="Q1609:Q1672" si="77">ABS(P1609)</f>
        <v>0.6047437500000008</v>
      </c>
      <c r="Y1609">
        <f>TREND(H1605:H1609,G1605:G1609,G1609)</f>
        <v>90.470279694717135</v>
      </c>
      <c r="Z1609">
        <f>ABS((Y1609-H1609)/80*100)</f>
        <v>1.9941316035776424E-3</v>
      </c>
      <c r="AH1609">
        <f>H1609-AG1577</f>
        <v>90.216972499999997</v>
      </c>
      <c r="AI1609">
        <f>100*(AH1609-O1609)/80</f>
        <v>0.28611562500000076</v>
      </c>
    </row>
    <row r="1610" spans="1:41" x14ac:dyDescent="0.35">
      <c r="A1610" t="s">
        <v>279</v>
      </c>
      <c r="B1610" t="s">
        <v>1111</v>
      </c>
      <c r="C1610" t="s">
        <v>1501</v>
      </c>
      <c r="D1610">
        <v>25</v>
      </c>
      <c r="E1610">
        <v>25</v>
      </c>
      <c r="F1610">
        <v>0</v>
      </c>
      <c r="G1610">
        <v>-2.31E-4</v>
      </c>
      <c r="H1610">
        <v>50.478124999999999</v>
      </c>
      <c r="J1610">
        <v>-6401</v>
      </c>
      <c r="N1610" t="s">
        <v>195</v>
      </c>
      <c r="O1610">
        <f t="shared" si="75"/>
        <v>49.990760000000002</v>
      </c>
      <c r="P1610">
        <f t="shared" si="76"/>
        <v>0.60920624999999617</v>
      </c>
      <c r="Q1610">
        <f t="shared" si="77"/>
        <v>0.60920624999999617</v>
      </c>
      <c r="Y1610">
        <f>TREND(H1605:H1609,G1605:G1609,G1610)</f>
        <v>50.473044009393284</v>
      </c>
      <c r="Z1610">
        <f>ABS((Y1610-H1610)/80*100)</f>
        <v>6.3512382583930114E-3</v>
      </c>
      <c r="AH1610">
        <f>H1610-AG1577</f>
        <v>50.223222499999999</v>
      </c>
      <c r="AI1610">
        <f>100*(AH1610-O1610)/80</f>
        <v>0.29057812499999613</v>
      </c>
    </row>
    <row r="1611" spans="1:41" x14ac:dyDescent="0.35">
      <c r="A1611" t="s">
        <v>279</v>
      </c>
      <c r="B1611" t="s">
        <v>1111</v>
      </c>
      <c r="C1611" t="s">
        <v>1538</v>
      </c>
      <c r="D1611">
        <v>25</v>
      </c>
      <c r="E1611">
        <v>25</v>
      </c>
      <c r="F1611">
        <v>-1</v>
      </c>
      <c r="G1611">
        <v>-0.99981200000000003</v>
      </c>
      <c r="H1611">
        <v>10.490625</v>
      </c>
      <c r="J1611">
        <v>-6394</v>
      </c>
      <c r="N1611" t="s">
        <v>195</v>
      </c>
      <c r="O1611">
        <f t="shared" si="75"/>
        <v>10.00752</v>
      </c>
      <c r="P1611">
        <f t="shared" si="76"/>
        <v>0.60388125000000015</v>
      </c>
      <c r="Q1611">
        <f t="shared" si="77"/>
        <v>0.60388125000000015</v>
      </c>
      <c r="Y1611">
        <f>TREND(H1605:H1609,G1605:G1609,G1611)</f>
        <v>10.489888294388678</v>
      </c>
      <c r="Z1611">
        <f>ABS((Y1611-H1611)/80*100)</f>
        <v>9.2088201415263526E-4</v>
      </c>
      <c r="AH1611">
        <f>H1611-AG1577</f>
        <v>10.2357225</v>
      </c>
      <c r="AI1611">
        <f>100*(AH1611-O1611)/80</f>
        <v>0.28525312500000011</v>
      </c>
    </row>
    <row r="1612" spans="1:41" x14ac:dyDescent="0.35">
      <c r="A1612" t="s">
        <v>279</v>
      </c>
      <c r="B1612" t="s">
        <v>1111</v>
      </c>
      <c r="C1612" t="s">
        <v>1575</v>
      </c>
      <c r="D1612">
        <v>50</v>
      </c>
      <c r="E1612">
        <v>50</v>
      </c>
      <c r="F1612">
        <v>-1</v>
      </c>
      <c r="G1612">
        <v>-1.000386</v>
      </c>
      <c r="H1612">
        <v>10.324999999999999</v>
      </c>
      <c r="J1612">
        <v>3528</v>
      </c>
      <c r="N1612" t="s">
        <v>195</v>
      </c>
      <c r="O1612">
        <f t="shared" si="75"/>
        <v>9.9845600000000001</v>
      </c>
      <c r="P1612">
        <f t="shared" si="76"/>
        <v>0.42554999999999898</v>
      </c>
      <c r="Q1612">
        <f t="shared" si="77"/>
        <v>0.42554999999999898</v>
      </c>
      <c r="S1612">
        <v>50.3515625</v>
      </c>
      <c r="T1612">
        <v>0.46675312500000565</v>
      </c>
      <c r="U1612">
        <v>90.432812499999997</v>
      </c>
      <c r="V1612">
        <v>0.53821562499999587</v>
      </c>
      <c r="W1612">
        <v>80.10781555175781</v>
      </c>
      <c r="X1612">
        <f>(W1612-80)/80*100</f>
        <v>0.13476943969726207</v>
      </c>
      <c r="Y1612">
        <f>TREND(H1612:H1616,G1612:G1616,G1612)</f>
        <v>10.293899508668282</v>
      </c>
      <c r="Z1612">
        <f>ABS((Y1612-H1612)/80*100)</f>
        <v>3.8875614164646244E-2</v>
      </c>
      <c r="AA1612">
        <f>MAX(Z1612:Z1616)</f>
        <v>6.0975017884872258E-2</v>
      </c>
      <c r="AB1612">
        <f>IF(ABS(MAX(P1612:P1618)) &gt; ABS(MIN(P1612:P1618)),MAX(P1612:P1618), MIN(P1612:P1618))</f>
        <v>0.53821562499999587</v>
      </c>
      <c r="AC1612">
        <f>IF(ABS(AB1613)&gt;ABS(AB1612),AB1613,AB1612)</f>
        <v>0.53821562499999587</v>
      </c>
      <c r="AH1612">
        <f>H1612-AG1577</f>
        <v>10.070097499999999</v>
      </c>
      <c r="AI1612">
        <f>100*(AH1612-O1612)/80</f>
        <v>0.10692187499999894</v>
      </c>
      <c r="AJ1612">
        <v>50.09666</v>
      </c>
      <c r="AK1612">
        <v>0.14812500000000561</v>
      </c>
      <c r="AL1612">
        <v>90.177909999999997</v>
      </c>
      <c r="AM1612">
        <v>0.21958749999999583</v>
      </c>
      <c r="AN1612">
        <f>IF(ABS(MAX(AI1612:AI1618)) &gt; ABS(MIN(AI1612:AI1618)),MAX(AI1612:AI1618), MIN(AI1612:AI1618))</f>
        <v>0.21958749999999583</v>
      </c>
      <c r="AO1612">
        <f>IF(ABS(AN1613)&gt;ABS(AN1612),AN1613,AN1612)</f>
        <v>0.21958749999999583</v>
      </c>
    </row>
    <row r="1613" spans="1:41" x14ac:dyDescent="0.35">
      <c r="A1613" t="s">
        <v>279</v>
      </c>
      <c r="B1613" t="s">
        <v>1111</v>
      </c>
      <c r="C1613" t="s">
        <v>1611</v>
      </c>
      <c r="D1613">
        <v>50</v>
      </c>
      <c r="E1613">
        <v>50</v>
      </c>
      <c r="F1613">
        <v>-0.5</v>
      </c>
      <c r="G1613">
        <v>-0.50005500000000003</v>
      </c>
      <c r="H1613">
        <v>30.2890625</v>
      </c>
      <c r="J1613">
        <v>3560</v>
      </c>
      <c r="N1613" t="s">
        <v>195</v>
      </c>
      <c r="O1613">
        <f t="shared" si="75"/>
        <v>29.997799999999998</v>
      </c>
      <c r="P1613">
        <f t="shared" si="76"/>
        <v>0.36407812500000247</v>
      </c>
      <c r="Q1613">
        <f t="shared" si="77"/>
        <v>0.36407812500000247</v>
      </c>
      <c r="Y1613">
        <f>TREND(H1612:H1616,G1612:G1616,G1613)</f>
        <v>30.337842514307898</v>
      </c>
      <c r="Z1613">
        <f>ABS((Y1613-H1613)/80*100)</f>
        <v>6.0975017884872258E-2</v>
      </c>
      <c r="AB1613">
        <f>IF(ABS(T1612) &gt; ABS(V1612),T1612,V1612)</f>
        <v>0.53821562499999587</v>
      </c>
      <c r="AH1613">
        <f>H1613-AG1577</f>
        <v>30.03416</v>
      </c>
      <c r="AI1613">
        <f>100*(AH1613-O1613)/80</f>
        <v>4.5450000000002433E-2</v>
      </c>
      <c r="AN1613">
        <f>IF(ABS(AK1612) &gt; ABS(AM1612),AK1612,AM1612)</f>
        <v>0.21958749999999583</v>
      </c>
    </row>
    <row r="1614" spans="1:41" x14ac:dyDescent="0.35">
      <c r="A1614" t="s">
        <v>279</v>
      </c>
      <c r="B1614" t="s">
        <v>1111</v>
      </c>
      <c r="C1614" t="s">
        <v>1648</v>
      </c>
      <c r="D1614">
        <v>50</v>
      </c>
      <c r="E1614">
        <v>50</v>
      </c>
      <c r="F1614">
        <v>0</v>
      </c>
      <c r="G1614">
        <v>-5.4600000000000004E-4</v>
      </c>
      <c r="H1614">
        <v>50.3515625</v>
      </c>
      <c r="J1614">
        <v>3579</v>
      </c>
      <c r="N1614" t="s">
        <v>195</v>
      </c>
      <c r="O1614">
        <f t="shared" si="75"/>
        <v>49.978159999999995</v>
      </c>
      <c r="P1614">
        <f t="shared" si="76"/>
        <v>0.46675312500000565</v>
      </c>
      <c r="Q1614">
        <f t="shared" si="77"/>
        <v>0.46675312500000565</v>
      </c>
      <c r="Y1614">
        <f>TREND(H1612:H1616,G1612:G1616,G1614)</f>
        <v>50.348855077599076</v>
      </c>
      <c r="Z1614">
        <f>ABS((Y1614-H1614)/80*100)</f>
        <v>3.3842780011550393E-3</v>
      </c>
      <c r="AH1614">
        <f>H1614-AG1577</f>
        <v>50.09666</v>
      </c>
      <c r="AI1614">
        <f>100*(AH1614-O1614)/80</f>
        <v>0.14812500000000561</v>
      </c>
    </row>
    <row r="1615" spans="1:41" x14ac:dyDescent="0.35">
      <c r="A1615" t="s">
        <v>279</v>
      </c>
      <c r="B1615" t="s">
        <v>1111</v>
      </c>
      <c r="C1615" t="s">
        <v>1685</v>
      </c>
      <c r="D1615">
        <v>50</v>
      </c>
      <c r="E1615">
        <v>50</v>
      </c>
      <c r="F1615">
        <v>0.5</v>
      </c>
      <c r="G1615">
        <v>0.499865</v>
      </c>
      <c r="H1615">
        <v>70.412499999999994</v>
      </c>
      <c r="J1615">
        <v>3609</v>
      </c>
      <c r="N1615" t="s">
        <v>195</v>
      </c>
      <c r="O1615">
        <f t="shared" si="75"/>
        <v>69.994599999999991</v>
      </c>
      <c r="P1615">
        <f t="shared" si="76"/>
        <v>0.52237500000000381</v>
      </c>
      <c r="Q1615">
        <f t="shared" si="77"/>
        <v>0.52237500000000381</v>
      </c>
      <c r="Y1615">
        <f>TREND(H1612:H1616,G1612:G1616,G1615)</f>
        <v>70.396002992469676</v>
      </c>
      <c r="Z1615">
        <f>ABS((Y1615-H1615)/80*100)</f>
        <v>2.0621259412898496E-2</v>
      </c>
      <c r="AH1615">
        <f>H1615-AG1577</f>
        <v>70.157597499999994</v>
      </c>
      <c r="AI1615">
        <f>100*(AH1615-O1615)/80</f>
        <v>0.20374687500000377</v>
      </c>
    </row>
    <row r="1616" spans="1:41" x14ac:dyDescent="0.35">
      <c r="A1616" t="s">
        <v>279</v>
      </c>
      <c r="B1616" t="s">
        <v>1111</v>
      </c>
      <c r="C1616" t="s">
        <v>1722</v>
      </c>
      <c r="D1616">
        <v>50</v>
      </c>
      <c r="E1616">
        <v>50</v>
      </c>
      <c r="F1616">
        <v>1</v>
      </c>
      <c r="G1616">
        <v>1.0000560000000001</v>
      </c>
      <c r="H1616">
        <v>90.432812499999997</v>
      </c>
      <c r="J1616">
        <v>3622</v>
      </c>
      <c r="N1616" t="s">
        <v>195</v>
      </c>
      <c r="O1616">
        <f t="shared" si="75"/>
        <v>90.00224</v>
      </c>
      <c r="P1616">
        <f t="shared" si="76"/>
        <v>0.53821562499999587</v>
      </c>
      <c r="Q1616">
        <f t="shared" si="77"/>
        <v>0.53821562499999587</v>
      </c>
      <c r="Y1616">
        <f>TREND(H1612:H1616,G1612:G1616,G1616)</f>
        <v>90.434337406955066</v>
      </c>
      <c r="Z1616">
        <f>ABS((Y1616-H1616)/80*100)</f>
        <v>1.9061336938364093E-3</v>
      </c>
      <c r="AH1616">
        <f>H1616-AG1577</f>
        <v>90.177909999999997</v>
      </c>
      <c r="AI1616">
        <f>100*(AH1616-O1616)/80</f>
        <v>0.21958749999999583</v>
      </c>
    </row>
    <row r="1617" spans="1:41" x14ac:dyDescent="0.35">
      <c r="A1617" t="s">
        <v>279</v>
      </c>
      <c r="B1617" t="s">
        <v>1111</v>
      </c>
      <c r="C1617" t="s">
        <v>1758</v>
      </c>
      <c r="D1617">
        <v>50</v>
      </c>
      <c r="E1617">
        <v>50</v>
      </c>
      <c r="F1617">
        <v>0</v>
      </c>
      <c r="G1617">
        <v>-1.5999999999999999E-5</v>
      </c>
      <c r="H1617">
        <v>50.334375000000001</v>
      </c>
      <c r="J1617">
        <v>3635</v>
      </c>
      <c r="N1617" t="s">
        <v>195</v>
      </c>
      <c r="O1617">
        <f t="shared" si="75"/>
        <v>49.999359999999996</v>
      </c>
      <c r="P1617">
        <f t="shared" si="76"/>
        <v>0.41876875000000702</v>
      </c>
      <c r="Q1617">
        <f t="shared" si="77"/>
        <v>0.41876875000000702</v>
      </c>
      <c r="Y1617">
        <f>TREND(H1612:H1616,G1612:G1616,G1617)</f>
        <v>50.370087601254397</v>
      </c>
      <c r="Z1617">
        <f>ABS((Y1617-H1617)/80*100)</f>
        <v>4.4640751567994741E-2</v>
      </c>
      <c r="AH1617">
        <f>H1617-AG1577</f>
        <v>50.079472500000001</v>
      </c>
      <c r="AI1617">
        <f>100*(AH1617-O1617)/80</f>
        <v>0.10014062500000698</v>
      </c>
    </row>
    <row r="1618" spans="1:41" x14ac:dyDescent="0.35">
      <c r="A1618" t="s">
        <v>279</v>
      </c>
      <c r="B1618" t="s">
        <v>1111</v>
      </c>
      <c r="C1618" t="s">
        <v>1795</v>
      </c>
      <c r="D1618">
        <v>50</v>
      </c>
      <c r="E1618">
        <v>50</v>
      </c>
      <c r="F1618">
        <v>-1</v>
      </c>
      <c r="G1618">
        <v>-1.0000230000000001</v>
      </c>
      <c r="H1618">
        <v>10.370312500000001</v>
      </c>
      <c r="J1618">
        <v>3654</v>
      </c>
      <c r="N1618" t="s">
        <v>195</v>
      </c>
      <c r="O1618">
        <f t="shared" si="75"/>
        <v>9.9990799999999957</v>
      </c>
      <c r="P1618">
        <f t="shared" si="76"/>
        <v>0.4640406250000062</v>
      </c>
      <c r="Q1618">
        <f t="shared" si="77"/>
        <v>0.4640406250000062</v>
      </c>
      <c r="Y1618">
        <f>TREND(H1612:H1616,G1612:G1616,G1618)</f>
        <v>10.308441784303902</v>
      </c>
      <c r="Z1618">
        <f>ABS((Y1618-H1618)/80*100)</f>
        <v>7.7338394620123374E-2</v>
      </c>
      <c r="AH1618">
        <f>H1618-AG1577</f>
        <v>10.115410000000001</v>
      </c>
      <c r="AI1618">
        <f>100*(AH1618-O1618)/80</f>
        <v>0.14541250000000616</v>
      </c>
    </row>
    <row r="1619" spans="1:41" x14ac:dyDescent="0.35">
      <c r="A1619" t="s">
        <v>279</v>
      </c>
      <c r="B1619" t="s">
        <v>1111</v>
      </c>
      <c r="C1619" t="s">
        <v>1832</v>
      </c>
      <c r="D1619">
        <v>70</v>
      </c>
      <c r="E1619">
        <v>70</v>
      </c>
      <c r="F1619">
        <v>-1</v>
      </c>
      <c r="G1619">
        <v>-1.0003010000000001</v>
      </c>
      <c r="H1619">
        <v>10.246874999999999</v>
      </c>
      <c r="J1619">
        <v>11663</v>
      </c>
      <c r="N1619" t="s">
        <v>195</v>
      </c>
      <c r="O1619">
        <f t="shared" si="75"/>
        <v>9.9879599999999957</v>
      </c>
      <c r="P1619">
        <f t="shared" si="76"/>
        <v>0.32364375000000445</v>
      </c>
      <c r="Q1619">
        <f t="shared" si="77"/>
        <v>0.32364375000000445</v>
      </c>
      <c r="S1619">
        <v>50.254687500000003</v>
      </c>
      <c r="T1619">
        <v>0.31530937499999467</v>
      </c>
      <c r="U1619">
        <v>90.487499999999997</v>
      </c>
      <c r="V1619">
        <v>0.61072499999999863</v>
      </c>
      <c r="W1619">
        <v>80.24062805175781</v>
      </c>
      <c r="X1619">
        <f>(W1619-80)/80*100</f>
        <v>0.30078506469726207</v>
      </c>
      <c r="Y1619">
        <f>TREND(H1619:H1623,G1619:G1623,G1619)</f>
        <v>10.157846952130633</v>
      </c>
      <c r="Z1619">
        <f>ABS((Y1619-H1619)/80*100)</f>
        <v>0.11128505983670767</v>
      </c>
      <c r="AA1619">
        <f>MAX(Z1619:Z1623)</f>
        <v>0.11268083568649168</v>
      </c>
      <c r="AB1619">
        <f>IF(ABS(MAX(P1619:P1625)) &gt; ABS(MIN(P1619:P1625)),MAX(P1619:P1625), MIN(P1619:P1625))</f>
        <v>0.61072499999999863</v>
      </c>
      <c r="AC1619">
        <f>IF(ABS(AB1620)&gt;ABS(AB1619),AB1620,AB1619)</f>
        <v>0.61072499999999863</v>
      </c>
      <c r="AH1619">
        <f>H1619-AG1577</f>
        <v>9.9919724999999993</v>
      </c>
      <c r="AI1619">
        <f>100*(AH1619-O1619)/80</f>
        <v>5.0156250000044089E-3</v>
      </c>
      <c r="AJ1619">
        <v>49.999785000000003</v>
      </c>
      <c r="AK1619">
        <v>-3.318750000005366E-3</v>
      </c>
      <c r="AL1619">
        <v>90.232597499999997</v>
      </c>
      <c r="AM1619">
        <v>0.29209687499999859</v>
      </c>
      <c r="AN1619">
        <f>IF(ABS(MAX(AI1619:AI1625)) &gt; ABS(MIN(AI1619:AI1625)),MAX(AI1619:AI1625), MIN(AI1619:AI1625))</f>
        <v>0.29209687499999859</v>
      </c>
      <c r="AO1619">
        <f>IF(ABS(AN1620)&gt;ABS(AN1619),AN1620,AN1619)</f>
        <v>0.29209687499999859</v>
      </c>
    </row>
    <row r="1620" spans="1:41" x14ac:dyDescent="0.35">
      <c r="A1620" t="s">
        <v>279</v>
      </c>
      <c r="B1620" t="s">
        <v>1111</v>
      </c>
      <c r="C1620" t="s">
        <v>1869</v>
      </c>
      <c r="D1620">
        <v>70</v>
      </c>
      <c r="E1620">
        <v>70</v>
      </c>
      <c r="F1620">
        <v>-0.5</v>
      </c>
      <c r="G1620">
        <v>-0.50011300000000003</v>
      </c>
      <c r="H1620">
        <v>30.15</v>
      </c>
      <c r="J1620">
        <v>11697</v>
      </c>
      <c r="N1620" t="s">
        <v>195</v>
      </c>
      <c r="O1620">
        <f t="shared" si="75"/>
        <v>29.995480000000001</v>
      </c>
      <c r="P1620">
        <f t="shared" si="76"/>
        <v>0.19314999999999749</v>
      </c>
      <c r="Q1620">
        <f t="shared" si="77"/>
        <v>0.19314999999999749</v>
      </c>
      <c r="Y1620">
        <f>TREND(H1619:H1623,G1619:G1623,G1620)</f>
        <v>30.240144668549192</v>
      </c>
      <c r="Z1620">
        <f>ABS((Y1620-H1620)/80*100)</f>
        <v>0.11268083568649168</v>
      </c>
      <c r="AB1620">
        <f>IF(ABS(T1619) &gt; ABS(V1619),T1619,V1619)</f>
        <v>0.61072499999999863</v>
      </c>
      <c r="AH1620">
        <f>H1620-AG1577</f>
        <v>29.895097499999999</v>
      </c>
      <c r="AI1620">
        <f>100*(AH1620-O1620)/80</f>
        <v>-0.12547812500000255</v>
      </c>
      <c r="AN1620">
        <f>IF(ABS(AK1619) &gt; ABS(AM1619),AK1619,AM1619)</f>
        <v>0.29209687499999859</v>
      </c>
    </row>
    <row r="1621" spans="1:41" x14ac:dyDescent="0.35">
      <c r="A1621" t="s">
        <v>279</v>
      </c>
      <c r="B1621" t="s">
        <v>1111</v>
      </c>
      <c r="C1621" t="s">
        <v>1905</v>
      </c>
      <c r="D1621">
        <v>70</v>
      </c>
      <c r="E1621">
        <v>70</v>
      </c>
      <c r="F1621">
        <v>0</v>
      </c>
      <c r="G1621">
        <v>6.0999999999999999E-5</v>
      </c>
      <c r="H1621">
        <v>50.254687500000003</v>
      </c>
      <c r="J1621">
        <v>11718</v>
      </c>
      <c r="N1621" t="s">
        <v>195</v>
      </c>
      <c r="O1621">
        <f t="shared" si="75"/>
        <v>50.002440000000007</v>
      </c>
      <c r="P1621">
        <f t="shared" si="76"/>
        <v>0.31530937499999467</v>
      </c>
      <c r="Q1621">
        <f t="shared" si="77"/>
        <v>0.31530937499999467</v>
      </c>
      <c r="Y1621">
        <f>TREND(H1619:H1623,G1619:G1623,G1621)</f>
        <v>50.321880291978644</v>
      </c>
      <c r="Z1621">
        <f>ABS((Y1621-H1621)/80*100)</f>
        <v>8.3990989973301566E-2</v>
      </c>
      <c r="AH1621">
        <f>H1621-AG1577</f>
        <v>49.999785000000003</v>
      </c>
      <c r="AI1621">
        <f>100*(AH1621-O1621)/80</f>
        <v>-3.318750000005366E-3</v>
      </c>
    </row>
    <row r="1622" spans="1:41" x14ac:dyDescent="0.35">
      <c r="A1622" t="s">
        <v>279</v>
      </c>
      <c r="B1622" t="s">
        <v>1111</v>
      </c>
      <c r="C1622" t="s">
        <v>1942</v>
      </c>
      <c r="D1622">
        <v>70</v>
      </c>
      <c r="E1622">
        <v>70</v>
      </c>
      <c r="F1622">
        <v>0.5</v>
      </c>
      <c r="G1622">
        <v>0.49990600000000002</v>
      </c>
      <c r="H1622">
        <v>70.439062500000006</v>
      </c>
      <c r="J1622">
        <v>11735</v>
      </c>
      <c r="N1622" t="s">
        <v>195</v>
      </c>
      <c r="O1622">
        <f t="shared" si="75"/>
        <v>69.99624</v>
      </c>
      <c r="P1622">
        <f t="shared" si="76"/>
        <v>0.55352812500000681</v>
      </c>
      <c r="Q1622">
        <f t="shared" si="77"/>
        <v>0.55352812500000681</v>
      </c>
      <c r="Y1622">
        <f>TREND(H1619:H1623,G1619:G1623,G1622)</f>
        <v>70.390406730164358</v>
      </c>
      <c r="Z1622">
        <f>ABS((Y1622-H1622)/80*100)</f>
        <v>6.0819712294559736E-2</v>
      </c>
      <c r="AH1622">
        <f>H1622-AG1577</f>
        <v>70.184160000000006</v>
      </c>
      <c r="AI1622">
        <f>100*(AH1622-O1622)/80</f>
        <v>0.23490000000000677</v>
      </c>
    </row>
    <row r="1623" spans="1:41" x14ac:dyDescent="0.35">
      <c r="A1623" t="s">
        <v>279</v>
      </c>
      <c r="B1623" t="s">
        <v>1111</v>
      </c>
      <c r="C1623" t="s">
        <v>1978</v>
      </c>
      <c r="D1623">
        <v>70</v>
      </c>
      <c r="E1623">
        <v>70</v>
      </c>
      <c r="F1623">
        <v>1</v>
      </c>
      <c r="G1623">
        <v>0.999973</v>
      </c>
      <c r="H1623">
        <v>90.487499999999997</v>
      </c>
      <c r="J1623">
        <v>11748</v>
      </c>
      <c r="N1623" t="s">
        <v>195</v>
      </c>
      <c r="O1623">
        <f t="shared" si="75"/>
        <v>89.998919999999998</v>
      </c>
      <c r="P1623">
        <f t="shared" si="76"/>
        <v>0.61072499999999863</v>
      </c>
      <c r="Q1623">
        <f t="shared" si="77"/>
        <v>0.61072499999999863</v>
      </c>
      <c r="Y1623">
        <f>TREND(H1619:H1623,G1619:G1623,G1623)</f>
        <v>90.467846357177137</v>
      </c>
      <c r="Z1623">
        <f>ABS((Y1623-H1623)/80*100)</f>
        <v>2.4567053528574689E-2</v>
      </c>
      <c r="AH1623">
        <f>H1623-AG1577</f>
        <v>90.232597499999997</v>
      </c>
      <c r="AI1623">
        <f>100*(AH1623-O1623)/80</f>
        <v>0.29209687499999859</v>
      </c>
    </row>
    <row r="1624" spans="1:41" x14ac:dyDescent="0.35">
      <c r="A1624" t="s">
        <v>279</v>
      </c>
      <c r="B1624" t="s">
        <v>1111</v>
      </c>
      <c r="C1624" t="s">
        <v>2015</v>
      </c>
      <c r="D1624">
        <v>70</v>
      </c>
      <c r="E1624">
        <v>70</v>
      </c>
      <c r="F1624">
        <v>0</v>
      </c>
      <c r="G1624">
        <v>-3.1000000000000001E-5</v>
      </c>
      <c r="H1624">
        <v>50.235937499999999</v>
      </c>
      <c r="J1624">
        <v>11767</v>
      </c>
      <c r="N1624" t="s">
        <v>195</v>
      </c>
      <c r="O1624">
        <f t="shared" si="75"/>
        <v>49.998759999999997</v>
      </c>
      <c r="P1624">
        <f t="shared" si="76"/>
        <v>0.29647187500000172</v>
      </c>
      <c r="Q1624">
        <f t="shared" si="77"/>
        <v>0.29647187500000172</v>
      </c>
      <c r="Y1624">
        <f>TREND(H1619:H1623,G1619:G1623,G1624)</f>
        <v>50.318186538050306</v>
      </c>
      <c r="Z1624">
        <f>ABS((Y1624-H1624)/80*100)</f>
        <v>0.10281129756288365</v>
      </c>
      <c r="AH1624">
        <f>H1624-AG1577</f>
        <v>49.981034999999999</v>
      </c>
      <c r="AI1624">
        <f>100*(AH1624-O1624)/80</f>
        <v>-2.2156249999998323E-2</v>
      </c>
    </row>
    <row r="1625" spans="1:41" x14ac:dyDescent="0.35">
      <c r="A1625" t="s">
        <v>279</v>
      </c>
      <c r="B1625" t="s">
        <v>1111</v>
      </c>
      <c r="C1625" t="s">
        <v>2052</v>
      </c>
      <c r="D1625">
        <v>70</v>
      </c>
      <c r="E1625">
        <v>70</v>
      </c>
      <c r="F1625">
        <v>-1</v>
      </c>
      <c r="G1625">
        <v>-1.0000640000000001</v>
      </c>
      <c r="H1625">
        <v>10.231249999999999</v>
      </c>
      <c r="J1625">
        <v>11776</v>
      </c>
      <c r="N1625" t="s">
        <v>195</v>
      </c>
      <c r="O1625">
        <f t="shared" si="75"/>
        <v>9.9974399999999974</v>
      </c>
      <c r="P1625">
        <f t="shared" si="76"/>
        <v>0.29226250000000231</v>
      </c>
      <c r="Q1625">
        <f t="shared" si="77"/>
        <v>0.29226250000000231</v>
      </c>
      <c r="Y1625">
        <f>TREND(H1619:H1623,G1619:G1623,G1625)</f>
        <v>10.167362383446047</v>
      </c>
      <c r="Z1625">
        <f>ABS((Y1625-H1625)/80*100)</f>
        <v>7.9859520692440178E-2</v>
      </c>
      <c r="AH1625">
        <f>H1625-AG1577</f>
        <v>9.9763474999999993</v>
      </c>
      <c r="AI1625">
        <f>100*(AH1625-O1625)/80</f>
        <v>-2.6365624999997728E-2</v>
      </c>
    </row>
    <row r="1626" spans="1:41" x14ac:dyDescent="0.35">
      <c r="A1626" t="s">
        <v>279</v>
      </c>
      <c r="B1626" t="s">
        <v>1111</v>
      </c>
      <c r="C1626" t="s">
        <v>2088</v>
      </c>
      <c r="D1626">
        <v>85</v>
      </c>
      <c r="E1626">
        <v>85</v>
      </c>
      <c r="F1626">
        <v>-1</v>
      </c>
      <c r="G1626">
        <v>-1.0000819999999999</v>
      </c>
      <c r="H1626">
        <v>10.1953125</v>
      </c>
      <c r="J1626">
        <v>17799</v>
      </c>
      <c r="N1626" t="s">
        <v>195</v>
      </c>
      <c r="O1626">
        <f t="shared" si="75"/>
        <v>9.9967200000000034</v>
      </c>
      <c r="P1626">
        <f t="shared" si="76"/>
        <v>0.24824062499999577</v>
      </c>
      <c r="Q1626">
        <f t="shared" si="77"/>
        <v>0.24824062499999577</v>
      </c>
      <c r="S1626">
        <v>50.260937499999997</v>
      </c>
      <c r="T1626">
        <v>0.32252187499999252</v>
      </c>
      <c r="U1626">
        <v>90.465625000000003</v>
      </c>
      <c r="V1626">
        <v>0.58623125000000442</v>
      </c>
      <c r="W1626">
        <v>80.270309448242188</v>
      </c>
      <c r="X1626">
        <f>(W1626-80)/80*100</f>
        <v>0.33788681030273438</v>
      </c>
      <c r="Y1626">
        <f>TREND(H1626:H1630,G1626:G1630,G1626)</f>
        <v>10.123500671637267</v>
      </c>
      <c r="Z1626">
        <f>ABS((Y1626-H1626)/80*100)</f>
        <v>8.9764785453416707E-2</v>
      </c>
      <c r="AA1626">
        <f>MAX(Z1626:Z1630)</f>
        <v>0.11616609621406758</v>
      </c>
      <c r="AB1626">
        <f>IF(ABS(MAX(P1626:P1632)) &gt; ABS(MIN(P1626:P1632)),MAX(P1626:P1632), MIN(P1626:P1632))</f>
        <v>0.61332187500001467</v>
      </c>
      <c r="AC1626">
        <f>IF(ABS(AB1627)&gt;ABS(AB1626),AB1627,AB1626)</f>
        <v>0.61332187500001467</v>
      </c>
      <c r="AH1626">
        <f>H1626-AG1577</f>
        <v>9.94041</v>
      </c>
      <c r="AI1626">
        <f>100*(AH1626-O1626)/80</f>
        <v>-7.0387500000004266E-2</v>
      </c>
      <c r="AJ1626">
        <v>50.006034999999997</v>
      </c>
      <c r="AK1626">
        <v>3.8937499999924796E-3</v>
      </c>
      <c r="AL1626">
        <v>90.210722500000003</v>
      </c>
      <c r="AM1626">
        <v>0.26760312500000438</v>
      </c>
      <c r="AN1626">
        <f>IF(ABS(MAX(AI1626:AI1632)) &gt; ABS(MIN(AI1626:AI1632)),MAX(AI1626:AI1632), MIN(AI1626:AI1632))</f>
        <v>0.29469375000001463</v>
      </c>
      <c r="AO1626">
        <f>IF(ABS(AN1627)&gt;ABS(AN1626),AN1627,AN1626)</f>
        <v>0.29469375000001463</v>
      </c>
    </row>
    <row r="1627" spans="1:41" x14ac:dyDescent="0.35">
      <c r="A1627" t="s">
        <v>279</v>
      </c>
      <c r="B1627" t="s">
        <v>1111</v>
      </c>
      <c r="C1627" t="s">
        <v>2124</v>
      </c>
      <c r="D1627">
        <v>85</v>
      </c>
      <c r="E1627">
        <v>85</v>
      </c>
      <c r="F1627">
        <v>-0.5</v>
      </c>
      <c r="G1627">
        <v>-0.49991099999999999</v>
      </c>
      <c r="H1627">
        <v>30.128125000000001</v>
      </c>
      <c r="J1627">
        <v>17818</v>
      </c>
      <c r="N1627" t="s">
        <v>195</v>
      </c>
      <c r="O1627">
        <f t="shared" si="75"/>
        <v>30.00356</v>
      </c>
      <c r="P1627">
        <f t="shared" si="76"/>
        <v>0.1557062500000006</v>
      </c>
      <c r="Q1627">
        <f t="shared" si="77"/>
        <v>0.1557062500000006</v>
      </c>
      <c r="Y1627">
        <f>TREND(H1626:H1630,G1626:G1630,G1627)</f>
        <v>30.221057876971255</v>
      </c>
      <c r="Z1627">
        <f>ABS((Y1627-H1627)/80*100)</f>
        <v>0.11616609621406758</v>
      </c>
      <c r="AB1627">
        <f>IF(ABS(T1626) &gt; ABS(V1626),T1626,V1626)</f>
        <v>0.58623125000000442</v>
      </c>
      <c r="AH1627">
        <f>H1627-AG1577</f>
        <v>29.873222500000001</v>
      </c>
      <c r="AI1627">
        <f>100*(AH1627-O1627)/80</f>
        <v>-0.16292187499999944</v>
      </c>
      <c r="AN1627">
        <f>IF(ABS(AK1626) &gt; ABS(AM1626),AK1626,AM1626)</f>
        <v>0.26760312500000438</v>
      </c>
    </row>
    <row r="1628" spans="1:41" x14ac:dyDescent="0.35">
      <c r="A1628" t="s">
        <v>279</v>
      </c>
      <c r="B1628" t="s">
        <v>1111</v>
      </c>
      <c r="C1628" t="s">
        <v>2160</v>
      </c>
      <c r="D1628">
        <v>85</v>
      </c>
      <c r="E1628">
        <v>85</v>
      </c>
      <c r="F1628">
        <v>0</v>
      </c>
      <c r="G1628">
        <v>7.2999999999999999E-5</v>
      </c>
      <c r="H1628">
        <v>50.260937499999997</v>
      </c>
      <c r="J1628">
        <v>17830</v>
      </c>
      <c r="N1628" t="s">
        <v>195</v>
      </c>
      <c r="O1628">
        <f t="shared" si="75"/>
        <v>50.002920000000003</v>
      </c>
      <c r="P1628">
        <f t="shared" si="76"/>
        <v>0.32252187499999252</v>
      </c>
      <c r="Q1628">
        <f t="shared" si="77"/>
        <v>0.32252187499999252</v>
      </c>
      <c r="Y1628">
        <f>TREND(H1626:H1630,G1626:G1630,G1628)</f>
        <v>50.311101165669939</v>
      </c>
      <c r="Z1628">
        <f>ABS((Y1628-H1628)/80*100)</f>
        <v>6.2704582087427241E-2</v>
      </c>
      <c r="AH1628">
        <f>H1628-AG1577</f>
        <v>50.006034999999997</v>
      </c>
      <c r="AI1628">
        <f>100*(AH1628-O1628)/80</f>
        <v>3.8937499999924796E-3</v>
      </c>
    </row>
    <row r="1629" spans="1:41" x14ac:dyDescent="0.35">
      <c r="A1629" t="s">
        <v>279</v>
      </c>
      <c r="B1629" t="s">
        <v>1111</v>
      </c>
      <c r="C1629" t="s">
        <v>2197</v>
      </c>
      <c r="D1629">
        <v>85</v>
      </c>
      <c r="E1629">
        <v>85</v>
      </c>
      <c r="F1629">
        <v>0.5</v>
      </c>
      <c r="G1629">
        <v>0.49988199999999999</v>
      </c>
      <c r="H1629">
        <v>70.485937500000006</v>
      </c>
      <c r="J1629">
        <v>17854</v>
      </c>
      <c r="N1629" t="s">
        <v>195</v>
      </c>
      <c r="O1629">
        <f t="shared" si="75"/>
        <v>69.995279999999994</v>
      </c>
      <c r="P1629">
        <f t="shared" si="76"/>
        <v>0.61332187500001467</v>
      </c>
      <c r="Q1629">
        <f t="shared" si="77"/>
        <v>0.61332187500001467</v>
      </c>
      <c r="Y1629">
        <f>TREND(H1626:H1630,G1626:G1630,G1629)</f>
        <v>70.394112714201896</v>
      </c>
      <c r="Z1629">
        <f>ABS((Y1629-H1629)/80*100)</f>
        <v>0.11478098224763755</v>
      </c>
      <c r="AH1629">
        <f>H1629-AG1577</f>
        <v>70.231035000000006</v>
      </c>
      <c r="AI1629">
        <f>100*(AH1629-O1629)/80</f>
        <v>0.29469375000001463</v>
      </c>
    </row>
    <row r="1630" spans="1:41" x14ac:dyDescent="0.35">
      <c r="A1630" t="s">
        <v>279</v>
      </c>
      <c r="B1630" t="s">
        <v>1111</v>
      </c>
      <c r="C1630" t="s">
        <v>2234</v>
      </c>
      <c r="D1630">
        <v>85</v>
      </c>
      <c r="E1630">
        <v>85</v>
      </c>
      <c r="F1630">
        <v>1</v>
      </c>
      <c r="G1630">
        <v>0.99991600000000003</v>
      </c>
      <c r="H1630">
        <v>90.465625000000003</v>
      </c>
      <c r="J1630">
        <v>17873</v>
      </c>
      <c r="N1630" t="s">
        <v>195</v>
      </c>
      <c r="O1630">
        <f t="shared" si="75"/>
        <v>89.996639999999999</v>
      </c>
      <c r="P1630">
        <f t="shared" si="76"/>
        <v>0.58623125000000442</v>
      </c>
      <c r="Q1630">
        <f t="shared" si="77"/>
        <v>0.58623125000000442</v>
      </c>
      <c r="Y1630">
        <f>TREND(H1626:H1630,G1626:G1630,G1630)</f>
        <v>90.48616507151965</v>
      </c>
      <c r="Z1630">
        <f>ABS((Y1630-H1630)/80*100)</f>
        <v>2.5675089399559429E-2</v>
      </c>
      <c r="AH1630">
        <f>H1630-AG1577</f>
        <v>90.210722500000003</v>
      </c>
      <c r="AI1630">
        <f>100*(AH1630-O1630)/80</f>
        <v>0.26760312500000438</v>
      </c>
    </row>
    <row r="1631" spans="1:41" x14ac:dyDescent="0.35">
      <c r="A1631" t="s">
        <v>279</v>
      </c>
      <c r="B1631" t="s">
        <v>1111</v>
      </c>
      <c r="C1631" t="s">
        <v>2270</v>
      </c>
      <c r="D1631">
        <v>85</v>
      </c>
      <c r="E1631">
        <v>85</v>
      </c>
      <c r="F1631">
        <v>0</v>
      </c>
      <c r="G1631">
        <v>6.3999999999999997E-5</v>
      </c>
      <c r="H1631">
        <v>50.240625000000001</v>
      </c>
      <c r="J1631">
        <v>17884</v>
      </c>
      <c r="N1631" t="s">
        <v>195</v>
      </c>
      <c r="O1631">
        <f t="shared" si="75"/>
        <v>50.002560000000003</v>
      </c>
      <c r="P1631">
        <f t="shared" si="76"/>
        <v>0.29758124999999858</v>
      </c>
      <c r="Q1631">
        <f t="shared" si="77"/>
        <v>0.29758124999999858</v>
      </c>
      <c r="Y1631">
        <f>TREND(H1626:H1630,G1626:G1630,G1631)</f>
        <v>50.310739533318504</v>
      </c>
      <c r="Z1631">
        <f>ABS((Y1631-H1631)/80*100)</f>
        <v>8.7643166648128101E-2</v>
      </c>
      <c r="AH1631">
        <f>H1631-AG1577</f>
        <v>49.985722500000001</v>
      </c>
      <c r="AI1631">
        <f>100*(AH1631-O1631)/80</f>
        <v>-2.1046875000001464E-2</v>
      </c>
    </row>
    <row r="1632" spans="1:41" x14ac:dyDescent="0.35">
      <c r="A1632" t="s">
        <v>279</v>
      </c>
      <c r="B1632" t="s">
        <v>1111</v>
      </c>
      <c r="C1632" t="s">
        <v>2307</v>
      </c>
      <c r="D1632">
        <v>85</v>
      </c>
      <c r="E1632">
        <v>85</v>
      </c>
      <c r="F1632">
        <v>-1</v>
      </c>
      <c r="G1632">
        <v>-1.0001409999999999</v>
      </c>
      <c r="H1632">
        <v>10.2015625</v>
      </c>
      <c r="J1632">
        <v>17884</v>
      </c>
      <c r="N1632" t="s">
        <v>195</v>
      </c>
      <c r="O1632">
        <f t="shared" si="75"/>
        <v>9.9943600000000021</v>
      </c>
      <c r="P1632">
        <f t="shared" si="76"/>
        <v>0.25900312499999689</v>
      </c>
      <c r="Q1632">
        <f t="shared" si="77"/>
        <v>0.25900312499999689</v>
      </c>
      <c r="Y1632">
        <f>TREND(H1626:H1630,G1626:G1630,G1632)</f>
        <v>10.121129970666765</v>
      </c>
      <c r="Z1632">
        <f>ABS((Y1632-H1632)/80*100)</f>
        <v>0.10054066166654385</v>
      </c>
      <c r="AH1632">
        <f>H1632-AG1577</f>
        <v>9.9466599999999996</v>
      </c>
      <c r="AI1632">
        <f>100*(AH1632-O1632)/80</f>
        <v>-5.9625000000003148E-2</v>
      </c>
    </row>
    <row r="1633" spans="1:41" x14ac:dyDescent="0.35">
      <c r="A1633" t="s">
        <v>279</v>
      </c>
      <c r="B1633" t="s">
        <v>1111</v>
      </c>
      <c r="C1633" t="s">
        <v>2344</v>
      </c>
      <c r="D1633">
        <v>25</v>
      </c>
      <c r="E1633">
        <v>25</v>
      </c>
      <c r="F1633">
        <v>-1</v>
      </c>
      <c r="G1633">
        <v>-1.00007</v>
      </c>
      <c r="H1633">
        <v>10.265625</v>
      </c>
      <c r="J1633">
        <v>-5846</v>
      </c>
      <c r="N1633" t="s">
        <v>195</v>
      </c>
      <c r="O1633">
        <f t="shared" si="75"/>
        <v>9.9971999999999994</v>
      </c>
      <c r="P1633">
        <f t="shared" si="76"/>
        <v>0.33553125000000072</v>
      </c>
      <c r="Q1633">
        <f t="shared" si="77"/>
        <v>0.33553125000000072</v>
      </c>
      <c r="S1633">
        <v>50.292187499999997</v>
      </c>
      <c r="T1633">
        <v>0.36983437499999994</v>
      </c>
      <c r="U1633">
        <v>90.276562499999997</v>
      </c>
      <c r="V1633">
        <v>0.36765312500000036</v>
      </c>
      <c r="W1633">
        <v>80.010940551757813</v>
      </c>
      <c r="X1633">
        <f>(W1633-80)/80*100</f>
        <v>1.3675689697265625E-2</v>
      </c>
      <c r="Y1633">
        <f>TREND(H1633:H1637,G1633:G1637,G1633)</f>
        <v>10.190476993637418</v>
      </c>
      <c r="Z1633">
        <f>ABS((Y1633-H1633)/80*100)</f>
        <v>9.3935007953227512E-2</v>
      </c>
      <c r="AA1633">
        <f>MAX(Z1633:Z1637)</f>
        <v>0.18140764730848691</v>
      </c>
      <c r="AB1633">
        <f>IF(ABS(MAX(P1633:P1639)) &gt; ABS(MIN(P1633:P1639)),MAX(P1633:P1639), MIN(P1633:P1639))</f>
        <v>0.42949375000000956</v>
      </c>
      <c r="AC1633">
        <f>IF(ABS(AB1634)&gt;ABS(AB1633),AB1634,AB1633)</f>
        <v>0.42949375000000956</v>
      </c>
      <c r="AH1633">
        <f>H1633-AG1577</f>
        <v>10.0107225</v>
      </c>
      <c r="AI1633">
        <f>100*(AH1633-O1633)/80</f>
        <v>1.6903125000000685E-2</v>
      </c>
      <c r="AJ1633">
        <v>50.037284999999997</v>
      </c>
      <c r="AK1633">
        <v>5.1206249999999898E-2</v>
      </c>
      <c r="AL1633">
        <v>90.021659999999997</v>
      </c>
      <c r="AM1633">
        <v>4.9025000000000318E-2</v>
      </c>
      <c r="AN1633">
        <f>IF(ABS(MAX(AI1633:AI1639)) &gt; ABS(MIN(AI1633:AI1639)),MAX(AI1633:AI1639), MIN(AI1633:AI1639))</f>
        <v>-0.2190093749999944</v>
      </c>
      <c r="AO1633">
        <f>IF(ABS(AN1634)&gt;ABS(AN1633),AN1634,AN1633)</f>
        <v>-0.2190093749999944</v>
      </c>
    </row>
    <row r="1634" spans="1:41" x14ac:dyDescent="0.35">
      <c r="A1634" t="s">
        <v>279</v>
      </c>
      <c r="B1634" t="s">
        <v>1111</v>
      </c>
      <c r="C1634" t="s">
        <v>2381</v>
      </c>
      <c r="D1634">
        <v>25</v>
      </c>
      <c r="E1634">
        <v>25</v>
      </c>
      <c r="F1634">
        <v>-0.5</v>
      </c>
      <c r="G1634">
        <v>-0.49988300000000002</v>
      </c>
      <c r="H1634">
        <v>30.084375000000001</v>
      </c>
      <c r="J1634">
        <v>-5876</v>
      </c>
      <c r="N1634" t="s">
        <v>195</v>
      </c>
      <c r="O1634">
        <f t="shared" si="75"/>
        <v>30.004679999999997</v>
      </c>
      <c r="P1634">
        <f t="shared" si="76"/>
        <v>9.961875000000564E-2</v>
      </c>
      <c r="Q1634">
        <f t="shared" si="77"/>
        <v>9.961875000000564E-2</v>
      </c>
      <c r="Y1634">
        <f>TREND(H1633:H1637,G1633:G1637,G1634)</f>
        <v>30.229501117846791</v>
      </c>
      <c r="Z1634">
        <f>ABS((Y1634-H1634)/80*100)</f>
        <v>0.18140764730848691</v>
      </c>
      <c r="AB1634">
        <f>IF(ABS(T1633) &gt; ABS(V1633),T1633,V1633)</f>
        <v>0.36983437499999994</v>
      </c>
      <c r="AH1634">
        <f>H1634-AG1577</f>
        <v>29.829472500000001</v>
      </c>
      <c r="AI1634">
        <f>100*(AH1634-O1634)/80</f>
        <v>-0.2190093749999944</v>
      </c>
      <c r="AN1634">
        <f>IF(ABS(AK1633) &gt; ABS(AM1633),AK1633,AM1633)</f>
        <v>5.1206249999999898E-2</v>
      </c>
    </row>
    <row r="1635" spans="1:41" x14ac:dyDescent="0.35">
      <c r="A1635" t="s">
        <v>279</v>
      </c>
      <c r="B1635" t="s">
        <v>1111</v>
      </c>
      <c r="C1635" t="s">
        <v>2417</v>
      </c>
      <c r="D1635">
        <v>25</v>
      </c>
      <c r="E1635">
        <v>25</v>
      </c>
      <c r="F1635">
        <v>0</v>
      </c>
      <c r="G1635">
        <v>-9.2E-5</v>
      </c>
      <c r="H1635">
        <v>50.292187499999997</v>
      </c>
      <c r="J1635">
        <v>-5906</v>
      </c>
      <c r="N1635" t="s">
        <v>195</v>
      </c>
      <c r="O1635">
        <f t="shared" si="75"/>
        <v>49.996319999999997</v>
      </c>
      <c r="P1635">
        <f t="shared" si="76"/>
        <v>0.36983437499999994</v>
      </c>
      <c r="Q1635">
        <f t="shared" si="77"/>
        <v>0.36983437499999994</v>
      </c>
      <c r="Y1635">
        <f>TREND(H1633:H1637,G1633:G1637,G1635)</f>
        <v>50.252660268449915</v>
      </c>
      <c r="Z1635">
        <f>ABS((Y1635-H1635)/80*100)</f>
        <v>4.9409039437602338E-2</v>
      </c>
      <c r="AH1635">
        <f>H1635-AG1577</f>
        <v>50.037284999999997</v>
      </c>
      <c r="AI1635">
        <f>100*(AH1635-O1635)/80</f>
        <v>5.1206249999999898E-2</v>
      </c>
    </row>
    <row r="1636" spans="1:41" x14ac:dyDescent="0.35">
      <c r="A1636" t="s">
        <v>279</v>
      </c>
      <c r="B1636" t="s">
        <v>1111</v>
      </c>
      <c r="C1636" t="s">
        <v>2454</v>
      </c>
      <c r="D1636">
        <v>25</v>
      </c>
      <c r="E1636">
        <v>25</v>
      </c>
      <c r="F1636">
        <v>0.5</v>
      </c>
      <c r="G1636">
        <v>0.50008200000000003</v>
      </c>
      <c r="H1636">
        <v>70.346874999999997</v>
      </c>
      <c r="J1636">
        <v>-5929</v>
      </c>
      <c r="N1636" t="s">
        <v>195</v>
      </c>
      <c r="O1636">
        <f t="shared" si="75"/>
        <v>70.00327999999999</v>
      </c>
      <c r="P1636">
        <f t="shared" si="76"/>
        <v>0.42949375000000956</v>
      </c>
      <c r="Q1636">
        <f t="shared" si="77"/>
        <v>0.42949375000000956</v>
      </c>
      <c r="Y1636">
        <f>TREND(H1633:H1637,G1633:G1637,G1636)</f>
        <v>70.291163572818675</v>
      </c>
      <c r="Z1636">
        <f>ABS((Y1636-H1636)/80*100)</f>
        <v>6.9639283976652422E-2</v>
      </c>
      <c r="AH1636">
        <f>H1636-AG1577</f>
        <v>70.091972499999997</v>
      </c>
      <c r="AI1636">
        <f>100*(AH1636-O1636)/80</f>
        <v>0.11086562500000952</v>
      </c>
    </row>
    <row r="1637" spans="1:41" x14ac:dyDescent="0.35">
      <c r="A1637" t="s">
        <v>279</v>
      </c>
      <c r="B1637" t="s">
        <v>1111</v>
      </c>
      <c r="C1637" t="s">
        <v>2491</v>
      </c>
      <c r="D1637">
        <v>25</v>
      </c>
      <c r="E1637">
        <v>25</v>
      </c>
      <c r="F1637">
        <v>1</v>
      </c>
      <c r="G1637">
        <v>0.99956100000000003</v>
      </c>
      <c r="H1637">
        <v>90.276562499999997</v>
      </c>
      <c r="J1637">
        <v>-5955</v>
      </c>
      <c r="N1637" t="s">
        <v>195</v>
      </c>
      <c r="O1637">
        <f t="shared" si="75"/>
        <v>89.982439999999997</v>
      </c>
      <c r="P1637">
        <f t="shared" si="76"/>
        <v>0.36765312500000036</v>
      </c>
      <c r="Q1637">
        <f t="shared" si="77"/>
        <v>0.36765312500000036</v>
      </c>
      <c r="Y1637">
        <f>TREND(H1633:H1637,G1633:G1637,G1637)</f>
        <v>90.301823047247183</v>
      </c>
      <c r="Z1637">
        <f>ABS((Y1637-H1637)/80*100)</f>
        <v>3.1575684058982034E-2</v>
      </c>
      <c r="AH1637">
        <f>H1637-AG1577</f>
        <v>90.021659999999997</v>
      </c>
      <c r="AI1637">
        <f>100*(AH1637-O1637)/80</f>
        <v>4.9025000000000318E-2</v>
      </c>
    </row>
    <row r="1638" spans="1:41" x14ac:dyDescent="0.35">
      <c r="A1638" t="s">
        <v>279</v>
      </c>
      <c r="B1638" t="s">
        <v>1111</v>
      </c>
      <c r="C1638" t="s">
        <v>2528</v>
      </c>
      <c r="D1638">
        <v>25</v>
      </c>
      <c r="E1638">
        <v>25</v>
      </c>
      <c r="F1638">
        <v>0</v>
      </c>
      <c r="G1638">
        <v>-7.2999999999999999E-5</v>
      </c>
      <c r="H1638">
        <v>50.2265625</v>
      </c>
      <c r="J1638">
        <v>-5979</v>
      </c>
      <c r="N1638" t="s">
        <v>195</v>
      </c>
      <c r="O1638">
        <f t="shared" si="75"/>
        <v>49.997079999999997</v>
      </c>
      <c r="P1638">
        <f t="shared" si="76"/>
        <v>0.28685312500000393</v>
      </c>
      <c r="Q1638">
        <f t="shared" si="77"/>
        <v>0.28685312500000393</v>
      </c>
      <c r="Y1638">
        <f>TREND(H1633:H1637,G1633:G1637,G1638)</f>
        <v>50.253421466678496</v>
      </c>
      <c r="Z1638">
        <f>ABS((Y1638-H1638)/80*100)</f>
        <v>3.3573708348120235E-2</v>
      </c>
      <c r="AH1638">
        <f>H1638-AG1577</f>
        <v>49.97166</v>
      </c>
      <c r="AI1638">
        <f>100*(AH1638-O1638)/80</f>
        <v>-3.1774999999996112E-2</v>
      </c>
    </row>
    <row r="1639" spans="1:41" x14ac:dyDescent="0.35">
      <c r="A1639" t="s">
        <v>279</v>
      </c>
      <c r="B1639" t="s">
        <v>1111</v>
      </c>
      <c r="C1639" t="s">
        <v>2563</v>
      </c>
      <c r="D1639">
        <v>25</v>
      </c>
      <c r="E1639">
        <v>25</v>
      </c>
      <c r="F1639">
        <v>-1</v>
      </c>
      <c r="G1639">
        <v>-1.0003379999999999</v>
      </c>
      <c r="H1639">
        <v>10.323437500000001</v>
      </c>
      <c r="J1639">
        <v>-5993</v>
      </c>
      <c r="N1639" t="s">
        <v>195</v>
      </c>
      <c r="O1639">
        <f t="shared" si="75"/>
        <v>9.986480000000002</v>
      </c>
      <c r="P1639">
        <f t="shared" si="76"/>
        <v>0.42119687499999836</v>
      </c>
      <c r="Q1639">
        <f t="shared" si="77"/>
        <v>0.42119687499999836</v>
      </c>
      <c r="Y1639">
        <f>TREND(H1633:H1637,G1633:G1637,G1639)</f>
        <v>10.179740092307945</v>
      </c>
      <c r="Z1639">
        <f>ABS((Y1639-H1639)/80*100)</f>
        <v>0.17962175961506954</v>
      </c>
      <c r="AH1639">
        <f>H1639-AG1577</f>
        <v>10.068535000000001</v>
      </c>
      <c r="AI1639">
        <f>100*(AH1639-O1639)/80</f>
        <v>0.10256874999999832</v>
      </c>
    </row>
    <row r="1640" spans="1:41" x14ac:dyDescent="0.35">
      <c r="A1640" t="s">
        <v>281</v>
      </c>
      <c r="B1640" t="s">
        <v>231</v>
      </c>
      <c r="C1640" t="s">
        <v>282</v>
      </c>
      <c r="D1640">
        <v>25</v>
      </c>
      <c r="E1640">
        <v>25</v>
      </c>
      <c r="F1640">
        <v>-1</v>
      </c>
      <c r="G1640">
        <v>-1.000075</v>
      </c>
      <c r="H1640">
        <v>10.2671875</v>
      </c>
      <c r="J1640">
        <v>-6185</v>
      </c>
      <c r="N1640" t="s">
        <v>196</v>
      </c>
      <c r="O1640">
        <f t="shared" si="75"/>
        <v>9.9969999999999981</v>
      </c>
      <c r="P1640">
        <f t="shared" si="76"/>
        <v>0.33773437500000281</v>
      </c>
      <c r="Q1640">
        <f t="shared" si="77"/>
        <v>0.33773437500000281</v>
      </c>
      <c r="S1640">
        <v>50.201562500000001</v>
      </c>
      <c r="T1640">
        <v>0.24800312500000921</v>
      </c>
      <c r="U1640">
        <v>90.410937500000003</v>
      </c>
      <c r="V1640">
        <v>0.51652187500000224</v>
      </c>
      <c r="W1640">
        <v>80.143746948242182</v>
      </c>
      <c r="X1640">
        <f>(W1640-80)/80*100</f>
        <v>0.17968368530272727</v>
      </c>
      <c r="Y1640">
        <f>TREND(H1640:H1644,G1640:G1644,G1640)</f>
        <v>10.18335848194296</v>
      </c>
      <c r="Z1640">
        <f>ABS((Y1640-H1640)/80*100)</f>
        <v>0.10478627257130002</v>
      </c>
      <c r="AA1640">
        <f>MAX(Z1640:Z1644)</f>
        <v>0.11972772810570297</v>
      </c>
      <c r="AB1640">
        <f>IF(ABS(MAX(P1640:P1646)) &gt; ABS(MIN(P1640:P1646)),MAX(P1640:P1646), MIN(P1640:P1646))</f>
        <v>0.52629374999998646</v>
      </c>
      <c r="AC1640">
        <f>IF(ABS(AB1641)&gt;ABS(AB1640),AB1641,AB1640)</f>
        <v>0.52629374999998646</v>
      </c>
      <c r="AD1640">
        <f>MAX(AD1641:AD1642)</f>
        <v>2.3121874999993963E-2</v>
      </c>
      <c r="AE1640">
        <f>MAX(AE1641:AE1661)</f>
        <v>0.19612187500000378</v>
      </c>
      <c r="AF1640">
        <f>MAX(AD1640,AA1640)</f>
        <v>0.11972772810570297</v>
      </c>
      <c r="AG1640">
        <f>H1642-O1642</f>
        <v>0.19840250000000736</v>
      </c>
      <c r="AH1640">
        <f>H1640-AG1640</f>
        <v>10.068784999999993</v>
      </c>
      <c r="AI1640">
        <f>100*(AH1640-O1640)/80</f>
        <v>8.9731249999993601E-2</v>
      </c>
      <c r="AJ1640">
        <v>50.003159999999994</v>
      </c>
      <c r="AK1640">
        <v>0</v>
      </c>
      <c r="AL1640">
        <v>90.212535000000003</v>
      </c>
      <c r="AM1640">
        <v>0.26851875000000192</v>
      </c>
      <c r="AN1640">
        <f>IF(ABS(MAX(AI1640:AI1646)) &gt; ABS(MIN(AI1640:AI1646)),MAX(AI1640:AI1646), MIN(AI1640:AI1646))</f>
        <v>0.27829062499996837</v>
      </c>
      <c r="AO1640">
        <f>IF(ABS(AN1641)&gt;ABS(AN1640),AN1641,AN1640)</f>
        <v>0.27829062499996837</v>
      </c>
    </row>
    <row r="1641" spans="1:41" x14ac:dyDescent="0.35">
      <c r="A1641" t="s">
        <v>281</v>
      </c>
      <c r="B1641" t="s">
        <v>231</v>
      </c>
      <c r="C1641" t="s">
        <v>332</v>
      </c>
      <c r="D1641">
        <v>25</v>
      </c>
      <c r="E1641">
        <v>25</v>
      </c>
      <c r="F1641">
        <v>-0.5</v>
      </c>
      <c r="G1641">
        <v>-0.50013799999999997</v>
      </c>
      <c r="H1641">
        <v>30.162500000000001</v>
      </c>
      <c r="J1641">
        <v>-6185</v>
      </c>
      <c r="N1641" t="s">
        <v>196</v>
      </c>
      <c r="O1641">
        <f t="shared" si="75"/>
        <v>29.994480000000003</v>
      </c>
      <c r="P1641">
        <f t="shared" si="76"/>
        <v>0.21002499999999813</v>
      </c>
      <c r="Q1641">
        <f t="shared" si="77"/>
        <v>0.21002499999999813</v>
      </c>
      <c r="Y1641">
        <f>TREND(H1640:H1644,G1640:G1644,G1641)</f>
        <v>30.234736488870062</v>
      </c>
      <c r="Z1641">
        <f>ABS((Y1641-H1641)/80*100)</f>
        <v>9.0295611087576333E-2</v>
      </c>
      <c r="AB1641">
        <f>IF(ABS(T1640) &gt; ABS(V1640),T1640,V1640)</f>
        <v>0.51652187500000224</v>
      </c>
      <c r="AD1641">
        <f>ABS(P1642-P1645)</f>
        <v>2.3121874999993963E-2</v>
      </c>
      <c r="AE1641">
        <f>ABS(P1668-P1640)</f>
        <v>1.3428124999996793E-2</v>
      </c>
      <c r="AH1641">
        <f>H1641-AG1640</f>
        <v>29.964097499999994</v>
      </c>
      <c r="AI1641">
        <f>100*(AH1641-O1641)/80</f>
        <v>-3.7978125000011076E-2</v>
      </c>
      <c r="AN1641">
        <f>IF(ABS(AK1640) &gt; ABS(AM1640),AK1640,AM1640)</f>
        <v>0.26851875000000192</v>
      </c>
    </row>
    <row r="1642" spans="1:41" x14ac:dyDescent="0.35">
      <c r="A1642" t="s">
        <v>281</v>
      </c>
      <c r="B1642" t="s">
        <v>231</v>
      </c>
      <c r="C1642" t="s">
        <v>368</v>
      </c>
      <c r="D1642">
        <v>25</v>
      </c>
      <c r="E1642">
        <v>25</v>
      </c>
      <c r="F1642">
        <v>0</v>
      </c>
      <c r="G1642">
        <v>7.8999999999999996E-5</v>
      </c>
      <c r="H1642">
        <v>50.201562500000001</v>
      </c>
      <c r="J1642">
        <v>-6181</v>
      </c>
      <c r="N1642" t="s">
        <v>196</v>
      </c>
      <c r="O1642">
        <f t="shared" si="75"/>
        <v>50.003159999999994</v>
      </c>
      <c r="P1642">
        <f t="shared" si="76"/>
        <v>0.24800312500000921</v>
      </c>
      <c r="Q1642">
        <f t="shared" si="77"/>
        <v>0.24800312500000921</v>
      </c>
      <c r="Y1642">
        <f>TREND(H1640:H1644,G1640:G1644,G1642)</f>
        <v>50.297344682484564</v>
      </c>
      <c r="Z1642">
        <f>ABS((Y1642-H1642)/80*100)</f>
        <v>0.11972772810570297</v>
      </c>
      <c r="AD1642">
        <f>ABS(P1640-P1646)</f>
        <v>1.3721874999994554E-2</v>
      </c>
      <c r="AE1642">
        <f>ABS(P1669-P1641)</f>
        <v>4.9584375000000236E-2</v>
      </c>
      <c r="AH1642">
        <f>H1642-AG1640</f>
        <v>50.003159999999994</v>
      </c>
      <c r="AI1642">
        <f>100*(AH1642-O1642)/80</f>
        <v>0</v>
      </c>
    </row>
    <row r="1643" spans="1:41" x14ac:dyDescent="0.35">
      <c r="A1643" t="s">
        <v>281</v>
      </c>
      <c r="B1643" t="s">
        <v>231</v>
      </c>
      <c r="C1643" t="s">
        <v>405</v>
      </c>
      <c r="D1643">
        <v>25</v>
      </c>
      <c r="E1643">
        <v>25</v>
      </c>
      <c r="F1643">
        <v>0.5</v>
      </c>
      <c r="G1643">
        <v>0.50002100000000005</v>
      </c>
      <c r="H1643">
        <v>70.421875</v>
      </c>
      <c r="J1643">
        <v>0</v>
      </c>
      <c r="N1643" t="s">
        <v>196</v>
      </c>
      <c r="O1643">
        <f t="shared" si="75"/>
        <v>70.000840000000011</v>
      </c>
      <c r="P1643">
        <f t="shared" si="76"/>
        <v>0.52629374999998646</v>
      </c>
      <c r="Q1643">
        <f t="shared" si="77"/>
        <v>0.52629374999998646</v>
      </c>
      <c r="Y1643">
        <f>TREND(H1640:H1644,G1640:G1644,G1643)</f>
        <v>70.348923228459654</v>
      </c>
      <c r="Z1643">
        <f>ABS((Y1643-H1643)/80*100)</f>
        <v>9.1189714425432555E-2</v>
      </c>
      <c r="AE1643">
        <f>ABS(P1670-P1642)</f>
        <v>0.15051874999999271</v>
      </c>
      <c r="AH1643">
        <f>H1643-AG1640</f>
        <v>70.223472499999986</v>
      </c>
      <c r="AI1643">
        <f>100*(AH1643-O1643)/80</f>
        <v>0.27829062499996837</v>
      </c>
    </row>
    <row r="1644" spans="1:41" x14ac:dyDescent="0.35">
      <c r="A1644" t="s">
        <v>281</v>
      </c>
      <c r="B1644" t="s">
        <v>231</v>
      </c>
      <c r="C1644" t="s">
        <v>442</v>
      </c>
      <c r="D1644">
        <v>25</v>
      </c>
      <c r="E1644">
        <v>25</v>
      </c>
      <c r="F1644">
        <v>1</v>
      </c>
      <c r="G1644">
        <v>0.99994300000000003</v>
      </c>
      <c r="H1644">
        <v>90.410937500000003</v>
      </c>
      <c r="J1644">
        <v>-6182</v>
      </c>
      <c r="N1644" t="s">
        <v>196</v>
      </c>
      <c r="O1644">
        <f t="shared" si="75"/>
        <v>89.997720000000001</v>
      </c>
      <c r="P1644">
        <f t="shared" si="76"/>
        <v>0.51652187500000224</v>
      </c>
      <c r="Q1644">
        <f t="shared" si="77"/>
        <v>0.51652187500000224</v>
      </c>
      <c r="Y1644">
        <f>TREND(H1640:H1644,G1640:G1644,G1644)</f>
        <v>90.399699618242778</v>
      </c>
      <c r="Z1644">
        <f>ABS((Y1644-H1644)/80*100)</f>
        <v>1.4047352196531193E-2</v>
      </c>
      <c r="AE1644">
        <f>ABS(P1671-P1643)</f>
        <v>4.5559375000010505E-2</v>
      </c>
      <c r="AH1644">
        <f>H1644-AG1640</f>
        <v>90.212535000000003</v>
      </c>
      <c r="AI1644">
        <f>100*(AH1644-O1644)/80</f>
        <v>0.26851875000000192</v>
      </c>
    </row>
    <row r="1645" spans="1:41" x14ac:dyDescent="0.35">
      <c r="A1645" t="s">
        <v>281</v>
      </c>
      <c r="B1645" t="s">
        <v>231</v>
      </c>
      <c r="C1645" t="s">
        <v>479</v>
      </c>
      <c r="D1645">
        <v>25</v>
      </c>
      <c r="E1645">
        <v>25</v>
      </c>
      <c r="F1645">
        <v>0</v>
      </c>
      <c r="G1645">
        <v>-1.1E-4</v>
      </c>
      <c r="H1645">
        <v>50.212499999999999</v>
      </c>
      <c r="J1645">
        <v>-6185</v>
      </c>
      <c r="N1645" t="s">
        <v>196</v>
      </c>
      <c r="O1645">
        <f t="shared" si="75"/>
        <v>49.995599999999996</v>
      </c>
      <c r="P1645">
        <f t="shared" si="76"/>
        <v>0.27112500000000317</v>
      </c>
      <c r="Q1645">
        <f t="shared" si="77"/>
        <v>0.27112500000000317</v>
      </c>
      <c r="Y1645">
        <f>TREND(H1640:H1644,G1640:G1644,G1645)</f>
        <v>50.289764306470566</v>
      </c>
      <c r="Z1645">
        <f>ABS((Y1645-H1645)/80*100)</f>
        <v>9.6580383088209487E-2</v>
      </c>
      <c r="AE1645">
        <f>ABS(P1672-P1644)</f>
        <v>6.8687500000006452E-2</v>
      </c>
      <c r="AH1645">
        <f>H1645-AG1640</f>
        <v>50.014097499999991</v>
      </c>
      <c r="AI1645">
        <f>100*(AH1645-O1645)/80</f>
        <v>2.3121874999993963E-2</v>
      </c>
    </row>
    <row r="1646" spans="1:41" x14ac:dyDescent="0.35">
      <c r="A1646" t="s">
        <v>281</v>
      </c>
      <c r="B1646" t="s">
        <v>231</v>
      </c>
      <c r="C1646" t="s">
        <v>516</v>
      </c>
      <c r="D1646">
        <v>25</v>
      </c>
      <c r="E1646">
        <v>25</v>
      </c>
      <c r="F1646">
        <v>-1</v>
      </c>
      <c r="G1646">
        <v>-1.000076</v>
      </c>
      <c r="H1646">
        <v>10.278124999999999</v>
      </c>
      <c r="J1646">
        <v>-6189</v>
      </c>
      <c r="N1646" t="s">
        <v>196</v>
      </c>
      <c r="O1646">
        <f t="shared" si="75"/>
        <v>9.9969600000000014</v>
      </c>
      <c r="P1646">
        <f t="shared" si="76"/>
        <v>0.35145624999999736</v>
      </c>
      <c r="Q1646">
        <f t="shared" si="77"/>
        <v>0.35145624999999736</v>
      </c>
      <c r="Y1646">
        <f>TREND(H1640:H1644,G1640:G1644,G1646)</f>
        <v>10.183318374133364</v>
      </c>
      <c r="Z1646">
        <f>ABS((Y1646-H1646)/80*100)</f>
        <v>0.11850828233329393</v>
      </c>
      <c r="AE1646">
        <f>ABS(P1673-P1645)</f>
        <v>0.12849999999999362</v>
      </c>
      <c r="AH1646">
        <f>H1646-AG1640</f>
        <v>10.079722499999992</v>
      </c>
      <c r="AI1646">
        <f>100*(AH1646-O1646)/80</f>
        <v>0.10345312499998816</v>
      </c>
    </row>
    <row r="1647" spans="1:41" x14ac:dyDescent="0.35">
      <c r="A1647" t="s">
        <v>281</v>
      </c>
      <c r="B1647" t="s">
        <v>231</v>
      </c>
      <c r="C1647" t="s">
        <v>553</v>
      </c>
      <c r="D1647">
        <v>-20</v>
      </c>
      <c r="E1647">
        <v>-20.100000000000001</v>
      </c>
      <c r="F1647">
        <v>-1</v>
      </c>
      <c r="G1647">
        <v>-0.99994799999999995</v>
      </c>
      <c r="H1647">
        <v>10.7015625</v>
      </c>
      <c r="J1647">
        <v>-24378</v>
      </c>
      <c r="N1647" t="s">
        <v>196</v>
      </c>
      <c r="O1647">
        <f t="shared" si="75"/>
        <v>10.002080000000003</v>
      </c>
      <c r="P1647">
        <f t="shared" si="76"/>
        <v>0.87435312499999573</v>
      </c>
      <c r="Q1647">
        <f t="shared" si="77"/>
        <v>0.87435312499999573</v>
      </c>
      <c r="S1647">
        <v>50.737499999999997</v>
      </c>
      <c r="T1647">
        <v>0.9364749999999944</v>
      </c>
      <c r="U1647">
        <v>90.55</v>
      </c>
      <c r="V1647">
        <v>0.69295000000000329</v>
      </c>
      <c r="W1647">
        <v>79.848440551757818</v>
      </c>
      <c r="X1647">
        <f>(W1647-80)/80*100</f>
        <v>-0.18944931030272727</v>
      </c>
      <c r="Y1647">
        <f>TREND(H1647:H1651,G1647:G1651,G1647)</f>
        <v>10.675855280534989</v>
      </c>
      <c r="Z1647">
        <f>ABS((Y1647-H1647)/80*100)</f>
        <v>3.2134024331262889E-2</v>
      </c>
      <c r="AA1647">
        <f>MAX(Z1647:Z1651)</f>
        <v>0.14970287010403371</v>
      </c>
      <c r="AB1647">
        <f>IF(ABS(MAX(P1647:P1653)) &gt; ABS(MIN(P1647:P1653)),MAX(P1647:P1653), MIN(P1647:P1653))</f>
        <v>0.9364749999999944</v>
      </c>
      <c r="AC1647">
        <f>IF(ABS(AB1648)&gt;ABS(AB1647),AB1648,AB1647)</f>
        <v>0.9364749999999944</v>
      </c>
      <c r="AE1647">
        <f>ABS(P1674-P1646)</f>
        <v>2.9006250000003231E-2</v>
      </c>
      <c r="AH1647">
        <f>H1647-AG1640</f>
        <v>10.503159999999992</v>
      </c>
      <c r="AI1647">
        <f>100*(AH1647-O1647)/80</f>
        <v>0.62634999999998664</v>
      </c>
      <c r="AJ1647">
        <v>50.53909749999999</v>
      </c>
      <c r="AK1647">
        <v>0.68847187499998519</v>
      </c>
      <c r="AL1647">
        <v>90.351597499999997</v>
      </c>
      <c r="AM1647">
        <v>0.44494687500000296</v>
      </c>
      <c r="AN1647">
        <f>IF(ABS(MAX(AI1647:AI1653)) &gt; ABS(MIN(AI1647:AI1653)),MAX(AI1647:AI1653), MIN(AI1647:AI1653))</f>
        <v>0.68847187499998519</v>
      </c>
      <c r="AO1647">
        <f>IF(ABS(AN1648)&gt;ABS(AN1647),AN1648,AN1647)</f>
        <v>0.68847187499998519</v>
      </c>
    </row>
    <row r="1648" spans="1:41" x14ac:dyDescent="0.35">
      <c r="A1648" t="s">
        <v>281</v>
      </c>
      <c r="B1648" t="s">
        <v>231</v>
      </c>
      <c r="C1648" t="s">
        <v>590</v>
      </c>
      <c r="D1648">
        <v>-20</v>
      </c>
      <c r="E1648">
        <v>-20.100000000000001</v>
      </c>
      <c r="F1648">
        <v>-0.5</v>
      </c>
      <c r="G1648">
        <v>-0.50004599999999999</v>
      </c>
      <c r="H1648">
        <v>30.535937499999999</v>
      </c>
      <c r="J1648">
        <v>-24404</v>
      </c>
      <c r="N1648" t="s">
        <v>196</v>
      </c>
      <c r="O1648">
        <f t="shared" si="75"/>
        <v>29.998159999999999</v>
      </c>
      <c r="P1648">
        <f t="shared" si="76"/>
        <v>0.67222187500000086</v>
      </c>
      <c r="Q1648">
        <f t="shared" si="77"/>
        <v>0.67222187500000086</v>
      </c>
      <c r="Y1648">
        <f>TREND(H1647:H1651,G1647:G1651,G1648)</f>
        <v>30.655699796083226</v>
      </c>
      <c r="Z1648">
        <f>ABS((Y1648-H1648)/80*100)</f>
        <v>0.14970287010403371</v>
      </c>
      <c r="AB1648">
        <f>IF(ABS(T1647) &gt; ABS(V1647),T1647,V1647)</f>
        <v>0.9364749999999944</v>
      </c>
      <c r="AE1648">
        <f>ABS(P1696-P1640)</f>
        <v>0.15989999999999949</v>
      </c>
      <c r="AH1648">
        <f>H1648-AG1640</f>
        <v>30.337534999999992</v>
      </c>
      <c r="AI1648">
        <f>100*(AH1648-O1648)/80</f>
        <v>0.42421874999999165</v>
      </c>
      <c r="AN1648">
        <f>IF(ABS(AK1647) &gt; ABS(AM1647),AK1647,AM1647)</f>
        <v>0.68847187499998519</v>
      </c>
    </row>
    <row r="1649" spans="1:41" x14ac:dyDescent="0.35">
      <c r="A1649" t="s">
        <v>281</v>
      </c>
      <c r="B1649" t="s">
        <v>231</v>
      </c>
      <c r="C1649" t="s">
        <v>626</v>
      </c>
      <c r="D1649">
        <v>-20</v>
      </c>
      <c r="E1649">
        <v>-19.899999999999999</v>
      </c>
      <c r="F1649">
        <v>0</v>
      </c>
      <c r="G1649">
        <v>-2.92E-4</v>
      </c>
      <c r="H1649">
        <v>50.737499999999997</v>
      </c>
      <c r="J1649">
        <v>-24419</v>
      </c>
      <c r="N1649" t="s">
        <v>196</v>
      </c>
      <c r="O1649">
        <f t="shared" si="75"/>
        <v>49.988320000000002</v>
      </c>
      <c r="P1649">
        <f t="shared" si="76"/>
        <v>0.9364749999999944</v>
      </c>
      <c r="Q1649">
        <f t="shared" si="77"/>
        <v>0.9364749999999944</v>
      </c>
      <c r="Y1649">
        <f>TREND(H1647:H1651,G1647:G1651,G1649)</f>
        <v>50.629629118276959</v>
      </c>
      <c r="Z1649">
        <f>ABS((Y1649-H1649)/80*100)</f>
        <v>0.13483860215379728</v>
      </c>
      <c r="AE1649">
        <f>ABS(P1697-P1641)</f>
        <v>0.14653750000000354</v>
      </c>
      <c r="AH1649">
        <f>H1649-AG1640</f>
        <v>50.53909749999999</v>
      </c>
      <c r="AI1649">
        <f>100*(AH1649-O1649)/80</f>
        <v>0.68847187499998519</v>
      </c>
    </row>
    <row r="1650" spans="1:41" x14ac:dyDescent="0.35">
      <c r="A1650" t="s">
        <v>281</v>
      </c>
      <c r="B1650" t="s">
        <v>231</v>
      </c>
      <c r="C1650" t="s">
        <v>662</v>
      </c>
      <c r="D1650">
        <v>-20</v>
      </c>
      <c r="E1650">
        <v>-20</v>
      </c>
      <c r="F1650">
        <v>0.5</v>
      </c>
      <c r="G1650">
        <v>0.49964599999999998</v>
      </c>
      <c r="H1650">
        <v>70.651562499999997</v>
      </c>
      <c r="J1650">
        <v>-24426</v>
      </c>
      <c r="N1650" t="s">
        <v>196</v>
      </c>
      <c r="O1650">
        <f t="shared" si="75"/>
        <v>69.985839999999996</v>
      </c>
      <c r="P1650">
        <f t="shared" si="76"/>
        <v>0.83215312500000138</v>
      </c>
      <c r="Q1650">
        <f t="shared" si="77"/>
        <v>0.83215312500000138</v>
      </c>
      <c r="Y1650">
        <f>TREND(H1647:H1651,G1647:G1651,G1650)</f>
        <v>70.61091246464116</v>
      </c>
      <c r="Z1650">
        <f>ABS((Y1650-H1650)/80*100)</f>
        <v>5.0812544198546312E-2</v>
      </c>
      <c r="AE1650">
        <f>ABS(P1698-P1642)</f>
        <v>4.6062499999992568E-2</v>
      </c>
      <c r="AH1650">
        <f>H1650-AG1640</f>
        <v>70.453159999999997</v>
      </c>
      <c r="AI1650">
        <f>100*(AH1650-O1650)/80</f>
        <v>0.58415000000000106</v>
      </c>
    </row>
    <row r="1651" spans="1:41" x14ac:dyDescent="0.35">
      <c r="A1651" t="s">
        <v>281</v>
      </c>
      <c r="B1651" t="s">
        <v>231</v>
      </c>
      <c r="C1651" t="s">
        <v>699</v>
      </c>
      <c r="D1651">
        <v>-20</v>
      </c>
      <c r="E1651">
        <v>-20</v>
      </c>
      <c r="F1651">
        <v>1</v>
      </c>
      <c r="G1651">
        <v>0.99989099999999997</v>
      </c>
      <c r="H1651">
        <v>90.55</v>
      </c>
      <c r="J1651">
        <v>-24439</v>
      </c>
      <c r="N1651" t="s">
        <v>196</v>
      </c>
      <c r="O1651">
        <f t="shared" si="75"/>
        <v>89.995639999999995</v>
      </c>
      <c r="P1651">
        <f t="shared" si="76"/>
        <v>0.69295000000000329</v>
      </c>
      <c r="Q1651">
        <f t="shared" si="77"/>
        <v>0.69295000000000329</v>
      </c>
      <c r="Y1651">
        <f>TREND(H1647:H1651,G1647:G1651,G1651)</f>
        <v>90.604465840463661</v>
      </c>
      <c r="Z1651">
        <f>ABS((Y1651-H1651)/80*100)</f>
        <v>6.8082300579579424E-2</v>
      </c>
      <c r="AE1651">
        <f>ABS(P1699-P1643)</f>
        <v>8.6934374999998454E-2</v>
      </c>
      <c r="AH1651">
        <f>H1651-AG1640</f>
        <v>90.351597499999997</v>
      </c>
      <c r="AI1651">
        <f>100*(AH1651-O1651)/80</f>
        <v>0.44494687500000296</v>
      </c>
    </row>
    <row r="1652" spans="1:41" x14ac:dyDescent="0.35">
      <c r="A1652" t="s">
        <v>281</v>
      </c>
      <c r="B1652" t="s">
        <v>231</v>
      </c>
      <c r="C1652" t="s">
        <v>735</v>
      </c>
      <c r="D1652">
        <v>-20</v>
      </c>
      <c r="E1652">
        <v>-20</v>
      </c>
      <c r="F1652">
        <v>0</v>
      </c>
      <c r="G1652">
        <v>-1.8900000000000001E-4</v>
      </c>
      <c r="H1652">
        <v>50.665624999999999</v>
      </c>
      <c r="J1652">
        <v>-24430</v>
      </c>
      <c r="N1652" t="s">
        <v>196</v>
      </c>
      <c r="O1652">
        <f t="shared" si="75"/>
        <v>49.992440000000002</v>
      </c>
      <c r="P1652">
        <f t="shared" si="76"/>
        <v>0.84148124999999574</v>
      </c>
      <c r="Q1652">
        <f t="shared" si="77"/>
        <v>0.84148124999999574</v>
      </c>
      <c r="Y1652">
        <f>TREND(H1647:H1651,G1647:G1651,G1652)</f>
        <v>50.633745773111514</v>
      </c>
      <c r="Z1652">
        <f>ABS((Y1652-H1652)/80*100)</f>
        <v>3.9849033610606099E-2</v>
      </c>
      <c r="AE1652">
        <f>ABS(P1700-P1644)</f>
        <v>5.7828124999996788E-2</v>
      </c>
      <c r="AH1652">
        <f>H1652-AG1640</f>
        <v>50.467222499999991</v>
      </c>
      <c r="AI1652">
        <f>100*(AH1652-O1652)/80</f>
        <v>0.59347812499998653</v>
      </c>
    </row>
    <row r="1653" spans="1:41" x14ac:dyDescent="0.35">
      <c r="A1653" t="s">
        <v>281</v>
      </c>
      <c r="B1653" t="s">
        <v>231</v>
      </c>
      <c r="C1653" t="s">
        <v>771</v>
      </c>
      <c r="D1653">
        <v>-20</v>
      </c>
      <c r="E1653">
        <v>-20.100000000000001</v>
      </c>
      <c r="F1653">
        <v>-1</v>
      </c>
      <c r="G1653">
        <v>-1.0000599999999999</v>
      </c>
      <c r="H1653">
        <v>10.739062499999999</v>
      </c>
      <c r="J1653">
        <v>-24441</v>
      </c>
      <c r="N1653" t="s">
        <v>196</v>
      </c>
      <c r="O1653">
        <f t="shared" si="75"/>
        <v>9.997600000000002</v>
      </c>
      <c r="P1653">
        <f t="shared" si="76"/>
        <v>0.92682812499999656</v>
      </c>
      <c r="Q1653">
        <f t="shared" si="77"/>
        <v>0.92682812499999656</v>
      </c>
      <c r="Y1653">
        <f>TREND(H1647:H1651,G1647:G1651,G1653)</f>
        <v>10.671378917996449</v>
      </c>
      <c r="Z1653">
        <f>ABS((Y1653-H1653)/80*100)</f>
        <v>8.4604477504437448E-2</v>
      </c>
      <c r="AE1653">
        <f>ABS(P1701-P1645)</f>
        <v>3.3659374999990277E-2</v>
      </c>
      <c r="AH1653">
        <f>H1653-AG1640</f>
        <v>10.540659999999992</v>
      </c>
      <c r="AI1653">
        <f>100*(AH1653-O1653)/80</f>
        <v>0.67882499999998736</v>
      </c>
    </row>
    <row r="1654" spans="1:41" x14ac:dyDescent="0.35">
      <c r="A1654" t="s">
        <v>281</v>
      </c>
      <c r="B1654" t="s">
        <v>231</v>
      </c>
      <c r="C1654" t="s">
        <v>808</v>
      </c>
      <c r="D1654">
        <v>0</v>
      </c>
      <c r="E1654">
        <v>-0.1</v>
      </c>
      <c r="F1654">
        <v>-1</v>
      </c>
      <c r="G1654">
        <v>-0.99986799999999998</v>
      </c>
      <c r="H1654">
        <v>10.307812500000001</v>
      </c>
      <c r="J1654">
        <v>-16674</v>
      </c>
      <c r="N1654" t="s">
        <v>196</v>
      </c>
      <c r="O1654">
        <f t="shared" si="75"/>
        <v>10.005280000000001</v>
      </c>
      <c r="P1654">
        <f t="shared" si="76"/>
        <v>0.37816562499999984</v>
      </c>
      <c r="Q1654">
        <f t="shared" si="77"/>
        <v>0.37816562499999984</v>
      </c>
      <c r="S1654">
        <v>50.339062499999997</v>
      </c>
      <c r="T1654">
        <v>0.40992812499999864</v>
      </c>
      <c r="U1654">
        <v>90.542187499999997</v>
      </c>
      <c r="V1654">
        <v>0.67338437500000126</v>
      </c>
      <c r="W1654">
        <v>80.234378051757815</v>
      </c>
      <c r="X1654">
        <f>(W1654-80)/80*100</f>
        <v>0.29297256469726918</v>
      </c>
      <c r="Y1654">
        <f>TREND(H1654:H1658,G1654:G1658,G1654)</f>
        <v>10.303400459589739</v>
      </c>
      <c r="Z1654">
        <f>ABS((Y1654-H1654)/80*100)</f>
        <v>5.515050512827635E-3</v>
      </c>
      <c r="AA1654">
        <f>MAX(Z1654:Z1658)</f>
        <v>0.1550536916202816</v>
      </c>
      <c r="AB1654">
        <f>IF(ABS(MAX(P1654:P1660)) &gt; ABS(MIN(P1654:P1660)),MAX(P1654:P1660), MIN(P1654:P1660))</f>
        <v>0.79420937500000122</v>
      </c>
      <c r="AC1654">
        <f>IF(ABS(AB1655)&gt;ABS(AB1654),AB1655,AB1654)</f>
        <v>0.79420937500000122</v>
      </c>
      <c r="AE1654">
        <f>ABS(P1702-P1646)</f>
        <v>9.5515625000002213E-2</v>
      </c>
      <c r="AH1654">
        <f>H1654-AG1640</f>
        <v>10.109409999999993</v>
      </c>
      <c r="AI1654">
        <f>100*(AH1654-O1654)/80</f>
        <v>0.13016249999999063</v>
      </c>
      <c r="AJ1654">
        <v>50.14065999999999</v>
      </c>
      <c r="AK1654">
        <v>0.16192499999998944</v>
      </c>
      <c r="AL1654">
        <v>90.343784999999997</v>
      </c>
      <c r="AM1654">
        <v>0.42538125000000093</v>
      </c>
      <c r="AN1654">
        <f>IF(ABS(MAX(AI1654:AI1660)) &gt; ABS(MIN(AI1654:AI1660)),MAX(AI1654:AI1660), MIN(AI1654:AI1660))</f>
        <v>0.54620625000000089</v>
      </c>
      <c r="AO1654">
        <f>IF(ABS(AN1655)&gt;ABS(AN1654),AN1655,AN1654)</f>
        <v>0.54620625000000089</v>
      </c>
    </row>
    <row r="1655" spans="1:41" x14ac:dyDescent="0.35">
      <c r="A1655" t="s">
        <v>281</v>
      </c>
      <c r="B1655" t="s">
        <v>231</v>
      </c>
      <c r="C1655" t="s">
        <v>844</v>
      </c>
      <c r="D1655">
        <v>0</v>
      </c>
      <c r="E1655">
        <v>0.1</v>
      </c>
      <c r="F1655">
        <v>-0.5</v>
      </c>
      <c r="G1655">
        <v>-0.50031000000000003</v>
      </c>
      <c r="H1655">
        <v>30.384374999999999</v>
      </c>
      <c r="J1655">
        <v>-16659</v>
      </c>
      <c r="N1655" t="s">
        <v>196</v>
      </c>
      <c r="O1655">
        <f t="shared" si="75"/>
        <v>29.9876</v>
      </c>
      <c r="P1655">
        <f t="shared" si="76"/>
        <v>0.49596874999999763</v>
      </c>
      <c r="Q1655">
        <f t="shared" si="77"/>
        <v>0.49596874999999763</v>
      </c>
      <c r="Y1655">
        <f>TREND(H1654:H1658,G1654:G1658,G1655)</f>
        <v>30.356738637143845</v>
      </c>
      <c r="Z1655">
        <f>ABS((Y1655-H1655)/80*100)</f>
        <v>3.4545453570191675E-2</v>
      </c>
      <c r="AB1655">
        <f>IF(ABS(T1654) &gt; ABS(V1654),T1654,V1654)</f>
        <v>0.67338437500000126</v>
      </c>
      <c r="AE1655">
        <f>ABS(P1696-P1668)</f>
        <v>0.14647187500000269</v>
      </c>
      <c r="AH1655">
        <f>H1655-AG1640</f>
        <v>30.185972499999991</v>
      </c>
      <c r="AI1655">
        <f>100*(AH1655-O1655)/80</f>
        <v>0.24796562499998842</v>
      </c>
      <c r="AN1655">
        <f>IF(ABS(AK1654) &gt; ABS(AM1654),AK1654,AM1654)</f>
        <v>0.42538125000000093</v>
      </c>
    </row>
    <row r="1656" spans="1:41" x14ac:dyDescent="0.35">
      <c r="A1656" t="s">
        <v>281</v>
      </c>
      <c r="B1656" t="s">
        <v>231</v>
      </c>
      <c r="C1656" t="s">
        <v>880</v>
      </c>
      <c r="D1656">
        <v>0</v>
      </c>
      <c r="E1656">
        <v>0</v>
      </c>
      <c r="F1656">
        <v>0</v>
      </c>
      <c r="G1656">
        <v>2.7799999999999998E-4</v>
      </c>
      <c r="H1656">
        <v>50.339062499999997</v>
      </c>
      <c r="J1656">
        <v>-16620</v>
      </c>
      <c r="N1656" t="s">
        <v>196</v>
      </c>
      <c r="O1656">
        <f t="shared" si="75"/>
        <v>50.011119999999998</v>
      </c>
      <c r="P1656">
        <f t="shared" si="76"/>
        <v>0.40992812499999864</v>
      </c>
      <c r="Q1656">
        <f t="shared" si="77"/>
        <v>0.40992812499999864</v>
      </c>
      <c r="Y1656">
        <f>TREND(H1654:H1658,G1654:G1658,G1656)</f>
        <v>50.45142324158509</v>
      </c>
      <c r="Z1656">
        <f>ABS((Y1656-H1656)/80*100)</f>
        <v>0.14045092698136585</v>
      </c>
      <c r="AE1656">
        <f>ABS(P1697-P1669)</f>
        <v>0.19612187500000378</v>
      </c>
      <c r="AH1656">
        <f>H1656-AG1640</f>
        <v>50.14065999999999</v>
      </c>
      <c r="AI1656">
        <f>100*(AH1656-O1656)/80</f>
        <v>0.16192499999998944</v>
      </c>
    </row>
    <row r="1657" spans="1:41" x14ac:dyDescent="0.35">
      <c r="A1657" t="s">
        <v>281</v>
      </c>
      <c r="B1657" t="s">
        <v>231</v>
      </c>
      <c r="C1657" t="s">
        <v>917</v>
      </c>
      <c r="D1657">
        <v>0</v>
      </c>
      <c r="E1657">
        <v>0</v>
      </c>
      <c r="F1657">
        <v>0.5</v>
      </c>
      <c r="G1657">
        <v>0.49985800000000002</v>
      </c>
      <c r="H1657">
        <v>70.629687500000003</v>
      </c>
      <c r="J1657">
        <v>-16611</v>
      </c>
      <c r="N1657" t="s">
        <v>196</v>
      </c>
      <c r="O1657">
        <f t="shared" si="75"/>
        <v>69.994320000000002</v>
      </c>
      <c r="P1657">
        <f t="shared" si="76"/>
        <v>0.79420937500000122</v>
      </c>
      <c r="Q1657">
        <f t="shared" si="77"/>
        <v>0.79420937500000122</v>
      </c>
      <c r="Y1657">
        <f>TREND(H1654:H1658,G1654:G1658,G1657)</f>
        <v>70.505644546703778</v>
      </c>
      <c r="Z1657">
        <f>ABS((Y1657-H1657)/80*100)</f>
        <v>0.1550536916202816</v>
      </c>
      <c r="AE1657">
        <f>ABS(P1698-P1670)</f>
        <v>0.10445625000000014</v>
      </c>
      <c r="AH1657">
        <f>H1657-AG1640</f>
        <v>70.431285000000003</v>
      </c>
      <c r="AI1657">
        <f>100*(AH1657-O1657)/80</f>
        <v>0.54620625000000089</v>
      </c>
    </row>
    <row r="1658" spans="1:41" x14ac:dyDescent="0.35">
      <c r="A1658" t="s">
        <v>281</v>
      </c>
      <c r="B1658" t="s">
        <v>231</v>
      </c>
      <c r="C1658" t="s">
        <v>954</v>
      </c>
      <c r="D1658">
        <v>0</v>
      </c>
      <c r="E1658">
        <v>0.1</v>
      </c>
      <c r="F1658">
        <v>1</v>
      </c>
      <c r="G1658">
        <v>1.0000869999999999</v>
      </c>
      <c r="H1658">
        <v>90.542187499999997</v>
      </c>
      <c r="J1658">
        <v>-16584</v>
      </c>
      <c r="N1658" t="s">
        <v>196</v>
      </c>
      <c r="O1658">
        <f t="shared" si="75"/>
        <v>90.003479999999996</v>
      </c>
      <c r="P1658">
        <f t="shared" si="76"/>
        <v>0.67338437500000126</v>
      </c>
      <c r="Q1658">
        <f t="shared" si="77"/>
        <v>0.67338437500000126</v>
      </c>
      <c r="Y1658">
        <f>TREND(H1654:H1658,G1654:G1658,G1658)</f>
        <v>90.585918114977559</v>
      </c>
      <c r="Z1658">
        <f>ABS((Y1658-H1658)/80*100)</f>
        <v>5.4663268721952818E-2</v>
      </c>
      <c r="AE1658">
        <f>ABS(P1699-P1671)</f>
        <v>0.13249375000000896</v>
      </c>
      <c r="AH1658">
        <f>H1658-AG1640</f>
        <v>90.343784999999997</v>
      </c>
      <c r="AI1658">
        <f>100*(AH1658-O1658)/80</f>
        <v>0.42538125000000093</v>
      </c>
    </row>
    <row r="1659" spans="1:41" x14ac:dyDescent="0.35">
      <c r="A1659" t="s">
        <v>281</v>
      </c>
      <c r="B1659" t="s">
        <v>231</v>
      </c>
      <c r="C1659" t="s">
        <v>990</v>
      </c>
      <c r="D1659">
        <v>0</v>
      </c>
      <c r="E1659">
        <v>0</v>
      </c>
      <c r="F1659">
        <v>0</v>
      </c>
      <c r="G1659">
        <v>3.0200000000000002E-4</v>
      </c>
      <c r="H1659">
        <v>50.404687500000001</v>
      </c>
      <c r="J1659">
        <v>-16564</v>
      </c>
      <c r="N1659" t="s">
        <v>196</v>
      </c>
      <c r="O1659">
        <f t="shared" si="75"/>
        <v>50.012079999999997</v>
      </c>
      <c r="P1659">
        <f t="shared" si="76"/>
        <v>0.49075937500000499</v>
      </c>
      <c r="Q1659">
        <f t="shared" si="77"/>
        <v>0.49075937500000499</v>
      </c>
      <c r="Y1659">
        <f>TREND(H1654:H1658,G1654:G1658,G1659)</f>
        <v>50.452386653473717</v>
      </c>
      <c r="Z1659">
        <f>ABS((Y1659-H1659)/80*100)</f>
        <v>5.9623941842144035E-2</v>
      </c>
      <c r="AE1659">
        <f>ABS(P1700-P1672)</f>
        <v>0.12651562500000324</v>
      </c>
      <c r="AH1659">
        <f>H1659-AG1640</f>
        <v>50.206284999999994</v>
      </c>
      <c r="AI1659">
        <f>100*(AH1659-O1659)/80</f>
        <v>0.24275624999999579</v>
      </c>
    </row>
    <row r="1660" spans="1:41" x14ac:dyDescent="0.35">
      <c r="A1660" t="s">
        <v>281</v>
      </c>
      <c r="B1660" t="s">
        <v>231</v>
      </c>
      <c r="C1660" t="s">
        <v>1026</v>
      </c>
      <c r="D1660">
        <v>0</v>
      </c>
      <c r="E1660">
        <v>-0.1</v>
      </c>
      <c r="F1660">
        <v>-1</v>
      </c>
      <c r="G1660">
        <v>-1.0001249999999999</v>
      </c>
      <c r="H1660">
        <v>10.4625</v>
      </c>
      <c r="J1660">
        <v>-16543</v>
      </c>
      <c r="N1660" t="s">
        <v>196</v>
      </c>
      <c r="O1660">
        <f t="shared" si="75"/>
        <v>9.9950000000000028</v>
      </c>
      <c r="P1660">
        <f t="shared" si="76"/>
        <v>0.58437499999999698</v>
      </c>
      <c r="Q1660">
        <f t="shared" si="77"/>
        <v>0.58437499999999698</v>
      </c>
      <c r="Y1660">
        <f>TREND(H1654:H1658,G1654:G1658,G1660)</f>
        <v>10.29308392394897</v>
      </c>
      <c r="Z1660">
        <f>ABS((Y1660-H1660)/80*100)</f>
        <v>0.21177009506378797</v>
      </c>
      <c r="AE1660">
        <f>ABS(P1701-P1673)</f>
        <v>9.4840625000003342E-2</v>
      </c>
      <c r="AH1660">
        <f>H1660-AG1640</f>
        <v>10.264097499999993</v>
      </c>
      <c r="AI1660">
        <f>100*(AH1660-O1660)/80</f>
        <v>0.33637187499998777</v>
      </c>
    </row>
    <row r="1661" spans="1:41" x14ac:dyDescent="0.35">
      <c r="A1661" t="s">
        <v>281</v>
      </c>
      <c r="B1661" t="s">
        <v>231</v>
      </c>
      <c r="C1661" t="s">
        <v>1062</v>
      </c>
      <c r="D1661">
        <v>10</v>
      </c>
      <c r="E1661">
        <v>10</v>
      </c>
      <c r="F1661">
        <v>-1</v>
      </c>
      <c r="G1661">
        <v>-1.0000389999999999</v>
      </c>
      <c r="H1661">
        <v>10.4390625</v>
      </c>
      <c r="J1661">
        <v>-12327</v>
      </c>
      <c r="N1661" t="s">
        <v>196</v>
      </c>
      <c r="O1661">
        <f t="shared" si="75"/>
        <v>9.998440000000004</v>
      </c>
      <c r="P1661">
        <f t="shared" si="76"/>
        <v>0.55077812499999546</v>
      </c>
      <c r="Q1661">
        <f t="shared" si="77"/>
        <v>0.55077812499999546</v>
      </c>
      <c r="S1661">
        <v>50.326562500000001</v>
      </c>
      <c r="T1661">
        <v>0.41115312500000556</v>
      </c>
      <c r="U1661">
        <v>90.396874999999994</v>
      </c>
      <c r="V1661">
        <v>0.50369374999998939</v>
      </c>
      <c r="W1661">
        <v>79.957810974121088</v>
      </c>
      <c r="X1661">
        <f>(W1661-80)/80*100</f>
        <v>-5.2736282348639918E-2</v>
      </c>
      <c r="Y1661">
        <f>TREND(H1661:H1665,G1661:G1665,G1661)</f>
        <v>10.36416637843552</v>
      </c>
      <c r="Z1661">
        <f>ABS((Y1661-H1661)/80*100)</f>
        <v>9.3620151955600139E-2</v>
      </c>
      <c r="AA1661">
        <f>MAX(Z1661:Z1665)</f>
        <v>0.10770373371706832</v>
      </c>
      <c r="AB1661">
        <f>IF(ABS(MAX(P1661:P1667)) &gt; ABS(MIN(P1661:P1667)),MAX(P1661:P1667), MIN(P1661:P1667))</f>
        <v>0.59279687500000122</v>
      </c>
      <c r="AC1661">
        <f>IF(ABS(AB1662)&gt;ABS(AB1661),AB1662,AB1661)</f>
        <v>0.59279687500000122</v>
      </c>
      <c r="AE1661">
        <f>ABS(P1702-P1674)</f>
        <v>0.12452187500000544</v>
      </c>
      <c r="AH1661">
        <f>H1661-AG1640</f>
        <v>10.240659999999993</v>
      </c>
      <c r="AI1661">
        <f>100*(AH1661-O1661)/80</f>
        <v>0.30277499999998625</v>
      </c>
      <c r="AJ1661">
        <v>50.128159999999994</v>
      </c>
      <c r="AK1661">
        <v>0.16314999999999635</v>
      </c>
      <c r="AL1661">
        <v>90.19847249999998</v>
      </c>
      <c r="AM1661">
        <v>0.25569062499997131</v>
      </c>
      <c r="AN1661">
        <f>IF(ABS(MAX(AI1661:AI1667)) &gt; ABS(MIN(AI1661:AI1667)),MAX(AI1661:AI1667), MIN(AI1661:AI1667))</f>
        <v>0.3447937500000009</v>
      </c>
      <c r="AO1661">
        <f>IF(ABS(AN1662)&gt;ABS(AN1661),AN1662,AN1661)</f>
        <v>0.3447937500000009</v>
      </c>
    </row>
    <row r="1662" spans="1:41" x14ac:dyDescent="0.35">
      <c r="A1662" t="s">
        <v>281</v>
      </c>
      <c r="B1662" t="s">
        <v>231</v>
      </c>
      <c r="C1662" t="s">
        <v>1098</v>
      </c>
      <c r="D1662">
        <v>10</v>
      </c>
      <c r="E1662">
        <v>10</v>
      </c>
      <c r="F1662">
        <v>-0.5</v>
      </c>
      <c r="G1662">
        <v>-0.50019000000000002</v>
      </c>
      <c r="H1662">
        <v>30.282812499999999</v>
      </c>
      <c r="J1662">
        <v>-12319</v>
      </c>
      <c r="N1662" t="s">
        <v>196</v>
      </c>
      <c r="O1662">
        <f t="shared" si="75"/>
        <v>29.9924</v>
      </c>
      <c r="P1662">
        <f t="shared" si="76"/>
        <v>0.36301562499999829</v>
      </c>
      <c r="Q1662">
        <f t="shared" si="77"/>
        <v>0.36301562499999829</v>
      </c>
      <c r="Y1662">
        <f>TREND(H1661:H1665,G1661:G1665,G1662)</f>
        <v>30.368975486973653</v>
      </c>
      <c r="Z1662">
        <f>ABS((Y1662-H1662)/80*100)</f>
        <v>0.10770373371706832</v>
      </c>
      <c r="AB1662">
        <f>IF(ABS(T1661) &gt; ABS(V1661),T1661,V1661)</f>
        <v>0.50369374999998939</v>
      </c>
      <c r="AH1662">
        <f>H1662-AG1640</f>
        <v>30.084409999999991</v>
      </c>
      <c r="AI1662">
        <f>100*(AH1662-O1662)/80</f>
        <v>0.11501249999998908</v>
      </c>
      <c r="AN1662">
        <f>IF(ABS(AK1661) &gt; ABS(AM1661),AK1661,AM1661)</f>
        <v>0.25569062499997131</v>
      </c>
    </row>
    <row r="1663" spans="1:41" x14ac:dyDescent="0.35">
      <c r="A1663" t="s">
        <v>281</v>
      </c>
      <c r="B1663" t="s">
        <v>1111</v>
      </c>
      <c r="C1663" t="s">
        <v>1136</v>
      </c>
      <c r="D1663">
        <v>10</v>
      </c>
      <c r="E1663">
        <v>10</v>
      </c>
      <c r="F1663">
        <v>0</v>
      </c>
      <c r="G1663">
        <v>-5.8999999999999998E-5</v>
      </c>
      <c r="H1663">
        <v>50.326562500000001</v>
      </c>
      <c r="J1663">
        <v>-12301</v>
      </c>
      <c r="N1663" t="s">
        <v>196</v>
      </c>
      <c r="O1663">
        <f t="shared" si="75"/>
        <v>49.997639999999997</v>
      </c>
      <c r="P1663">
        <f t="shared" si="76"/>
        <v>0.41115312500000556</v>
      </c>
      <c r="Q1663">
        <f t="shared" si="77"/>
        <v>0.41115312500000556</v>
      </c>
      <c r="Y1663">
        <f>TREND(H1661:H1665,G1661:G1665,G1663)</f>
        <v>50.385070716257474</v>
      </c>
      <c r="Z1663">
        <f>ABS((Y1663-H1663)/80*100)</f>
        <v>7.3135270321840196E-2</v>
      </c>
      <c r="AH1663">
        <f>H1663-AG1640</f>
        <v>50.128159999999994</v>
      </c>
      <c r="AI1663">
        <f>100*(AH1663-O1663)/80</f>
        <v>0.16314999999999635</v>
      </c>
    </row>
    <row r="1664" spans="1:41" x14ac:dyDescent="0.35">
      <c r="A1664" t="s">
        <v>281</v>
      </c>
      <c r="B1664" t="s">
        <v>1111</v>
      </c>
      <c r="C1664" t="s">
        <v>1173</v>
      </c>
      <c r="D1664">
        <v>10</v>
      </c>
      <c r="E1664">
        <v>10</v>
      </c>
      <c r="F1664">
        <v>0.5</v>
      </c>
      <c r="G1664">
        <v>0.49997999999999998</v>
      </c>
      <c r="H1664">
        <v>70.473437500000003</v>
      </c>
      <c r="J1664">
        <v>-12301</v>
      </c>
      <c r="N1664" t="s">
        <v>196</v>
      </c>
      <c r="O1664">
        <f t="shared" si="75"/>
        <v>69.999200000000002</v>
      </c>
      <c r="P1664">
        <f t="shared" si="76"/>
        <v>0.59279687500000122</v>
      </c>
      <c r="Q1664">
        <f t="shared" si="77"/>
        <v>0.59279687500000122</v>
      </c>
      <c r="Y1664">
        <f>TREND(H1661:H1665,G1661:G1665,G1664)</f>
        <v>70.397483948702273</v>
      </c>
      <c r="Z1664">
        <f>ABS((Y1664-H1664)/80*100)</f>
        <v>9.4941939122161756E-2</v>
      </c>
      <c r="AH1664">
        <f>H1664-AG1640</f>
        <v>70.275035000000003</v>
      </c>
      <c r="AI1664">
        <f>100*(AH1664-O1664)/80</f>
        <v>0.3447937500000009</v>
      </c>
    </row>
    <row r="1665" spans="1:41" x14ac:dyDescent="0.35">
      <c r="A1665" t="s">
        <v>281</v>
      </c>
      <c r="B1665" t="s">
        <v>1111</v>
      </c>
      <c r="C1665" t="s">
        <v>1210</v>
      </c>
      <c r="D1665">
        <v>10</v>
      </c>
      <c r="E1665">
        <v>10</v>
      </c>
      <c r="F1665">
        <v>1</v>
      </c>
      <c r="G1665">
        <v>0.99984799999999996</v>
      </c>
      <c r="H1665">
        <v>90.396874999999994</v>
      </c>
      <c r="J1665">
        <v>-12293</v>
      </c>
      <c r="N1665" t="s">
        <v>196</v>
      </c>
      <c r="O1665">
        <f t="shared" si="75"/>
        <v>89.993920000000003</v>
      </c>
      <c r="P1665">
        <f t="shared" si="76"/>
        <v>0.50369374999998939</v>
      </c>
      <c r="Q1665">
        <f t="shared" si="77"/>
        <v>0.50369374999998939</v>
      </c>
      <c r="Y1665">
        <f>TREND(H1661:H1665,G1661:G1665,G1665)</f>
        <v>90.403053469631089</v>
      </c>
      <c r="Z1665">
        <f>ABS((Y1665-H1665)/80*100)</f>
        <v>7.7230870388689254E-3</v>
      </c>
      <c r="AH1665">
        <f>H1665-AG1640</f>
        <v>90.19847249999998</v>
      </c>
      <c r="AI1665">
        <f>100*(AH1665-O1665)/80</f>
        <v>0.25569062499997131</v>
      </c>
    </row>
    <row r="1666" spans="1:41" x14ac:dyDescent="0.35">
      <c r="A1666" t="s">
        <v>281</v>
      </c>
      <c r="B1666" t="s">
        <v>1111</v>
      </c>
      <c r="C1666" t="s">
        <v>1246</v>
      </c>
      <c r="D1666">
        <v>10</v>
      </c>
      <c r="E1666">
        <v>10</v>
      </c>
      <c r="F1666">
        <v>0</v>
      </c>
      <c r="G1666">
        <v>2.61E-4</v>
      </c>
      <c r="H1666">
        <v>50.318750000000001</v>
      </c>
      <c r="J1666">
        <v>-12291</v>
      </c>
      <c r="N1666" t="s">
        <v>196</v>
      </c>
      <c r="O1666">
        <f t="shared" si="75"/>
        <v>50.010440000000003</v>
      </c>
      <c r="P1666">
        <f t="shared" si="76"/>
        <v>0.38538749999999844</v>
      </c>
      <c r="Q1666">
        <f t="shared" si="77"/>
        <v>0.38538749999999844</v>
      </c>
      <c r="Y1666">
        <f>TREND(H1661:H1665,G1661:G1665,G1666)</f>
        <v>50.397877661784491</v>
      </c>
      <c r="Z1666">
        <f>ABS((Y1666-H1666)/80*100)</f>
        <v>9.8909577230612541E-2</v>
      </c>
      <c r="AH1666">
        <f>H1666-AG1640</f>
        <v>50.120347499999994</v>
      </c>
      <c r="AI1666">
        <f>100*(AH1666-O1666)/80</f>
        <v>0.13738437499998923</v>
      </c>
    </row>
    <row r="1667" spans="1:41" x14ac:dyDescent="0.35">
      <c r="A1667" t="s">
        <v>281</v>
      </c>
      <c r="B1667" t="s">
        <v>1111</v>
      </c>
      <c r="C1667" t="s">
        <v>1282</v>
      </c>
      <c r="D1667">
        <v>10</v>
      </c>
      <c r="E1667">
        <v>10</v>
      </c>
      <c r="F1667">
        <v>-1</v>
      </c>
      <c r="G1667">
        <v>-0.99988900000000003</v>
      </c>
      <c r="H1667">
        <v>10.2203125</v>
      </c>
      <c r="J1667">
        <v>-12282</v>
      </c>
      <c r="N1667" t="s">
        <v>196</v>
      </c>
      <c r="O1667">
        <f t="shared" si="75"/>
        <v>10.004439999999999</v>
      </c>
      <c r="P1667">
        <f t="shared" si="76"/>
        <v>0.26984062500000183</v>
      </c>
      <c r="Q1667">
        <f t="shared" si="77"/>
        <v>0.26984062500000183</v>
      </c>
      <c r="Y1667">
        <f>TREND(H1661:H1665,G1661:G1665,G1667)</f>
        <v>10.370169634151303</v>
      </c>
      <c r="Z1667">
        <f>ABS((Y1667-H1667)/80*100)</f>
        <v>0.18732141768912802</v>
      </c>
      <c r="AH1667">
        <f>H1667-AG1640</f>
        <v>10.021909999999993</v>
      </c>
      <c r="AI1667">
        <f>100*(AH1667-O1667)/80</f>
        <v>2.1837499999992627E-2</v>
      </c>
    </row>
    <row r="1668" spans="1:41" x14ac:dyDescent="0.35">
      <c r="A1668" t="s">
        <v>281</v>
      </c>
      <c r="B1668" t="s">
        <v>1111</v>
      </c>
      <c r="C1668" t="s">
        <v>1319</v>
      </c>
      <c r="D1668">
        <v>25</v>
      </c>
      <c r="E1668">
        <v>25</v>
      </c>
      <c r="F1668">
        <v>-1</v>
      </c>
      <c r="G1668">
        <v>-1.0001580000000001</v>
      </c>
      <c r="H1668">
        <v>10.253125000000001</v>
      </c>
      <c r="J1668">
        <v>-6327</v>
      </c>
      <c r="N1668" t="s">
        <v>196</v>
      </c>
      <c r="O1668">
        <f t="shared" si="75"/>
        <v>9.9936799999999959</v>
      </c>
      <c r="P1668">
        <f t="shared" si="76"/>
        <v>0.32430625000000601</v>
      </c>
      <c r="Q1668">
        <f t="shared" si="77"/>
        <v>0.32430625000000601</v>
      </c>
      <c r="S1668">
        <v>50.310937500000001</v>
      </c>
      <c r="T1668">
        <v>0.39852187500000191</v>
      </c>
      <c r="U1668">
        <v>90.454687500000006</v>
      </c>
      <c r="V1668">
        <v>0.58520937500000869</v>
      </c>
      <c r="W1668">
        <v>80.201564025878909</v>
      </c>
      <c r="X1668">
        <f>(W1668-80)/80*100</f>
        <v>0.25195503234863637</v>
      </c>
      <c r="Y1668">
        <f>TREND(H1668:H1672,G1668:G1672,G1668)</f>
        <v>10.202544983427707</v>
      </c>
      <c r="Z1668">
        <f>ABS((Y1668-H1668)/80*100)</f>
        <v>6.3225020715367286E-2</v>
      </c>
      <c r="AA1668">
        <f>MAX(Z1668:Z1672)</f>
        <v>8.4897171233211388E-2</v>
      </c>
      <c r="AB1668">
        <f>IF(ABS(MAX(P1668:P1674)) &gt; ABS(MIN(P1668:P1674)),MAX(P1668:P1674), MIN(P1668:P1674))</f>
        <v>0.58520937500000869</v>
      </c>
      <c r="AC1668">
        <f>IF(ABS(AB1669)&gt;ABS(AB1668),AB1669,AB1668)</f>
        <v>0.58520937500000869</v>
      </c>
      <c r="AH1668">
        <f>H1668-AG1640</f>
        <v>10.054722499999993</v>
      </c>
      <c r="AI1668">
        <f>100*(AH1668-O1668)/80</f>
        <v>7.6303124999996808E-2</v>
      </c>
      <c r="AJ1668">
        <v>50.112534999999994</v>
      </c>
      <c r="AK1668">
        <v>0.15051874999999271</v>
      </c>
      <c r="AL1668">
        <v>90.256284999999991</v>
      </c>
      <c r="AM1668">
        <v>0.3372062499999906</v>
      </c>
      <c r="AN1668">
        <f>IF(ABS(MAX(AI1668:AI1674)) &gt; ABS(MIN(AI1668:AI1674)),MAX(AI1668:AI1674), MIN(AI1668:AI1674))</f>
        <v>0.3372062499999906</v>
      </c>
      <c r="AO1668">
        <f>IF(ABS(AN1669)&gt;ABS(AN1668),AN1669,AN1668)</f>
        <v>0.3372062499999906</v>
      </c>
    </row>
    <row r="1669" spans="1:41" x14ac:dyDescent="0.35">
      <c r="A1669" t="s">
        <v>281</v>
      </c>
      <c r="B1669" t="s">
        <v>1111</v>
      </c>
      <c r="C1669" t="s">
        <v>1355</v>
      </c>
      <c r="D1669">
        <v>25</v>
      </c>
      <c r="E1669">
        <v>25</v>
      </c>
      <c r="F1669">
        <v>-0.5</v>
      </c>
      <c r="G1669">
        <v>-0.50007500000000005</v>
      </c>
      <c r="H1669">
        <v>30.204687499999999</v>
      </c>
      <c r="J1669">
        <v>-6316</v>
      </c>
      <c r="N1669" t="s">
        <v>196</v>
      </c>
      <c r="O1669">
        <f t="shared" si="75"/>
        <v>29.997</v>
      </c>
      <c r="P1669">
        <f t="shared" si="76"/>
        <v>0.25960937499999837</v>
      </c>
      <c r="Q1669">
        <f t="shared" si="77"/>
        <v>0.25960937499999837</v>
      </c>
      <c r="Y1669">
        <f>TREND(H1668:H1672,G1668:G1672,G1669)</f>
        <v>30.272605236986568</v>
      </c>
      <c r="Z1669">
        <f>ABS((Y1669-H1669)/80*100)</f>
        <v>8.4897171233211388E-2</v>
      </c>
      <c r="AB1669">
        <f>IF(ABS(T1668) &gt; ABS(V1668),T1668,V1668)</f>
        <v>0.58520937500000869</v>
      </c>
      <c r="AH1669">
        <f>H1669-AG1640</f>
        <v>30.006284999999991</v>
      </c>
      <c r="AI1669">
        <f>100*(AH1669-O1669)/80</f>
        <v>1.160624999998916E-2</v>
      </c>
      <c r="AN1669">
        <f>IF(ABS(AK1668) &gt; ABS(AM1668),AK1668,AM1668)</f>
        <v>0.3372062499999906</v>
      </c>
    </row>
    <row r="1670" spans="1:41" x14ac:dyDescent="0.35">
      <c r="A1670" t="s">
        <v>281</v>
      </c>
      <c r="B1670" t="s">
        <v>1111</v>
      </c>
      <c r="C1670" t="s">
        <v>1392</v>
      </c>
      <c r="D1670">
        <v>25</v>
      </c>
      <c r="E1670">
        <v>25</v>
      </c>
      <c r="F1670">
        <v>0</v>
      </c>
      <c r="G1670">
        <v>-1.9699999999999999E-4</v>
      </c>
      <c r="H1670">
        <v>50.310937500000001</v>
      </c>
      <c r="J1670">
        <v>-6305</v>
      </c>
      <c r="N1670" t="s">
        <v>196</v>
      </c>
      <c r="O1670">
        <f t="shared" si="75"/>
        <v>49.99212</v>
      </c>
      <c r="P1670">
        <f t="shared" si="76"/>
        <v>0.39852187500000191</v>
      </c>
      <c r="Q1670">
        <f t="shared" si="77"/>
        <v>0.39852187500000191</v>
      </c>
      <c r="Y1670">
        <f>TREND(H1668:H1672,G1668:G1672,G1670)</f>
        <v>50.334438131583056</v>
      </c>
      <c r="Z1670">
        <f>ABS((Y1670-H1670)/80*100)</f>
        <v>2.9375789478818248E-2</v>
      </c>
      <c r="AH1670">
        <f>H1670-AG1640</f>
        <v>50.112534999999994</v>
      </c>
      <c r="AI1670">
        <f>100*(AH1670-O1670)/80</f>
        <v>0.15051874999999271</v>
      </c>
    </row>
    <row r="1671" spans="1:41" x14ac:dyDescent="0.35">
      <c r="A1671" t="s">
        <v>281</v>
      </c>
      <c r="B1671" t="s">
        <v>1111</v>
      </c>
      <c r="C1671" t="s">
        <v>1429</v>
      </c>
      <c r="D1671">
        <v>25</v>
      </c>
      <c r="E1671">
        <v>25</v>
      </c>
      <c r="F1671">
        <v>0.5</v>
      </c>
      <c r="G1671">
        <v>0.49985200000000002</v>
      </c>
      <c r="H1671">
        <v>70.451562499999994</v>
      </c>
      <c r="J1671">
        <v>-6298</v>
      </c>
      <c r="N1671" t="s">
        <v>196</v>
      </c>
      <c r="O1671">
        <f t="shared" si="75"/>
        <v>69.994079999999997</v>
      </c>
      <c r="P1671">
        <f t="shared" si="76"/>
        <v>0.57185312499999696</v>
      </c>
      <c r="Q1671">
        <f t="shared" si="77"/>
        <v>0.57185312499999696</v>
      </c>
      <c r="Y1671">
        <f>TREND(H1668:H1672,G1668:G1672,G1671)</f>
        <v>70.40313384755791</v>
      </c>
      <c r="Z1671">
        <f>ABS((Y1671-H1671)/80*100)</f>
        <v>6.0535815552604781E-2</v>
      </c>
      <c r="AH1671">
        <f>H1671-AG1640</f>
        <v>70.25315999999998</v>
      </c>
      <c r="AI1671">
        <f>100*(AH1671-O1671)/80</f>
        <v>0.32384999999997888</v>
      </c>
    </row>
    <row r="1672" spans="1:41" x14ac:dyDescent="0.35">
      <c r="A1672" t="s">
        <v>281</v>
      </c>
      <c r="B1672" t="s">
        <v>1111</v>
      </c>
      <c r="C1672" t="s">
        <v>1465</v>
      </c>
      <c r="D1672">
        <v>25</v>
      </c>
      <c r="E1672">
        <v>25</v>
      </c>
      <c r="F1672">
        <v>1</v>
      </c>
      <c r="G1672">
        <v>0.99966299999999997</v>
      </c>
      <c r="H1672">
        <v>90.454687500000006</v>
      </c>
      <c r="J1672">
        <v>-6286</v>
      </c>
      <c r="N1672" t="s">
        <v>196</v>
      </c>
      <c r="O1672">
        <f t="shared" si="75"/>
        <v>89.986519999999999</v>
      </c>
      <c r="P1672">
        <f t="shared" si="76"/>
        <v>0.58520937500000869</v>
      </c>
      <c r="Q1672">
        <f t="shared" si="77"/>
        <v>0.58520937500000869</v>
      </c>
      <c r="Y1672">
        <f>TREND(H1668:H1672,G1668:G1672,G1672)</f>
        <v>90.462277800444753</v>
      </c>
      <c r="Z1672">
        <f>ABS((Y1672-H1672)/80*100)</f>
        <v>9.4878755559335559E-3</v>
      </c>
      <c r="AH1672">
        <f>H1672-AG1640</f>
        <v>90.256284999999991</v>
      </c>
      <c r="AI1672">
        <f>100*(AH1672-O1672)/80</f>
        <v>0.3372062499999906</v>
      </c>
    </row>
    <row r="1673" spans="1:41" x14ac:dyDescent="0.35">
      <c r="A1673" t="s">
        <v>281</v>
      </c>
      <c r="B1673" t="s">
        <v>1111</v>
      </c>
      <c r="C1673" t="s">
        <v>1502</v>
      </c>
      <c r="D1673">
        <v>25</v>
      </c>
      <c r="E1673">
        <v>25</v>
      </c>
      <c r="F1673">
        <v>0</v>
      </c>
      <c r="G1673">
        <v>-1.8000000000000001E-4</v>
      </c>
      <c r="H1673">
        <v>50.3125</v>
      </c>
      <c r="J1673">
        <v>-6286</v>
      </c>
      <c r="N1673" t="s">
        <v>196</v>
      </c>
      <c r="O1673">
        <f t="shared" ref="O1673:O1736" si="78">(((G1673--1)*(40))+10)</f>
        <v>49.992800000000003</v>
      </c>
      <c r="P1673">
        <f t="shared" ref="P1673:P1736" si="79">100*(H1673-O1673)/80</f>
        <v>0.39962499999999679</v>
      </c>
      <c r="Q1673">
        <f t="shared" ref="Q1673:Q1736" si="80">ABS(P1673)</f>
        <v>0.39962499999999679</v>
      </c>
      <c r="Y1673">
        <f>TREND(H1668:H1672,G1668:G1672,G1673)</f>
        <v>50.335120400375061</v>
      </c>
      <c r="Z1673">
        <f>ABS((Y1673-H1673)/80*100)</f>
        <v>2.8275500468826209E-2</v>
      </c>
      <c r="AH1673">
        <f>H1673-AG1640</f>
        <v>50.114097499999993</v>
      </c>
      <c r="AI1673">
        <f>100*(AH1673-O1673)/80</f>
        <v>0.15162187499998758</v>
      </c>
    </row>
    <row r="1674" spans="1:41" x14ac:dyDescent="0.35">
      <c r="A1674" t="s">
        <v>281</v>
      </c>
      <c r="B1674" t="s">
        <v>1111</v>
      </c>
      <c r="C1674" t="s">
        <v>1539</v>
      </c>
      <c r="D1674">
        <v>25</v>
      </c>
      <c r="E1674">
        <v>25</v>
      </c>
      <c r="F1674">
        <v>-1</v>
      </c>
      <c r="G1674">
        <v>-0.99995299999999998</v>
      </c>
      <c r="H1674">
        <v>10.30625</v>
      </c>
      <c r="J1674">
        <v>-6275</v>
      </c>
      <c r="N1674" t="s">
        <v>196</v>
      </c>
      <c r="O1674">
        <f t="shared" si="78"/>
        <v>10.00188</v>
      </c>
      <c r="P1674">
        <f t="shared" si="79"/>
        <v>0.38046250000000059</v>
      </c>
      <c r="Q1674">
        <f t="shared" si="80"/>
        <v>0.38046250000000059</v>
      </c>
      <c r="Y1674">
        <f>TREND(H1668:H1672,G1668:G1672,G1674)</f>
        <v>10.210772342390079</v>
      </c>
      <c r="Z1674">
        <f>ABS((Y1674-H1674)/80*100)</f>
        <v>0.11934707201240123</v>
      </c>
      <c r="AH1674">
        <f>H1674-AG1640</f>
        <v>10.107847499999993</v>
      </c>
      <c r="AI1674">
        <f>100*(AH1674-O1674)/80</f>
        <v>0.13245937499999139</v>
      </c>
    </row>
    <row r="1675" spans="1:41" x14ac:dyDescent="0.35">
      <c r="A1675" t="s">
        <v>281</v>
      </c>
      <c r="B1675" t="s">
        <v>1111</v>
      </c>
      <c r="C1675" t="s">
        <v>1576</v>
      </c>
      <c r="D1675">
        <v>50</v>
      </c>
      <c r="E1675">
        <v>50</v>
      </c>
      <c r="F1675">
        <v>-1</v>
      </c>
      <c r="G1675">
        <v>-1.0003420000000001</v>
      </c>
      <c r="H1675">
        <v>10.2171875</v>
      </c>
      <c r="J1675">
        <v>3610</v>
      </c>
      <c r="N1675" t="s">
        <v>196</v>
      </c>
      <c r="O1675">
        <f t="shared" si="78"/>
        <v>9.9863199999999974</v>
      </c>
      <c r="P1675">
        <f t="shared" si="79"/>
        <v>0.28858437500000278</v>
      </c>
      <c r="Q1675">
        <f t="shared" si="80"/>
        <v>0.28858437500000278</v>
      </c>
      <c r="S1675">
        <v>50.292187499999997</v>
      </c>
      <c r="T1675">
        <v>0.38883437500000007</v>
      </c>
      <c r="U1675">
        <v>90.3984375</v>
      </c>
      <c r="V1675">
        <v>0.50129687500000131</v>
      </c>
      <c r="W1675">
        <v>80.181250000000006</v>
      </c>
      <c r="X1675">
        <f>(W1675-80)/80*100</f>
        <v>0.22656250000000711</v>
      </c>
      <c r="Y1675">
        <f>TREND(H1675:H1679,G1675:G1679,G1675)</f>
        <v>10.187936130682829</v>
      </c>
      <c r="Z1675">
        <f>ABS((Y1675-H1675)/80*100)</f>
        <v>3.6564211646463729E-2</v>
      </c>
      <c r="AA1675">
        <f>MAX(Z1675:Z1679)</f>
        <v>6.7574534348540105E-2</v>
      </c>
      <c r="AB1675">
        <f>IF(ABS(MAX(P1675:P1681)) &gt; ABS(MIN(P1675:P1681)),MAX(P1675:P1681), MIN(P1675:P1681))</f>
        <v>0.51721562500000928</v>
      </c>
      <c r="AC1675">
        <f>IF(ABS(AB1676)&gt;ABS(AB1675),AB1676,AB1675)</f>
        <v>0.51721562500000928</v>
      </c>
      <c r="AH1675">
        <f>H1675-AG1640</f>
        <v>10.018784999999992</v>
      </c>
      <c r="AI1675">
        <f>100*(AH1675-O1675)/80</f>
        <v>4.0581249999993574E-2</v>
      </c>
      <c r="AJ1675">
        <v>50.09378499999999</v>
      </c>
      <c r="AK1675">
        <v>0.14083124999999086</v>
      </c>
      <c r="AL1675">
        <v>90.200034999999986</v>
      </c>
      <c r="AM1675">
        <v>0.25329374999998322</v>
      </c>
      <c r="AN1675">
        <f>IF(ABS(MAX(AI1675:AI1681)) &gt; ABS(MIN(AI1675:AI1681)),MAX(AI1675:AI1681), MIN(AI1675:AI1681))</f>
        <v>0.26921249999999119</v>
      </c>
      <c r="AO1675">
        <f>IF(ABS(AN1676)&gt;ABS(AN1675),AN1676,AN1675)</f>
        <v>0.26921249999999119</v>
      </c>
    </row>
    <row r="1676" spans="1:41" x14ac:dyDescent="0.35">
      <c r="A1676" t="s">
        <v>281</v>
      </c>
      <c r="B1676" t="s">
        <v>1111</v>
      </c>
      <c r="C1676" t="s">
        <v>1612</v>
      </c>
      <c r="D1676">
        <v>50</v>
      </c>
      <c r="E1676">
        <v>50</v>
      </c>
      <c r="F1676">
        <v>-0.5</v>
      </c>
      <c r="G1676">
        <v>-0.50002899999999995</v>
      </c>
      <c r="H1676">
        <v>30.201562500000001</v>
      </c>
      <c r="J1676">
        <v>3634</v>
      </c>
      <c r="N1676" t="s">
        <v>196</v>
      </c>
      <c r="O1676">
        <f t="shared" si="78"/>
        <v>29.998840000000001</v>
      </c>
      <c r="P1676">
        <f t="shared" si="79"/>
        <v>0.25340312500000017</v>
      </c>
      <c r="Q1676">
        <f t="shared" si="80"/>
        <v>0.25340312500000017</v>
      </c>
      <c r="Y1676">
        <f>TREND(H1675:H1679,G1675:G1679,G1676)</f>
        <v>30.255622127478834</v>
      </c>
      <c r="Z1676">
        <f>ABS((Y1676-H1676)/80*100)</f>
        <v>6.7574534348540105E-2</v>
      </c>
      <c r="AB1676">
        <f>IF(ABS(T1675) &gt; ABS(V1675),T1675,V1675)</f>
        <v>0.50129687500000131</v>
      </c>
      <c r="AH1676">
        <f>H1676-AG1640</f>
        <v>30.003159999999994</v>
      </c>
      <c r="AI1676">
        <f>100*(AH1676-O1676)/80</f>
        <v>5.3999999999909676E-3</v>
      </c>
      <c r="AN1676">
        <f>IF(ABS(AK1675) &gt; ABS(AM1675),AK1675,AM1675)</f>
        <v>0.25329374999998322</v>
      </c>
    </row>
    <row r="1677" spans="1:41" x14ac:dyDescent="0.35">
      <c r="A1677" t="s">
        <v>281</v>
      </c>
      <c r="B1677" t="s">
        <v>1111</v>
      </c>
      <c r="C1677" t="s">
        <v>1649</v>
      </c>
      <c r="D1677">
        <v>50</v>
      </c>
      <c r="E1677">
        <v>50</v>
      </c>
      <c r="F1677">
        <v>0</v>
      </c>
      <c r="G1677">
        <v>-4.7199999999999998E-4</v>
      </c>
      <c r="H1677">
        <v>50.292187499999997</v>
      </c>
      <c r="J1677">
        <v>3658</v>
      </c>
      <c r="N1677" t="s">
        <v>196</v>
      </c>
      <c r="O1677">
        <f t="shared" si="78"/>
        <v>49.981119999999997</v>
      </c>
      <c r="P1677">
        <f t="shared" si="79"/>
        <v>0.38883437500000007</v>
      </c>
      <c r="Q1677">
        <f t="shared" si="80"/>
        <v>0.38883437500000007</v>
      </c>
      <c r="Y1677">
        <f>TREND(H1675:H1679,G1675:G1679,G1677)</f>
        <v>50.292984765470287</v>
      </c>
      <c r="Z1677">
        <f>ABS((Y1677-H1677)/80*100)</f>
        <v>9.9658183786210941E-4</v>
      </c>
      <c r="AH1677">
        <f>H1677-AG1640</f>
        <v>50.09378499999999</v>
      </c>
      <c r="AI1677">
        <f>100*(AH1677-O1677)/80</f>
        <v>0.14083124999999086</v>
      </c>
    </row>
    <row r="1678" spans="1:41" x14ac:dyDescent="0.35">
      <c r="A1678" t="s">
        <v>281</v>
      </c>
      <c r="B1678" t="s">
        <v>1111</v>
      </c>
      <c r="C1678" t="s">
        <v>1686</v>
      </c>
      <c r="D1678">
        <v>50</v>
      </c>
      <c r="E1678">
        <v>50</v>
      </c>
      <c r="F1678">
        <v>0.5</v>
      </c>
      <c r="G1678">
        <v>0.49985099999999999</v>
      </c>
      <c r="H1678">
        <v>70.407812500000006</v>
      </c>
      <c r="J1678">
        <v>3675</v>
      </c>
      <c r="N1678" t="s">
        <v>196</v>
      </c>
      <c r="O1678">
        <f t="shared" si="78"/>
        <v>69.994039999999998</v>
      </c>
      <c r="P1678">
        <f t="shared" si="79"/>
        <v>0.51721562500000928</v>
      </c>
      <c r="Q1678">
        <f t="shared" si="80"/>
        <v>0.51721562500000928</v>
      </c>
      <c r="Y1678">
        <f>TREND(H1675:H1679,G1675:G1679,G1678)</f>
        <v>70.361071864895976</v>
      </c>
      <c r="Z1678">
        <f>ABS((Y1678-H1678)/80*100)</f>
        <v>5.8425793880036991E-2</v>
      </c>
      <c r="AH1678">
        <f>H1678-AG1640</f>
        <v>70.209409999999991</v>
      </c>
      <c r="AI1678">
        <f>100*(AH1678-O1678)/80</f>
        <v>0.26921249999999119</v>
      </c>
    </row>
    <row r="1679" spans="1:41" x14ac:dyDescent="0.35">
      <c r="A1679" t="s">
        <v>281</v>
      </c>
      <c r="B1679" t="s">
        <v>1111</v>
      </c>
      <c r="C1679" t="s">
        <v>1722</v>
      </c>
      <c r="D1679">
        <v>50</v>
      </c>
      <c r="E1679">
        <v>50</v>
      </c>
      <c r="F1679">
        <v>1</v>
      </c>
      <c r="G1679">
        <v>0.99993500000000002</v>
      </c>
      <c r="H1679">
        <v>90.3984375</v>
      </c>
      <c r="J1679">
        <v>3690</v>
      </c>
      <c r="N1679" t="s">
        <v>196</v>
      </c>
      <c r="O1679">
        <f t="shared" si="78"/>
        <v>89.997399999999999</v>
      </c>
      <c r="P1679">
        <f t="shared" si="79"/>
        <v>0.50129687500000131</v>
      </c>
      <c r="Q1679">
        <f t="shared" si="80"/>
        <v>0.50129687500000131</v>
      </c>
      <c r="Y1679">
        <f>TREND(H1675:H1679,G1675:G1679,G1679)</f>
        <v>90.419572611472091</v>
      </c>
      <c r="Z1679">
        <f>ABS((Y1679-H1679)/80*100)</f>
        <v>2.6418889340114049E-2</v>
      </c>
      <c r="AH1679">
        <f>H1679-AG1640</f>
        <v>90.200034999999986</v>
      </c>
      <c r="AI1679">
        <f>100*(AH1679-O1679)/80</f>
        <v>0.25329374999998322</v>
      </c>
    </row>
    <row r="1680" spans="1:41" x14ac:dyDescent="0.35">
      <c r="A1680" t="s">
        <v>281</v>
      </c>
      <c r="B1680" t="s">
        <v>1111</v>
      </c>
      <c r="C1680" t="s">
        <v>1759</v>
      </c>
      <c r="D1680">
        <v>50</v>
      </c>
      <c r="E1680">
        <v>50</v>
      </c>
      <c r="F1680">
        <v>0</v>
      </c>
      <c r="G1680">
        <v>-2.9E-5</v>
      </c>
      <c r="H1680">
        <v>50.2421875</v>
      </c>
      <c r="J1680">
        <v>3705</v>
      </c>
      <c r="N1680" t="s">
        <v>196</v>
      </c>
      <c r="O1680">
        <f t="shared" si="78"/>
        <v>49.998840000000001</v>
      </c>
      <c r="P1680">
        <f t="shared" si="79"/>
        <v>0.3041843749999984</v>
      </c>
      <c r="Q1680">
        <f t="shared" si="80"/>
        <v>0.3041843749999984</v>
      </c>
      <c r="Y1680">
        <f>TREND(H1675:H1679,G1675:G1679,G1680)</f>
        <v>50.310753611965545</v>
      </c>
      <c r="Z1680">
        <f>ABS((Y1680-H1680)/80*100)</f>
        <v>8.5707639956931203E-2</v>
      </c>
      <c r="AH1680">
        <f>H1680-AG1640</f>
        <v>50.043784999999993</v>
      </c>
      <c r="AI1680">
        <f>100*(AH1680-O1680)/80</f>
        <v>5.6181249999989191E-2</v>
      </c>
    </row>
    <row r="1681" spans="1:41" x14ac:dyDescent="0.35">
      <c r="A1681" t="s">
        <v>281</v>
      </c>
      <c r="B1681" t="s">
        <v>1111</v>
      </c>
      <c r="C1681" t="s">
        <v>1796</v>
      </c>
      <c r="D1681">
        <v>50</v>
      </c>
      <c r="E1681">
        <v>50</v>
      </c>
      <c r="F1681">
        <v>-1</v>
      </c>
      <c r="G1681">
        <v>-1.0000199999999999</v>
      </c>
      <c r="H1681">
        <v>10.284375000000001</v>
      </c>
      <c r="J1681">
        <v>3722</v>
      </c>
      <c r="N1681" t="s">
        <v>196</v>
      </c>
      <c r="O1681">
        <f t="shared" si="78"/>
        <v>9.9992000000000036</v>
      </c>
      <c r="P1681">
        <f t="shared" si="79"/>
        <v>0.35646874999999634</v>
      </c>
      <c r="Q1681">
        <f t="shared" si="80"/>
        <v>0.35646874999999634</v>
      </c>
      <c r="Y1681">
        <f>TREND(H1675:H1679,G1675:G1679,G1681)</f>
        <v>10.200851635358845</v>
      </c>
      <c r="Z1681">
        <f>ABS((Y1681-H1681)/80*100)</f>
        <v>0.10440420580144494</v>
      </c>
      <c r="AH1681">
        <f>H1681-AG1640</f>
        <v>10.085972499999993</v>
      </c>
      <c r="AI1681">
        <f>100*(AH1681-O1681)/80</f>
        <v>0.10846562499998713</v>
      </c>
    </row>
    <row r="1682" spans="1:41" x14ac:dyDescent="0.35">
      <c r="A1682" t="s">
        <v>281</v>
      </c>
      <c r="B1682" t="s">
        <v>1111</v>
      </c>
      <c r="C1682" t="s">
        <v>1833</v>
      </c>
      <c r="D1682">
        <v>70</v>
      </c>
      <c r="E1682">
        <v>70</v>
      </c>
      <c r="F1682">
        <v>-1</v>
      </c>
      <c r="G1682">
        <v>-1.000238</v>
      </c>
      <c r="H1682">
        <v>10.2265625</v>
      </c>
      <c r="J1682">
        <v>11719</v>
      </c>
      <c r="N1682" t="s">
        <v>196</v>
      </c>
      <c r="O1682">
        <f t="shared" si="78"/>
        <v>9.9904800000000016</v>
      </c>
      <c r="P1682">
        <f t="shared" si="79"/>
        <v>0.29510312499999802</v>
      </c>
      <c r="Q1682">
        <f t="shared" si="80"/>
        <v>0.29510312499999802</v>
      </c>
      <c r="S1682">
        <v>50.214062499999997</v>
      </c>
      <c r="T1682">
        <v>0.27057812499998946</v>
      </c>
      <c r="U1682">
        <v>90.4453125</v>
      </c>
      <c r="V1682">
        <v>0.55259062500001122</v>
      </c>
      <c r="W1682">
        <v>80.21875</v>
      </c>
      <c r="X1682">
        <f>(W1682-80)/80*100</f>
        <v>0.2734375</v>
      </c>
      <c r="Y1682">
        <f>TREND(H1682:H1686,G1682:G1686,G1682)</f>
        <v>10.163494209081996</v>
      </c>
      <c r="Z1682">
        <f>ABS((Y1682-H1682)/80*100)</f>
        <v>7.8835363647504764E-2</v>
      </c>
      <c r="AA1682">
        <f>MAX(Z1682:Z1686)</f>
        <v>0.10159436604761039</v>
      </c>
      <c r="AB1682">
        <f>IF(ABS(MAX(P1682:P1688)) &gt; ABS(MIN(P1682:P1688)),MAX(P1682:P1688), MIN(P1682:P1688))</f>
        <v>0.55259062500001122</v>
      </c>
      <c r="AC1682">
        <f>IF(ABS(AB1683)&gt;ABS(AB1682),AB1683,AB1682)</f>
        <v>0.55259062500001122</v>
      </c>
      <c r="AH1682">
        <f>H1682-AG1640</f>
        <v>10.028159999999993</v>
      </c>
      <c r="AI1682">
        <f>100*(AH1682-O1682)/80</f>
        <v>4.7099999999988817E-2</v>
      </c>
      <c r="AJ1682">
        <v>50.01565999999999</v>
      </c>
      <c r="AK1682">
        <v>2.257499999998025E-2</v>
      </c>
      <c r="AL1682">
        <v>90.246909999999986</v>
      </c>
      <c r="AM1682">
        <v>0.30458749999999313</v>
      </c>
      <c r="AN1682">
        <f>IF(ABS(MAX(AI1682:AI1688)) &gt; ABS(MIN(AI1682:AI1688)),MAX(AI1682:AI1688), MIN(AI1682:AI1688))</f>
        <v>0.30458749999999313</v>
      </c>
      <c r="AO1682">
        <f>IF(ABS(AN1683)&gt;ABS(AN1682),AN1683,AN1682)</f>
        <v>0.30458749999999313</v>
      </c>
    </row>
    <row r="1683" spans="1:41" x14ac:dyDescent="0.35">
      <c r="A1683" t="s">
        <v>281</v>
      </c>
      <c r="B1683" t="s">
        <v>1111</v>
      </c>
      <c r="C1683" t="s">
        <v>1870</v>
      </c>
      <c r="D1683">
        <v>70</v>
      </c>
      <c r="E1683">
        <v>70</v>
      </c>
      <c r="F1683">
        <v>-0.5</v>
      </c>
      <c r="G1683">
        <v>-0.50021000000000004</v>
      </c>
      <c r="H1683">
        <v>30.182812500000001</v>
      </c>
      <c r="J1683">
        <v>11742</v>
      </c>
      <c r="N1683" t="s">
        <v>196</v>
      </c>
      <c r="O1683">
        <f t="shared" si="78"/>
        <v>29.991599999999998</v>
      </c>
      <c r="P1683">
        <f t="shared" si="79"/>
        <v>0.23901562500000306</v>
      </c>
      <c r="Q1683">
        <f t="shared" si="80"/>
        <v>0.23901562500000306</v>
      </c>
      <c r="Y1683">
        <f>TREND(H1682:H1686,G1682:G1686,G1683)</f>
        <v>30.226968494163241</v>
      </c>
      <c r="Z1683">
        <f>ABS((Y1683-H1683)/80*100)</f>
        <v>5.5194992704050698E-2</v>
      </c>
      <c r="AB1683">
        <f>IF(ABS(T1682) &gt; ABS(V1682),T1682,V1682)</f>
        <v>0.55259062500001122</v>
      </c>
      <c r="AH1683">
        <f>H1683-AG1640</f>
        <v>29.984409999999993</v>
      </c>
      <c r="AI1683">
        <f>100*(AH1683-O1683)/80</f>
        <v>-8.9875000000061434E-3</v>
      </c>
      <c r="AN1683">
        <f>IF(ABS(AK1682) &gt; ABS(AM1682),AK1682,AM1682)</f>
        <v>0.30458749999999313</v>
      </c>
    </row>
    <row r="1684" spans="1:41" x14ac:dyDescent="0.35">
      <c r="A1684" t="s">
        <v>281</v>
      </c>
      <c r="B1684" t="s">
        <v>1111</v>
      </c>
      <c r="C1684" t="s">
        <v>1906</v>
      </c>
      <c r="D1684">
        <v>70</v>
      </c>
      <c r="E1684">
        <v>70</v>
      </c>
      <c r="F1684">
        <v>0</v>
      </c>
      <c r="G1684">
        <v>-6.0000000000000002E-5</v>
      </c>
      <c r="H1684">
        <v>50.214062499999997</v>
      </c>
      <c r="J1684">
        <v>11762</v>
      </c>
      <c r="N1684" t="s">
        <v>196</v>
      </c>
      <c r="O1684">
        <f t="shared" si="78"/>
        <v>49.997600000000006</v>
      </c>
      <c r="P1684">
        <f t="shared" si="79"/>
        <v>0.27057812499998946</v>
      </c>
      <c r="Q1684">
        <f t="shared" si="80"/>
        <v>0.27057812499998946</v>
      </c>
      <c r="Y1684">
        <f>TREND(H1682:H1686,G1682:G1686,G1684)</f>
        <v>50.295337992838085</v>
      </c>
      <c r="Z1684">
        <f>ABS((Y1684-H1684)/80*100)</f>
        <v>0.10159436604761039</v>
      </c>
      <c r="AH1684">
        <f>H1684-AG1640</f>
        <v>50.01565999999999</v>
      </c>
      <c r="AI1684">
        <f>100*(AH1684-O1684)/80</f>
        <v>2.257499999998025E-2</v>
      </c>
    </row>
    <row r="1685" spans="1:41" x14ac:dyDescent="0.35">
      <c r="A1685" t="s">
        <v>281</v>
      </c>
      <c r="B1685" t="s">
        <v>1111</v>
      </c>
      <c r="C1685" t="s">
        <v>1943</v>
      </c>
      <c r="D1685">
        <v>70</v>
      </c>
      <c r="E1685">
        <v>70</v>
      </c>
      <c r="F1685">
        <v>0.5</v>
      </c>
      <c r="G1685">
        <v>0.50000699999999998</v>
      </c>
      <c r="H1685">
        <v>70.403125000000003</v>
      </c>
      <c r="J1685">
        <v>11777</v>
      </c>
      <c r="N1685" t="s">
        <v>196</v>
      </c>
      <c r="O1685">
        <f t="shared" si="78"/>
        <v>70.000280000000004</v>
      </c>
      <c r="P1685">
        <f t="shared" si="79"/>
        <v>0.50355624999999904</v>
      </c>
      <c r="Q1685">
        <f t="shared" si="80"/>
        <v>0.50355624999999904</v>
      </c>
      <c r="Y1685">
        <f>TREND(H1682:H1686,G1682:G1686,G1685)</f>
        <v>70.360377141281219</v>
      </c>
      <c r="Z1685">
        <f>ABS((Y1685-H1685)/80*100)</f>
        <v>5.3434823398479381E-2</v>
      </c>
      <c r="AH1685">
        <f>H1685-AG1640</f>
        <v>70.204722500000003</v>
      </c>
      <c r="AI1685">
        <f>100*(AH1685-O1685)/80</f>
        <v>0.25555312499999872</v>
      </c>
    </row>
    <row r="1686" spans="1:41" x14ac:dyDescent="0.35">
      <c r="A1686" t="s">
        <v>281</v>
      </c>
      <c r="B1686" t="s">
        <v>1111</v>
      </c>
      <c r="C1686" t="s">
        <v>1979</v>
      </c>
      <c r="D1686">
        <v>70</v>
      </c>
      <c r="E1686">
        <v>70</v>
      </c>
      <c r="F1686">
        <v>1</v>
      </c>
      <c r="G1686">
        <v>1.000081</v>
      </c>
      <c r="H1686">
        <v>90.4453125</v>
      </c>
      <c r="J1686">
        <v>11790</v>
      </c>
      <c r="N1686" t="s">
        <v>196</v>
      </c>
      <c r="O1686">
        <f t="shared" si="78"/>
        <v>90.003239999999991</v>
      </c>
      <c r="P1686">
        <f t="shared" si="79"/>
        <v>0.55259062500001122</v>
      </c>
      <c r="Q1686">
        <f t="shared" si="80"/>
        <v>0.55259062500001122</v>
      </c>
      <c r="Y1686">
        <f>TREND(H1682:H1686,G1682:G1686,G1686)</f>
        <v>90.425697162635458</v>
      </c>
      <c r="Z1686">
        <f>ABS((Y1686-H1686)/80*100)</f>
        <v>2.4519171705676968E-2</v>
      </c>
      <c r="AH1686">
        <f>H1686-AG1640</f>
        <v>90.246909999999986</v>
      </c>
      <c r="AI1686">
        <f>100*(AH1686-O1686)/80</f>
        <v>0.30458749999999313</v>
      </c>
    </row>
    <row r="1687" spans="1:41" x14ac:dyDescent="0.35">
      <c r="A1687" t="s">
        <v>281</v>
      </c>
      <c r="B1687" t="s">
        <v>1111</v>
      </c>
      <c r="C1687" t="s">
        <v>2016</v>
      </c>
      <c r="D1687">
        <v>70</v>
      </c>
      <c r="E1687">
        <v>70</v>
      </c>
      <c r="F1687">
        <v>0</v>
      </c>
      <c r="G1687">
        <v>-5.3000000000000001E-5</v>
      </c>
      <c r="H1687">
        <v>50.292187499999997</v>
      </c>
      <c r="J1687">
        <v>11807</v>
      </c>
      <c r="N1687" t="s">
        <v>196</v>
      </c>
      <c r="O1687">
        <f t="shared" si="78"/>
        <v>49.997880000000002</v>
      </c>
      <c r="P1687">
        <f t="shared" si="79"/>
        <v>0.36788437499999382</v>
      </c>
      <c r="Q1687">
        <f t="shared" si="80"/>
        <v>0.36788437499999382</v>
      </c>
      <c r="Y1687">
        <f>TREND(H1682:H1686,G1682:G1686,G1687)</f>
        <v>50.295618865749198</v>
      </c>
      <c r="Z1687">
        <f>ABS((Y1687-H1687)/80*100)</f>
        <v>4.2892071865008319E-3</v>
      </c>
      <c r="AH1687">
        <f>H1687-AG1640</f>
        <v>50.09378499999999</v>
      </c>
      <c r="AI1687">
        <f>100*(AH1687-O1687)/80</f>
        <v>0.11988124999998462</v>
      </c>
    </row>
    <row r="1688" spans="1:41" x14ac:dyDescent="0.35">
      <c r="A1688" t="s">
        <v>281</v>
      </c>
      <c r="B1688" t="s">
        <v>1111</v>
      </c>
      <c r="C1688" t="s">
        <v>2052</v>
      </c>
      <c r="D1688">
        <v>70</v>
      </c>
      <c r="E1688">
        <v>70</v>
      </c>
      <c r="F1688">
        <v>-1</v>
      </c>
      <c r="G1688">
        <v>-1.0000579999999999</v>
      </c>
      <c r="H1688">
        <v>10.253125000000001</v>
      </c>
      <c r="J1688">
        <v>11824</v>
      </c>
      <c r="N1688" t="s">
        <v>196</v>
      </c>
      <c r="O1688">
        <f t="shared" si="78"/>
        <v>9.9976800000000043</v>
      </c>
      <c r="P1688">
        <f t="shared" si="79"/>
        <v>0.31930624999999546</v>
      </c>
      <c r="Q1688">
        <f t="shared" si="80"/>
        <v>0.31930624999999546</v>
      </c>
      <c r="Y1688">
        <f>TREND(H1682:H1686,G1682:G1686,G1688)</f>
        <v>10.170716655367642</v>
      </c>
      <c r="Z1688">
        <f>ABS((Y1688-H1688)/80*100)</f>
        <v>0.10301043079044893</v>
      </c>
      <c r="AH1688">
        <f>H1688-AG1640</f>
        <v>10.054722499999993</v>
      </c>
      <c r="AI1688">
        <f>100*(AH1688-O1688)/80</f>
        <v>7.1303124999986256E-2</v>
      </c>
    </row>
    <row r="1689" spans="1:41" x14ac:dyDescent="0.35">
      <c r="A1689" t="s">
        <v>281</v>
      </c>
      <c r="B1689" t="s">
        <v>1111</v>
      </c>
      <c r="C1689" t="s">
        <v>2088</v>
      </c>
      <c r="D1689">
        <v>85</v>
      </c>
      <c r="E1689">
        <v>85</v>
      </c>
      <c r="F1689">
        <v>-1</v>
      </c>
      <c r="G1689">
        <v>-1.000041</v>
      </c>
      <c r="H1689">
        <v>10.2671875</v>
      </c>
      <c r="J1689">
        <v>17814</v>
      </c>
      <c r="N1689" t="s">
        <v>196</v>
      </c>
      <c r="O1689">
        <f t="shared" si="78"/>
        <v>9.9983600000000017</v>
      </c>
      <c r="P1689">
        <f t="shared" si="79"/>
        <v>0.33603437499999833</v>
      </c>
      <c r="Q1689">
        <f t="shared" si="80"/>
        <v>0.33603437499999833</v>
      </c>
      <c r="S1689">
        <v>50.278125000000003</v>
      </c>
      <c r="T1689">
        <v>0.34955625000000268</v>
      </c>
      <c r="U1689">
        <v>90.45</v>
      </c>
      <c r="V1689">
        <v>0.56535000000000224</v>
      </c>
      <c r="W1689">
        <v>80.182809448242182</v>
      </c>
      <c r="X1689">
        <f>(W1689-80)/80*100</f>
        <v>0.22851181030272724</v>
      </c>
      <c r="Y1689">
        <f>TREND(H1689:H1693,G1689:G1693,G1689)</f>
        <v>10.182514980258169</v>
      </c>
      <c r="Z1689">
        <f>ABS((Y1689-H1689)/80*100)</f>
        <v>0.10584064967728903</v>
      </c>
      <c r="AA1689">
        <f>MAX(Z1689:Z1693)</f>
        <v>0.12940415055228804</v>
      </c>
      <c r="AB1689">
        <f>IF(ABS(MAX(P1689:P1695)) &gt; ABS(MIN(P1689:P1695)),MAX(P1689:P1695), MIN(P1689:P1695))</f>
        <v>0.56535000000000224</v>
      </c>
      <c r="AC1689">
        <f>IF(ABS(AB1690)&gt;ABS(AB1689),AB1690,AB1689)</f>
        <v>0.56535000000000224</v>
      </c>
      <c r="AH1689">
        <f>H1689-AG1640</f>
        <v>10.068784999999993</v>
      </c>
      <c r="AI1689">
        <f>100*(AH1689-O1689)/80</f>
        <v>8.8031249999989125E-2</v>
      </c>
      <c r="AJ1689">
        <v>50.079722499999995</v>
      </c>
      <c r="AK1689">
        <v>0.10155312499999347</v>
      </c>
      <c r="AL1689">
        <v>90.251597500000003</v>
      </c>
      <c r="AM1689">
        <v>0.31734687500000192</v>
      </c>
      <c r="AN1689">
        <f>IF(ABS(MAX(AI1689:AI1695)) &gt; ABS(MIN(AI1689:AI1695)),MAX(AI1689:AI1695), MIN(AI1689:AI1695))</f>
        <v>0.31734687500000192</v>
      </c>
      <c r="AO1689">
        <f>IF(ABS(AN1690)&gt;ABS(AN1689),AN1690,AN1689)</f>
        <v>0.31734687500000192</v>
      </c>
    </row>
    <row r="1690" spans="1:41" x14ac:dyDescent="0.35">
      <c r="A1690" t="s">
        <v>281</v>
      </c>
      <c r="B1690" t="s">
        <v>1111</v>
      </c>
      <c r="C1690" t="s">
        <v>2124</v>
      </c>
      <c r="D1690">
        <v>85</v>
      </c>
      <c r="E1690">
        <v>85</v>
      </c>
      <c r="F1690">
        <v>-0.5</v>
      </c>
      <c r="G1690">
        <v>-0.50007100000000004</v>
      </c>
      <c r="H1690">
        <v>30.140625</v>
      </c>
      <c r="J1690">
        <v>17829</v>
      </c>
      <c r="N1690" t="s">
        <v>196</v>
      </c>
      <c r="O1690">
        <f t="shared" si="78"/>
        <v>29.997159999999997</v>
      </c>
      <c r="P1690">
        <f t="shared" si="79"/>
        <v>0.17933125000000327</v>
      </c>
      <c r="Q1690">
        <f t="shared" si="80"/>
        <v>0.17933125000000327</v>
      </c>
      <c r="Y1690">
        <f>TREND(H1689:H1693,G1689:G1693,G1690)</f>
        <v>30.24414832044183</v>
      </c>
      <c r="Z1690">
        <f>ABS((Y1690-H1690)/80*100)</f>
        <v>0.12940415055228804</v>
      </c>
      <c r="AB1690">
        <f>IF(ABS(T1689) &gt; ABS(V1689),T1689,V1689)</f>
        <v>0.56535000000000224</v>
      </c>
      <c r="AH1690">
        <f>H1690-AG1640</f>
        <v>29.942222499999993</v>
      </c>
      <c r="AI1690">
        <f>100*(AH1690-O1690)/80</f>
        <v>-6.8671875000005933E-2</v>
      </c>
      <c r="AN1690">
        <f>IF(ABS(AK1689) &gt; ABS(AM1689),AK1689,AM1689)</f>
        <v>0.31734687500000192</v>
      </c>
    </row>
    <row r="1691" spans="1:41" x14ac:dyDescent="0.35">
      <c r="A1691" t="s">
        <v>281</v>
      </c>
      <c r="B1691" t="s">
        <v>1111</v>
      </c>
      <c r="C1691" t="s">
        <v>2161</v>
      </c>
      <c r="D1691">
        <v>85</v>
      </c>
      <c r="E1691">
        <v>85</v>
      </c>
      <c r="F1691">
        <v>0</v>
      </c>
      <c r="G1691">
        <v>-3.8000000000000002E-5</v>
      </c>
      <c r="H1691">
        <v>50.278125000000003</v>
      </c>
      <c r="J1691">
        <v>17847</v>
      </c>
      <c r="N1691" t="s">
        <v>196</v>
      </c>
      <c r="O1691">
        <f t="shared" si="78"/>
        <v>49.998480000000001</v>
      </c>
      <c r="P1691">
        <f t="shared" si="79"/>
        <v>0.34955625000000268</v>
      </c>
      <c r="Q1691">
        <f t="shared" si="80"/>
        <v>0.34955625000000268</v>
      </c>
      <c r="Y1691">
        <f>TREND(H1689:H1693,G1689:G1693,G1691)</f>
        <v>50.308309578101415</v>
      </c>
      <c r="Z1691">
        <f>ABS((Y1691-H1691)/80*100)</f>
        <v>3.7730722626765356E-2</v>
      </c>
      <c r="AH1691">
        <f>H1691-AG1640</f>
        <v>50.079722499999995</v>
      </c>
      <c r="AI1691">
        <f>100*(AH1691-O1691)/80</f>
        <v>0.10155312499999347</v>
      </c>
    </row>
    <row r="1692" spans="1:41" x14ac:dyDescent="0.35">
      <c r="A1692" t="s">
        <v>281</v>
      </c>
      <c r="B1692" t="s">
        <v>1111</v>
      </c>
      <c r="C1692" t="s">
        <v>2198</v>
      </c>
      <c r="D1692">
        <v>85</v>
      </c>
      <c r="E1692">
        <v>85</v>
      </c>
      <c r="F1692">
        <v>0.5</v>
      </c>
      <c r="G1692">
        <v>0.49999399999999999</v>
      </c>
      <c r="H1692">
        <v>70.404687499999994</v>
      </c>
      <c r="J1692">
        <v>17866</v>
      </c>
      <c r="N1692" t="s">
        <v>196</v>
      </c>
      <c r="O1692">
        <f t="shared" si="78"/>
        <v>69.999760000000009</v>
      </c>
      <c r="P1692">
        <f t="shared" si="79"/>
        <v>0.50615937499998154</v>
      </c>
      <c r="Q1692">
        <f t="shared" si="80"/>
        <v>0.50615937499998154</v>
      </c>
      <c r="Y1692">
        <f>TREND(H1689:H1693,G1689:G1693,G1692)</f>
        <v>70.372430710086775</v>
      </c>
      <c r="Z1692">
        <f>ABS((Y1692-H1692)/80*100)</f>
        <v>4.0320987391524454E-2</v>
      </c>
      <c r="AH1692">
        <f>H1692-AG1640</f>
        <v>70.20628499999998</v>
      </c>
      <c r="AI1692">
        <f>100*(AH1692-O1692)/80</f>
        <v>0.25815624999996345</v>
      </c>
    </row>
    <row r="1693" spans="1:41" x14ac:dyDescent="0.35">
      <c r="A1693" t="s">
        <v>281</v>
      </c>
      <c r="B1693" t="s">
        <v>1111</v>
      </c>
      <c r="C1693" t="s">
        <v>2235</v>
      </c>
      <c r="D1693">
        <v>85</v>
      </c>
      <c r="E1693">
        <v>85</v>
      </c>
      <c r="F1693">
        <v>1</v>
      </c>
      <c r="G1693">
        <v>0.99994300000000003</v>
      </c>
      <c r="H1693">
        <v>90.45</v>
      </c>
      <c r="J1693">
        <v>17883</v>
      </c>
      <c r="N1693" t="s">
        <v>196</v>
      </c>
      <c r="O1693">
        <f t="shared" si="78"/>
        <v>89.997720000000001</v>
      </c>
      <c r="P1693">
        <f t="shared" si="79"/>
        <v>0.56535000000000224</v>
      </c>
      <c r="Q1693">
        <f t="shared" si="80"/>
        <v>0.56535000000000224</v>
      </c>
      <c r="Y1693">
        <f>TREND(H1689:H1693,G1689:G1693,G1693)</f>
        <v>90.433221411111802</v>
      </c>
      <c r="Z1693">
        <f>ABS((Y1693-H1693)/80*100)</f>
        <v>2.0973236110251037E-2</v>
      </c>
      <c r="AH1693">
        <f>H1693-AG1640</f>
        <v>90.251597500000003</v>
      </c>
      <c r="AI1693">
        <f>100*(AH1693-O1693)/80</f>
        <v>0.31734687500000192</v>
      </c>
    </row>
    <row r="1694" spans="1:41" x14ac:dyDescent="0.35">
      <c r="A1694" t="s">
        <v>281</v>
      </c>
      <c r="B1694" t="s">
        <v>1111</v>
      </c>
      <c r="C1694" t="s">
        <v>2271</v>
      </c>
      <c r="D1694">
        <v>85</v>
      </c>
      <c r="E1694">
        <v>85</v>
      </c>
      <c r="F1694">
        <v>0</v>
      </c>
      <c r="G1694">
        <v>5.7000000000000003E-5</v>
      </c>
      <c r="H1694">
        <v>50.3</v>
      </c>
      <c r="J1694">
        <v>17889</v>
      </c>
      <c r="N1694" t="s">
        <v>196</v>
      </c>
      <c r="O1694">
        <f t="shared" si="78"/>
        <v>50.002279999999999</v>
      </c>
      <c r="P1694">
        <f t="shared" si="79"/>
        <v>0.37214999999999776</v>
      </c>
      <c r="Q1694">
        <f t="shared" si="80"/>
        <v>0.37214999999999776</v>
      </c>
      <c r="Y1694">
        <f>TREND(H1689:H1693,G1689:G1693,G1694)</f>
        <v>50.312121517152391</v>
      </c>
      <c r="Z1694">
        <f>ABS((Y1694-H1694)/80*100)</f>
        <v>1.5151896440492862E-2</v>
      </c>
      <c r="AH1694">
        <f>H1694-AG1640</f>
        <v>50.10159749999999</v>
      </c>
      <c r="AI1694">
        <f>100*(AH1694-O1694)/80</f>
        <v>0.12414687499998855</v>
      </c>
    </row>
    <row r="1695" spans="1:41" x14ac:dyDescent="0.35">
      <c r="A1695" t="s">
        <v>281</v>
      </c>
      <c r="B1695" t="s">
        <v>1111</v>
      </c>
      <c r="C1695" t="s">
        <v>2308</v>
      </c>
      <c r="D1695">
        <v>85</v>
      </c>
      <c r="E1695">
        <v>85</v>
      </c>
      <c r="F1695">
        <v>-1</v>
      </c>
      <c r="G1695">
        <v>-1.0000880000000001</v>
      </c>
      <c r="H1695">
        <v>10.262499999999999</v>
      </c>
      <c r="J1695">
        <v>17902</v>
      </c>
      <c r="N1695" t="s">
        <v>196</v>
      </c>
      <c r="O1695">
        <f t="shared" si="78"/>
        <v>9.9964799999999965</v>
      </c>
      <c r="P1695">
        <f t="shared" si="79"/>
        <v>0.33252500000000351</v>
      </c>
      <c r="Q1695">
        <f t="shared" si="80"/>
        <v>0.33252500000000351</v>
      </c>
      <c r="Y1695">
        <f>TREND(H1689:H1693,G1689:G1693,G1695)</f>
        <v>10.180629073569783</v>
      </c>
      <c r="Z1695">
        <f>ABS((Y1695-H1695)/80*100)</f>
        <v>0.10233865803777054</v>
      </c>
      <c r="AH1695">
        <f>H1695-AG1640</f>
        <v>10.064097499999992</v>
      </c>
      <c r="AI1695">
        <f>100*(AH1695-O1695)/80</f>
        <v>8.4521874999994306E-2</v>
      </c>
    </row>
    <row r="1696" spans="1:41" x14ac:dyDescent="0.35">
      <c r="A1696" t="s">
        <v>281</v>
      </c>
      <c r="B1696" t="s">
        <v>1111</v>
      </c>
      <c r="C1696" t="s">
        <v>2345</v>
      </c>
      <c r="D1696">
        <v>25</v>
      </c>
      <c r="E1696">
        <v>25</v>
      </c>
      <c r="F1696">
        <v>-1</v>
      </c>
      <c r="G1696">
        <v>-1.0000020000000001</v>
      </c>
      <c r="H1696">
        <v>10.1421875</v>
      </c>
      <c r="J1696">
        <v>-5787</v>
      </c>
      <c r="N1696" t="s">
        <v>196</v>
      </c>
      <c r="O1696">
        <f t="shared" si="78"/>
        <v>9.9999199999999977</v>
      </c>
      <c r="P1696">
        <f t="shared" si="79"/>
        <v>0.17783437500000332</v>
      </c>
      <c r="Q1696">
        <f t="shared" si="80"/>
        <v>0.17783437500000332</v>
      </c>
      <c r="S1696">
        <v>50.232812500000001</v>
      </c>
      <c r="T1696">
        <v>0.29406562500000177</v>
      </c>
      <c r="U1696">
        <v>90.346874999999997</v>
      </c>
      <c r="V1696">
        <v>0.45869375000000545</v>
      </c>
      <c r="W1696">
        <v>80.204690551757807</v>
      </c>
      <c r="X1696">
        <f>(W1696-80)/80*100</f>
        <v>0.25586318969725852</v>
      </c>
      <c r="Y1696">
        <f>TREND(H1696:H1700,G1696:G1700,G1696)</f>
        <v>10.079242120608917</v>
      </c>
      <c r="Z1696">
        <f>ABS((Y1696-H1696)/80*100)</f>
        <v>7.8681724238853779E-2</v>
      </c>
      <c r="AA1696">
        <f>MAX(Z1696:Z1700)</f>
        <v>0.12941246260806061</v>
      </c>
      <c r="AB1696">
        <f>IF(ABS(MAX(P1696:P1702)) &gt; ABS(MIN(P1696:P1702)),MAX(P1696:P1702), MIN(P1696:P1702))</f>
        <v>0.45869375000000545</v>
      </c>
      <c r="AC1696">
        <f>IF(ABS(AB1697)&gt;ABS(AB1696),AB1697,AB1696)</f>
        <v>0.45869375000000545</v>
      </c>
      <c r="AH1696">
        <f>H1696-AG1640</f>
        <v>9.943784999999993</v>
      </c>
      <c r="AI1696">
        <f>100*(AH1696-O1696)/80</f>
        <v>-7.0168750000005886E-2</v>
      </c>
      <c r="AJ1696">
        <v>50.034409999999994</v>
      </c>
      <c r="AK1696">
        <v>4.6062499999992568E-2</v>
      </c>
      <c r="AL1696">
        <v>90.148472499999997</v>
      </c>
      <c r="AM1696">
        <v>0.21069062500000513</v>
      </c>
      <c r="AN1696">
        <f>IF(ABS(MAX(AI1696:AI1702)) &gt; ABS(MIN(AI1696:AI1702)),MAX(AI1696:AI1702), MIN(AI1696:AI1702))</f>
        <v>0.21069062500000513</v>
      </c>
      <c r="AO1696">
        <f>IF(ABS(AN1697)&gt;ABS(AN1696),AN1697,AN1696)</f>
        <v>0.21069062500000513</v>
      </c>
    </row>
    <row r="1697" spans="1:41" x14ac:dyDescent="0.35">
      <c r="A1697" t="s">
        <v>281</v>
      </c>
      <c r="B1697" t="s">
        <v>1111</v>
      </c>
      <c r="C1697" t="s">
        <v>2382</v>
      </c>
      <c r="D1697">
        <v>25</v>
      </c>
      <c r="E1697">
        <v>25</v>
      </c>
      <c r="F1697">
        <v>-0.5</v>
      </c>
      <c r="G1697">
        <v>-0.50017599999999995</v>
      </c>
      <c r="H1697">
        <v>30.043749999999999</v>
      </c>
      <c r="J1697">
        <v>-5822</v>
      </c>
      <c r="N1697" t="s">
        <v>196</v>
      </c>
      <c r="O1697">
        <f t="shared" si="78"/>
        <v>29.992960000000004</v>
      </c>
      <c r="P1697">
        <f t="shared" si="79"/>
        <v>6.348749999999459E-2</v>
      </c>
      <c r="Q1697">
        <f t="shared" si="80"/>
        <v>6.348749999999459E-2</v>
      </c>
      <c r="Y1697">
        <f>TREND(H1696:H1700,G1696:G1700,G1697)</f>
        <v>30.147279970086448</v>
      </c>
      <c r="Z1697">
        <f>ABS((Y1697-H1697)/80*100)</f>
        <v>0.12941246260806061</v>
      </c>
      <c r="AB1697">
        <f>IF(ABS(T1696) &gt; ABS(V1696),T1696,V1696)</f>
        <v>0.45869375000000545</v>
      </c>
      <c r="AH1697">
        <f>H1697-AG1640</f>
        <v>29.845347499999992</v>
      </c>
      <c r="AI1697">
        <f>100*(AH1697-O1697)/80</f>
        <v>-0.18451562500001462</v>
      </c>
      <c r="AN1697">
        <f>IF(ABS(AK1696) &gt; ABS(AM1696),AK1696,AM1696)</f>
        <v>0.21069062500000513</v>
      </c>
    </row>
    <row r="1698" spans="1:41" x14ac:dyDescent="0.35">
      <c r="A1698" t="s">
        <v>281</v>
      </c>
      <c r="B1698" t="s">
        <v>1111</v>
      </c>
      <c r="C1698" t="s">
        <v>2418</v>
      </c>
      <c r="D1698">
        <v>25</v>
      </c>
      <c r="E1698">
        <v>25</v>
      </c>
      <c r="F1698">
        <v>0</v>
      </c>
      <c r="G1698">
        <v>-6.0999999999999999E-5</v>
      </c>
      <c r="H1698">
        <v>50.232812500000001</v>
      </c>
      <c r="J1698">
        <v>-5845</v>
      </c>
      <c r="N1698" t="s">
        <v>196</v>
      </c>
      <c r="O1698">
        <f t="shared" si="78"/>
        <v>49.99756</v>
      </c>
      <c r="P1698">
        <f t="shared" si="79"/>
        <v>0.29406562500000177</v>
      </c>
      <c r="Q1698">
        <f t="shared" si="80"/>
        <v>0.29406562500000177</v>
      </c>
      <c r="Y1698">
        <f>TREND(H1696:H1700,G1696:G1700,G1698)</f>
        <v>50.226921183411598</v>
      </c>
      <c r="Z1698">
        <f>ABS((Y1698-H1698)/80*100)</f>
        <v>7.3641457355044793E-3</v>
      </c>
      <c r="AH1698">
        <f>H1698-AG1640</f>
        <v>50.034409999999994</v>
      </c>
      <c r="AI1698">
        <f>100*(AH1698-O1698)/80</f>
        <v>4.6062499999992568E-2</v>
      </c>
    </row>
    <row r="1699" spans="1:41" x14ac:dyDescent="0.35">
      <c r="A1699" t="s">
        <v>281</v>
      </c>
      <c r="B1699" t="s">
        <v>1111</v>
      </c>
      <c r="C1699" t="s">
        <v>2455</v>
      </c>
      <c r="D1699">
        <v>25</v>
      </c>
      <c r="E1699">
        <v>25</v>
      </c>
      <c r="F1699">
        <v>0.5</v>
      </c>
      <c r="G1699">
        <v>0.50007999999999997</v>
      </c>
      <c r="H1699">
        <v>70.354687499999997</v>
      </c>
      <c r="J1699">
        <v>-5869</v>
      </c>
      <c r="N1699" t="s">
        <v>196</v>
      </c>
      <c r="O1699">
        <f t="shared" si="78"/>
        <v>70.003200000000007</v>
      </c>
      <c r="P1699">
        <f t="shared" si="79"/>
        <v>0.43935937499998801</v>
      </c>
      <c r="Q1699">
        <f t="shared" si="80"/>
        <v>0.43935937499998801</v>
      </c>
      <c r="Y1699">
        <f>TREND(H1696:H1700,G1696:G1700,G1699)</f>
        <v>70.307606297982545</v>
      </c>
      <c r="Z1699">
        <f>ABS((Y1699-H1699)/80*100)</f>
        <v>5.8851502521815036E-2</v>
      </c>
      <c r="AH1699">
        <f>H1699-AG1640</f>
        <v>70.156284999999997</v>
      </c>
      <c r="AI1699">
        <f>100*(AH1699-O1699)/80</f>
        <v>0.19135624999998768</v>
      </c>
    </row>
    <row r="1700" spans="1:41" x14ac:dyDescent="0.35">
      <c r="A1700" t="s">
        <v>281</v>
      </c>
      <c r="B1700" t="s">
        <v>1111</v>
      </c>
      <c r="C1700" t="s">
        <v>2492</v>
      </c>
      <c r="D1700">
        <v>25</v>
      </c>
      <c r="E1700">
        <v>25</v>
      </c>
      <c r="F1700">
        <v>1</v>
      </c>
      <c r="G1700">
        <v>0.999498</v>
      </c>
      <c r="H1700">
        <v>90.346874999999997</v>
      </c>
      <c r="J1700">
        <v>-5893</v>
      </c>
      <c r="N1700" t="s">
        <v>196</v>
      </c>
      <c r="O1700">
        <f t="shared" si="78"/>
        <v>89.979919999999993</v>
      </c>
      <c r="P1700">
        <f t="shared" si="79"/>
        <v>0.45869375000000545</v>
      </c>
      <c r="Q1700">
        <f t="shared" si="80"/>
        <v>0.45869375000000545</v>
      </c>
      <c r="Y1700">
        <f>TREND(H1696:H1700,G1696:G1700,G1700)</f>
        <v>90.359262927910493</v>
      </c>
      <c r="Z1700">
        <f>ABS((Y1700-H1700)/80*100)</f>
        <v>1.5484909888119347E-2</v>
      </c>
      <c r="AH1700">
        <f>H1700-AG1640</f>
        <v>90.148472499999997</v>
      </c>
      <c r="AI1700">
        <f>100*(AH1700-O1700)/80</f>
        <v>0.21069062500000513</v>
      </c>
    </row>
    <row r="1701" spans="1:41" x14ac:dyDescent="0.35">
      <c r="A1701" t="s">
        <v>281</v>
      </c>
      <c r="B1701" t="s">
        <v>1111</v>
      </c>
      <c r="C1701" t="s">
        <v>2529</v>
      </c>
      <c r="D1701">
        <v>25</v>
      </c>
      <c r="E1701">
        <v>25</v>
      </c>
      <c r="F1701">
        <v>0</v>
      </c>
      <c r="G1701">
        <v>-4.1E-5</v>
      </c>
      <c r="H1701">
        <v>50.2421875</v>
      </c>
      <c r="J1701">
        <v>-5914</v>
      </c>
      <c r="N1701" t="s">
        <v>196</v>
      </c>
      <c r="O1701">
        <f t="shared" si="78"/>
        <v>49.998360000000005</v>
      </c>
      <c r="P1701">
        <f t="shared" si="79"/>
        <v>0.30478437499999345</v>
      </c>
      <c r="Q1701">
        <f t="shared" si="80"/>
        <v>0.30478437499999345</v>
      </c>
      <c r="Y1701">
        <f>TREND(H1696:H1700,G1696:G1700,G1701)</f>
        <v>50.227724184369904</v>
      </c>
      <c r="Z1701">
        <f>ABS((Y1701-H1701)/80*100)</f>
        <v>1.8079144537619385E-2</v>
      </c>
      <c r="AH1701">
        <f>H1701-AG1640</f>
        <v>50.043784999999993</v>
      </c>
      <c r="AI1701">
        <f>100*(AH1701-O1701)/80</f>
        <v>5.678124999998424E-2</v>
      </c>
    </row>
    <row r="1702" spans="1:41" x14ac:dyDescent="0.35">
      <c r="A1702" t="s">
        <v>281</v>
      </c>
      <c r="B1702" t="s">
        <v>1111</v>
      </c>
      <c r="C1702" t="s">
        <v>2563</v>
      </c>
      <c r="D1702">
        <v>25</v>
      </c>
      <c r="E1702">
        <v>25</v>
      </c>
      <c r="F1702">
        <v>-1</v>
      </c>
      <c r="G1702">
        <v>-1.0002359999999999</v>
      </c>
      <c r="H1702">
        <v>10.1953125</v>
      </c>
      <c r="J1702">
        <v>-5940</v>
      </c>
      <c r="N1702" t="s">
        <v>196</v>
      </c>
      <c r="O1702">
        <f t="shared" si="78"/>
        <v>9.9905600000000039</v>
      </c>
      <c r="P1702">
        <f t="shared" si="79"/>
        <v>0.25594062499999515</v>
      </c>
      <c r="Q1702">
        <f t="shared" si="80"/>
        <v>0.25594062499999515</v>
      </c>
      <c r="Y1702">
        <f>TREND(H1696:H1700,G1696:G1700,G1702)</f>
        <v>10.069847009396661</v>
      </c>
      <c r="Z1702">
        <f>ABS((Y1702-H1702)/80*100)</f>
        <v>0.15683186325417431</v>
      </c>
      <c r="AH1702">
        <f>H1702-AG1640</f>
        <v>9.9969099999999926</v>
      </c>
      <c r="AI1702">
        <f>100*(AH1702-O1702)/80</f>
        <v>7.9374999999859419E-3</v>
      </c>
    </row>
    <row r="1703" spans="1:41" x14ac:dyDescent="0.35">
      <c r="A1703" t="s">
        <v>283</v>
      </c>
      <c r="B1703" t="s">
        <v>231</v>
      </c>
      <c r="C1703" t="s">
        <v>284</v>
      </c>
      <c r="D1703">
        <v>25</v>
      </c>
      <c r="E1703">
        <v>25</v>
      </c>
      <c r="F1703">
        <v>-1</v>
      </c>
      <c r="G1703">
        <v>-1.0000070000000001</v>
      </c>
      <c r="H1703">
        <v>10.271875</v>
      </c>
      <c r="J1703">
        <v>-6094</v>
      </c>
      <c r="N1703" t="s">
        <v>197</v>
      </c>
      <c r="O1703">
        <f t="shared" si="78"/>
        <v>9.9997199999999964</v>
      </c>
      <c r="P1703">
        <f t="shared" si="79"/>
        <v>0.34019375000000407</v>
      </c>
      <c r="Q1703">
        <f t="shared" si="80"/>
        <v>0.34019375000000407</v>
      </c>
      <c r="S1703">
        <v>50.201562500000001</v>
      </c>
      <c r="T1703">
        <v>0.25675312499999769</v>
      </c>
      <c r="U1703">
        <v>90.485937500000006</v>
      </c>
      <c r="V1703">
        <v>0.61317187500002035</v>
      </c>
      <c r="W1703">
        <v>80.214064025878912</v>
      </c>
      <c r="X1703">
        <f>(W1703-80)/80*100</f>
        <v>0.26758003234863992</v>
      </c>
      <c r="Y1703">
        <f>TREND(H1703:H1707,G1703:G1707,G1703)</f>
        <v>10.153228800643866</v>
      </c>
      <c r="Z1703">
        <f>ABS((Y1703-H1703)/80*100)</f>
        <v>0.14830774919516676</v>
      </c>
      <c r="AA1703">
        <f>MAX(Z1703:Z1707)</f>
        <v>0.14830774919516676</v>
      </c>
      <c r="AB1703">
        <f>IF(ABS(MAX(P1703:P1709)) &gt; ABS(MIN(P1703:P1709)),MAX(P1703:P1709), MIN(P1703:P1709))</f>
        <v>0.61317187500002035</v>
      </c>
      <c r="AC1703">
        <f>IF(ABS(AB1704)&gt;ABS(AB1703),AB1704,AB1703)</f>
        <v>0.61317187500002035</v>
      </c>
      <c r="AD1703">
        <f>MAX(AD1704:AD1705)</f>
        <v>8.6987500000001994E-2</v>
      </c>
      <c r="AE1703">
        <f>MAX(AE1704:AE1724)</f>
        <v>0.31192812500000722</v>
      </c>
      <c r="AF1703">
        <f>MAX(AD1703,AA1703)</f>
        <v>0.14830774919516676</v>
      </c>
      <c r="AG1703">
        <f>H1705-O1705</f>
        <v>0.20540249999999816</v>
      </c>
      <c r="AH1703">
        <f>H1703-AG1703</f>
        <v>10.066472500000001</v>
      </c>
      <c r="AI1703">
        <f>100*(AH1703-O1703)/80</f>
        <v>8.3440625000006374E-2</v>
      </c>
      <c r="AJ1703">
        <v>49.996160000000003</v>
      </c>
      <c r="AK1703">
        <v>0</v>
      </c>
      <c r="AL1703">
        <v>90.280535000000015</v>
      </c>
      <c r="AM1703">
        <v>0.35641875000003154</v>
      </c>
      <c r="AN1703">
        <f>IF(ABS(MAX(AI1703:AI1709)) &gt; ABS(MIN(AI1703:AI1709)),MAX(AI1703:AI1709), MIN(AI1703:AI1709))</f>
        <v>0.35641875000003154</v>
      </c>
      <c r="AO1703">
        <f>IF(ABS(AN1704)&gt;ABS(AN1703),AN1704,AN1703)</f>
        <v>0.35641875000003154</v>
      </c>
    </row>
    <row r="1704" spans="1:41" x14ac:dyDescent="0.35">
      <c r="A1704" t="s">
        <v>283</v>
      </c>
      <c r="B1704" t="s">
        <v>231</v>
      </c>
      <c r="C1704" t="s">
        <v>333</v>
      </c>
      <c r="D1704">
        <v>25</v>
      </c>
      <c r="E1704">
        <v>25</v>
      </c>
      <c r="F1704">
        <v>-0.5</v>
      </c>
      <c r="G1704">
        <v>-0.50006200000000001</v>
      </c>
      <c r="H1704">
        <v>30.115625000000001</v>
      </c>
      <c r="J1704">
        <v>-6090</v>
      </c>
      <c r="N1704" t="s">
        <v>197</v>
      </c>
      <c r="O1704">
        <f t="shared" si="78"/>
        <v>29.997520000000002</v>
      </c>
      <c r="P1704">
        <f t="shared" si="79"/>
        <v>0.14763124999999988</v>
      </c>
      <c r="Q1704">
        <f t="shared" si="80"/>
        <v>0.14763124999999988</v>
      </c>
      <c r="Y1704">
        <f>TREND(H1703:H1707,G1703:G1707,G1704)</f>
        <v>30.216515999098068</v>
      </c>
      <c r="Z1704">
        <f>ABS((Y1704-H1704)/80*100)</f>
        <v>0.12611374887258275</v>
      </c>
      <c r="AB1704">
        <f>IF(ABS(T1703) &gt; ABS(V1703),T1703,V1703)</f>
        <v>0.61317187500002035</v>
      </c>
      <c r="AD1704">
        <f>ABS(P1705-P1708)</f>
        <v>1.2274999999997149E-2</v>
      </c>
      <c r="AE1704">
        <f>ABS(P1731-P1703)</f>
        <v>9.6684375000000156E-2</v>
      </c>
      <c r="AH1704">
        <f>H1704-AG1703</f>
        <v>29.910222500000003</v>
      </c>
      <c r="AI1704">
        <f>100*(AH1704-O1704)/80</f>
        <v>-0.10912187499999781</v>
      </c>
      <c r="AN1704">
        <f>IF(ABS(AK1703) &gt; ABS(AM1703),AK1703,AM1703)</f>
        <v>0.35641875000003154</v>
      </c>
    </row>
    <row r="1705" spans="1:41" x14ac:dyDescent="0.35">
      <c r="A1705" t="s">
        <v>283</v>
      </c>
      <c r="B1705" t="s">
        <v>231</v>
      </c>
      <c r="C1705" t="s">
        <v>369</v>
      </c>
      <c r="D1705">
        <v>25</v>
      </c>
      <c r="E1705">
        <v>25</v>
      </c>
      <c r="F1705">
        <v>0</v>
      </c>
      <c r="G1705">
        <v>-9.6000000000000002E-5</v>
      </c>
      <c r="H1705">
        <v>50.201562500000001</v>
      </c>
      <c r="J1705">
        <v>-6091</v>
      </c>
      <c r="N1705" t="s">
        <v>197</v>
      </c>
      <c r="O1705">
        <f t="shared" si="78"/>
        <v>49.996160000000003</v>
      </c>
      <c r="P1705">
        <f t="shared" si="79"/>
        <v>0.25675312499999769</v>
      </c>
      <c r="Q1705">
        <f t="shared" si="80"/>
        <v>0.25675312499999769</v>
      </c>
      <c r="Y1705">
        <f>TREND(H1703:H1707,G1703:G1707,G1705)</f>
        <v>50.280645948317179</v>
      </c>
      <c r="Z1705">
        <f>ABS((Y1705-H1705)/80*100)</f>
        <v>9.88543103964723E-2</v>
      </c>
      <c r="AD1705">
        <f>ABS(P1703-P1709)</f>
        <v>8.6987500000001994E-2</v>
      </c>
      <c r="AE1705">
        <f>ABS(P1732-P1704)</f>
        <v>0.1487781250000042</v>
      </c>
      <c r="AH1705">
        <f>H1705-AG1703</f>
        <v>49.996160000000003</v>
      </c>
      <c r="AI1705">
        <f>100*(AH1705-O1705)/80</f>
        <v>0</v>
      </c>
    </row>
    <row r="1706" spans="1:41" x14ac:dyDescent="0.35">
      <c r="A1706" t="s">
        <v>283</v>
      </c>
      <c r="B1706" t="s">
        <v>231</v>
      </c>
      <c r="C1706" t="s">
        <v>406</v>
      </c>
      <c r="D1706">
        <v>25</v>
      </c>
      <c r="E1706">
        <v>25</v>
      </c>
      <c r="F1706">
        <v>0.5</v>
      </c>
      <c r="G1706">
        <v>0.500031</v>
      </c>
      <c r="H1706">
        <v>70.337500000000006</v>
      </c>
      <c r="J1706">
        <v>-6087</v>
      </c>
      <c r="N1706" t="s">
        <v>197</v>
      </c>
      <c r="O1706">
        <f t="shared" si="78"/>
        <v>70.001239999999996</v>
      </c>
      <c r="P1706">
        <f t="shared" si="79"/>
        <v>0.42032500000001249</v>
      </c>
      <c r="Q1706">
        <f t="shared" si="80"/>
        <v>0.42032500000001249</v>
      </c>
      <c r="Y1706">
        <f>TREND(H1703:H1707,G1703:G1707,G1706)</f>
        <v>70.351236986734008</v>
      </c>
      <c r="Z1706">
        <f>ABS((Y1706-H1706)/80*100)</f>
        <v>1.7171233417503373E-2</v>
      </c>
      <c r="AE1706">
        <f>ABS(P1733-P1705)</f>
        <v>0.10551562499999889</v>
      </c>
      <c r="AH1706">
        <f>H1706-AG1703</f>
        <v>70.132097500000015</v>
      </c>
      <c r="AI1706">
        <f>100*(AH1706-O1706)/80</f>
        <v>0.16357187500002368</v>
      </c>
    </row>
    <row r="1707" spans="1:41" x14ac:dyDescent="0.35">
      <c r="A1707" t="s">
        <v>283</v>
      </c>
      <c r="B1707" t="s">
        <v>231</v>
      </c>
      <c r="C1707" t="s">
        <v>443</v>
      </c>
      <c r="D1707">
        <v>25</v>
      </c>
      <c r="E1707">
        <v>25</v>
      </c>
      <c r="F1707">
        <v>1</v>
      </c>
      <c r="G1707">
        <v>0.99988500000000002</v>
      </c>
      <c r="H1707">
        <v>90.485937500000006</v>
      </c>
      <c r="J1707">
        <v>-6096</v>
      </c>
      <c r="N1707" t="s">
        <v>197</v>
      </c>
      <c r="O1707">
        <f t="shared" si="78"/>
        <v>89.995399999999989</v>
      </c>
      <c r="P1707">
        <f t="shared" si="79"/>
        <v>0.61317187500002035</v>
      </c>
      <c r="Q1707">
        <f t="shared" si="80"/>
        <v>0.61317187500002035</v>
      </c>
      <c r="Y1707">
        <f>TREND(H1703:H1707,G1703:G1707,G1707)</f>
        <v>90.410872265206891</v>
      </c>
      <c r="Z1707">
        <f>ABS((Y1707-H1707)/80*100)</f>
        <v>9.3831543491393887E-2</v>
      </c>
      <c r="AE1707">
        <f>ABS(P1734-P1706)</f>
        <v>0.17691562499999591</v>
      </c>
      <c r="AH1707">
        <f>H1707-AG1703</f>
        <v>90.280535000000015</v>
      </c>
      <c r="AI1707">
        <f>100*(AH1707-O1707)/80</f>
        <v>0.35641875000003154</v>
      </c>
    </row>
    <row r="1708" spans="1:41" x14ac:dyDescent="0.35">
      <c r="A1708" t="s">
        <v>283</v>
      </c>
      <c r="B1708" t="s">
        <v>231</v>
      </c>
      <c r="C1708" t="s">
        <v>480</v>
      </c>
      <c r="D1708">
        <v>25</v>
      </c>
      <c r="E1708">
        <v>25</v>
      </c>
      <c r="F1708">
        <v>0</v>
      </c>
      <c r="G1708">
        <v>-1.63E-4</v>
      </c>
      <c r="H1708">
        <v>50.189062499999999</v>
      </c>
      <c r="J1708">
        <v>-6085</v>
      </c>
      <c r="N1708" t="s">
        <v>197</v>
      </c>
      <c r="O1708">
        <f t="shared" si="78"/>
        <v>49.993479999999998</v>
      </c>
      <c r="P1708">
        <f t="shared" si="79"/>
        <v>0.24447812500000055</v>
      </c>
      <c r="Q1708">
        <f t="shared" si="80"/>
        <v>0.24447812500000055</v>
      </c>
      <c r="Y1708">
        <f>TREND(H1703:H1707,G1703:G1707,G1708)</f>
        <v>50.277957172067204</v>
      </c>
      <c r="Z1708">
        <f>ABS((Y1708-H1708)/80*100)</f>
        <v>0.11111834008400655</v>
      </c>
      <c r="AE1708">
        <f>ABS(P1735-P1707)</f>
        <v>8.5668749999978644E-2</v>
      </c>
      <c r="AH1708">
        <f>H1708-AG1703</f>
        <v>49.98366</v>
      </c>
      <c r="AI1708">
        <f>100*(AH1708-O1708)/80</f>
        <v>-1.2274999999997149E-2</v>
      </c>
    </row>
    <row r="1709" spans="1:41" x14ac:dyDescent="0.35">
      <c r="A1709" t="s">
        <v>283</v>
      </c>
      <c r="B1709" t="s">
        <v>231</v>
      </c>
      <c r="C1709" t="s">
        <v>517</v>
      </c>
      <c r="D1709">
        <v>25</v>
      </c>
      <c r="E1709">
        <v>25</v>
      </c>
      <c r="F1709">
        <v>-1</v>
      </c>
      <c r="G1709">
        <v>-0.99998600000000004</v>
      </c>
      <c r="H1709">
        <v>10.203125</v>
      </c>
      <c r="J1709">
        <v>-6083</v>
      </c>
      <c r="N1709" t="s">
        <v>197</v>
      </c>
      <c r="O1709">
        <f t="shared" si="78"/>
        <v>10.000559999999998</v>
      </c>
      <c r="P1709">
        <f t="shared" si="79"/>
        <v>0.25320625000000208</v>
      </c>
      <c r="Q1709">
        <f t="shared" si="80"/>
        <v>0.25320625000000208</v>
      </c>
      <c r="Y1709">
        <f>TREND(H1703:H1707,G1703:G1707,G1709)</f>
        <v>10.154071551408791</v>
      </c>
      <c r="Z1709">
        <f>ABS((Y1709-H1709)/80*100)</f>
        <v>6.1316810739011629E-2</v>
      </c>
      <c r="AE1709">
        <f>ABS(P1736-P1708)</f>
        <v>0.16466250000000571</v>
      </c>
      <c r="AH1709">
        <f>H1709-AG1703</f>
        <v>9.9977225000000018</v>
      </c>
      <c r="AI1709">
        <f>100*(AH1709-O1709)/80</f>
        <v>-3.5468749999956195E-3</v>
      </c>
    </row>
    <row r="1710" spans="1:41" x14ac:dyDescent="0.35">
      <c r="A1710" t="s">
        <v>283</v>
      </c>
      <c r="B1710" t="s">
        <v>231</v>
      </c>
      <c r="C1710" t="s">
        <v>554</v>
      </c>
      <c r="D1710">
        <v>-20</v>
      </c>
      <c r="E1710">
        <v>-20</v>
      </c>
      <c r="F1710">
        <v>-1</v>
      </c>
      <c r="G1710">
        <v>-0.99998299999999996</v>
      </c>
      <c r="H1710">
        <v>10.401562500000001</v>
      </c>
      <c r="J1710">
        <v>-24189</v>
      </c>
      <c r="N1710" t="s">
        <v>197</v>
      </c>
      <c r="O1710">
        <f t="shared" si="78"/>
        <v>10.000680000000003</v>
      </c>
      <c r="P1710">
        <f t="shared" si="79"/>
        <v>0.50110312499999754</v>
      </c>
      <c r="Q1710">
        <f t="shared" si="80"/>
        <v>0.50110312499999754</v>
      </c>
      <c r="S1710">
        <v>50.3125</v>
      </c>
      <c r="T1710">
        <v>0.38572500000000787</v>
      </c>
      <c r="U1710">
        <v>90.926562500000003</v>
      </c>
      <c r="V1710">
        <v>1.1634031250000021</v>
      </c>
      <c r="W1710">
        <v>80.52499694824219</v>
      </c>
      <c r="X1710">
        <f>(W1710-80)/80*100</f>
        <v>0.65624618530273793</v>
      </c>
      <c r="Y1710">
        <f>TREND(H1710:H1714,G1710:G1714,G1710)</f>
        <v>10.181914072666764</v>
      </c>
      <c r="Z1710">
        <f>ABS((Y1710-H1710)/80*100)</f>
        <v>0.2745605341665458</v>
      </c>
      <c r="AA1710">
        <f>MAX(Z1710:Z1714)</f>
        <v>0.2745605341665458</v>
      </c>
      <c r="AB1710">
        <f>IF(ABS(MAX(P1710:P1716)) &gt; ABS(MIN(P1710:P1716)),MAX(P1710:P1716), MIN(P1710:P1716))</f>
        <v>1.1634031250000021</v>
      </c>
      <c r="AC1710">
        <f>IF(ABS(AB1711)&gt;ABS(AB1710),AB1711,AB1710)</f>
        <v>1.1634031250000021</v>
      </c>
      <c r="AE1710">
        <f>ABS(P1737-P1709)</f>
        <v>0.12244062499999542</v>
      </c>
      <c r="AH1710">
        <f>H1710-AG1703</f>
        <v>10.196160000000003</v>
      </c>
      <c r="AI1710">
        <f>100*(AH1710-O1710)/80</f>
        <v>0.24434999999999985</v>
      </c>
      <c r="AJ1710">
        <v>50.107097500000002</v>
      </c>
      <c r="AK1710">
        <v>0.12897187500001017</v>
      </c>
      <c r="AL1710">
        <v>90.721159999999998</v>
      </c>
      <c r="AM1710">
        <v>0.90664999999999552</v>
      </c>
      <c r="AN1710">
        <f>IF(ABS(MAX(AI1710:AI1716)) &gt; ABS(MIN(AI1710:AI1716)),MAX(AI1710:AI1716), MIN(AI1710:AI1716))</f>
        <v>0.90664999999999552</v>
      </c>
      <c r="AO1710">
        <f>IF(ABS(AN1711)&gt;ABS(AN1710),AN1711,AN1710)</f>
        <v>0.90664999999999552</v>
      </c>
    </row>
    <row r="1711" spans="1:41" x14ac:dyDescent="0.35">
      <c r="A1711" t="s">
        <v>283</v>
      </c>
      <c r="B1711" t="s">
        <v>231</v>
      </c>
      <c r="C1711" t="s">
        <v>591</v>
      </c>
      <c r="D1711">
        <v>-20</v>
      </c>
      <c r="E1711">
        <v>-20.100000000000001</v>
      </c>
      <c r="F1711">
        <v>-0.5</v>
      </c>
      <c r="G1711">
        <v>-0.50008600000000003</v>
      </c>
      <c r="H1711">
        <v>30.159375000000001</v>
      </c>
      <c r="J1711">
        <v>-24212</v>
      </c>
      <c r="N1711" t="s">
        <v>197</v>
      </c>
      <c r="O1711">
        <f t="shared" si="78"/>
        <v>29.996559999999999</v>
      </c>
      <c r="P1711">
        <f t="shared" si="79"/>
        <v>0.20351875000000241</v>
      </c>
      <c r="Q1711">
        <f t="shared" si="80"/>
        <v>0.20351875000000241</v>
      </c>
      <c r="Y1711">
        <f>TREND(H1710:H1714,G1710:G1714,G1711)</f>
        <v>30.33398785155455</v>
      </c>
      <c r="Z1711">
        <f>ABS((Y1711-H1711)/80*100)</f>
        <v>0.21826606444318664</v>
      </c>
      <c r="AB1711">
        <f>IF(ABS(T1710) &gt; ABS(V1710),T1710,V1710)</f>
        <v>1.1634031250000021</v>
      </c>
      <c r="AE1711">
        <f>ABS(P1759-P1703)</f>
        <v>0.21524375000000706</v>
      </c>
      <c r="AH1711">
        <f>H1711-AG1703</f>
        <v>29.953972500000003</v>
      </c>
      <c r="AI1711">
        <f>100*(AH1711-O1711)/80</f>
        <v>-5.3234374999995282E-2</v>
      </c>
      <c r="AN1711">
        <f>IF(ABS(AK1710) &gt; ABS(AM1710),AK1710,AM1710)</f>
        <v>0.90664999999999552</v>
      </c>
    </row>
    <row r="1712" spans="1:41" x14ac:dyDescent="0.35">
      <c r="A1712" t="s">
        <v>283</v>
      </c>
      <c r="B1712" t="s">
        <v>231</v>
      </c>
      <c r="C1712" t="s">
        <v>627</v>
      </c>
      <c r="D1712">
        <v>-20</v>
      </c>
      <c r="E1712">
        <v>-19.899999999999999</v>
      </c>
      <c r="F1712">
        <v>0</v>
      </c>
      <c r="G1712">
        <v>9.7999999999999997E-5</v>
      </c>
      <c r="H1712">
        <v>50.3125</v>
      </c>
      <c r="J1712">
        <v>-24233</v>
      </c>
      <c r="N1712" t="s">
        <v>197</v>
      </c>
      <c r="O1712">
        <f t="shared" si="78"/>
        <v>50.003919999999994</v>
      </c>
      <c r="P1712">
        <f t="shared" si="79"/>
        <v>0.38572500000000787</v>
      </c>
      <c r="Q1712">
        <f t="shared" si="80"/>
        <v>0.38572500000000787</v>
      </c>
      <c r="Y1712">
        <f>TREND(H1710:H1714,G1710:G1714,G1712)</f>
        <v>50.4976313041442</v>
      </c>
      <c r="Z1712">
        <f>ABS((Y1712-H1712)/80*100)</f>
        <v>0.2314141301802497</v>
      </c>
      <c r="AE1712">
        <f>ABS(P1760-P1704)</f>
        <v>0.11074999999999946</v>
      </c>
      <c r="AH1712">
        <f>H1712-AG1703</f>
        <v>50.107097500000002</v>
      </c>
      <c r="AI1712">
        <f>100*(AH1712-O1712)/80</f>
        <v>0.12897187500001017</v>
      </c>
    </row>
    <row r="1713" spans="1:41" x14ac:dyDescent="0.35">
      <c r="A1713" t="s">
        <v>283</v>
      </c>
      <c r="B1713" t="s">
        <v>231</v>
      </c>
      <c r="C1713" t="s">
        <v>663</v>
      </c>
      <c r="D1713">
        <v>-20</v>
      </c>
      <c r="E1713">
        <v>-20</v>
      </c>
      <c r="F1713">
        <v>0.5</v>
      </c>
      <c r="G1713">
        <v>0.49969599999999997</v>
      </c>
      <c r="H1713">
        <v>70.653125000000003</v>
      </c>
      <c r="J1713">
        <v>-24239</v>
      </c>
      <c r="N1713" t="s">
        <v>197</v>
      </c>
      <c r="O1713">
        <f t="shared" si="78"/>
        <v>69.987840000000006</v>
      </c>
      <c r="P1713">
        <f t="shared" si="79"/>
        <v>0.83160624999999655</v>
      </c>
      <c r="Q1713">
        <f t="shared" si="80"/>
        <v>0.83160624999999655</v>
      </c>
      <c r="Y1713">
        <f>TREND(H1710:H1714,G1710:G1714,G1713)</f>
        <v>70.63765165990705</v>
      </c>
      <c r="Z1713">
        <f>ABS((Y1713-H1713)/80*100)</f>
        <v>1.9341675116191226E-2</v>
      </c>
      <c r="AE1713">
        <f>ABS(P1761-P1705)</f>
        <v>8.0121874999994347E-2</v>
      </c>
      <c r="AH1713">
        <f>H1713-AG1703</f>
        <v>70.447722499999998</v>
      </c>
      <c r="AI1713">
        <f>100*(AH1713-O1713)/80</f>
        <v>0.57485312499998997</v>
      </c>
    </row>
    <row r="1714" spans="1:41" x14ac:dyDescent="0.35">
      <c r="A1714" t="s">
        <v>283</v>
      </c>
      <c r="B1714" t="s">
        <v>231</v>
      </c>
      <c r="C1714" t="s">
        <v>700</v>
      </c>
      <c r="D1714">
        <v>-20</v>
      </c>
      <c r="E1714">
        <v>-20</v>
      </c>
      <c r="F1714">
        <v>1</v>
      </c>
      <c r="G1714">
        <v>0.99989600000000001</v>
      </c>
      <c r="H1714">
        <v>90.926562500000003</v>
      </c>
      <c r="J1714">
        <v>-24245</v>
      </c>
      <c r="N1714" t="s">
        <v>197</v>
      </c>
      <c r="O1714">
        <f t="shared" si="78"/>
        <v>89.995840000000001</v>
      </c>
      <c r="P1714">
        <f t="shared" si="79"/>
        <v>1.1634031250000021</v>
      </c>
      <c r="Q1714">
        <f t="shared" si="80"/>
        <v>1.1634031250000021</v>
      </c>
      <c r="Y1714">
        <f>TREND(H1710:H1714,G1710:G1714,G1714)</f>
        <v>90.801940111727461</v>
      </c>
      <c r="Z1714">
        <f>ABS((Y1714-H1714)/80*100)</f>
        <v>0.15577798534067711</v>
      </c>
      <c r="AE1714">
        <f>ABS(P1762-P1706)</f>
        <v>0.12495000000001255</v>
      </c>
      <c r="AH1714">
        <f>H1714-AG1703</f>
        <v>90.721159999999998</v>
      </c>
      <c r="AI1714">
        <f>100*(AH1714-O1714)/80</f>
        <v>0.90664999999999552</v>
      </c>
    </row>
    <row r="1715" spans="1:41" x14ac:dyDescent="0.35">
      <c r="A1715" t="s">
        <v>283</v>
      </c>
      <c r="B1715" t="s">
        <v>231</v>
      </c>
      <c r="C1715" t="s">
        <v>736</v>
      </c>
      <c r="D1715">
        <v>-20</v>
      </c>
      <c r="E1715">
        <v>-20</v>
      </c>
      <c r="F1715">
        <v>0</v>
      </c>
      <c r="G1715">
        <v>-1.9999999999999999E-6</v>
      </c>
      <c r="H1715">
        <v>50.293750000000003</v>
      </c>
      <c r="J1715">
        <v>-24239</v>
      </c>
      <c r="N1715" t="s">
        <v>197</v>
      </c>
      <c r="O1715">
        <f t="shared" si="78"/>
        <v>49.999920000000003</v>
      </c>
      <c r="P1715">
        <f t="shared" si="79"/>
        <v>0.36728749999999977</v>
      </c>
      <c r="Q1715">
        <f t="shared" si="80"/>
        <v>0.36728749999999977</v>
      </c>
      <c r="Y1715">
        <f>TREND(H1710:H1714,G1710:G1714,G1715)</f>
        <v>50.493600058951913</v>
      </c>
      <c r="Z1715">
        <f>ABS((Y1715-H1715)/80*100)</f>
        <v>0.24981257368988707</v>
      </c>
      <c r="AE1715">
        <f>ABS(P1763-P1707)</f>
        <v>6.3528125000029689E-2</v>
      </c>
      <c r="AH1715">
        <f>H1715-AG1703</f>
        <v>50.088347500000005</v>
      </c>
      <c r="AI1715">
        <f>100*(AH1715-O1715)/80</f>
        <v>0.11053437500000207</v>
      </c>
    </row>
    <row r="1716" spans="1:41" x14ac:dyDescent="0.35">
      <c r="A1716" t="s">
        <v>283</v>
      </c>
      <c r="B1716" t="s">
        <v>231</v>
      </c>
      <c r="C1716" t="s">
        <v>772</v>
      </c>
      <c r="D1716">
        <v>-20</v>
      </c>
      <c r="E1716">
        <v>-20.100000000000001</v>
      </c>
      <c r="F1716">
        <v>-1</v>
      </c>
      <c r="G1716">
        <v>-1.000054</v>
      </c>
      <c r="H1716">
        <v>10.3890625</v>
      </c>
      <c r="J1716">
        <v>-24256</v>
      </c>
      <c r="N1716" t="s">
        <v>197</v>
      </c>
      <c r="O1716">
        <f t="shared" si="78"/>
        <v>9.9978400000000001</v>
      </c>
      <c r="P1716">
        <f t="shared" si="79"/>
        <v>0.48902812499999948</v>
      </c>
      <c r="Q1716">
        <f t="shared" si="80"/>
        <v>0.48902812499999948</v>
      </c>
      <c r="Y1716">
        <f>TREND(H1710:H1714,G1710:G1714,G1716)</f>
        <v>10.17905188858024</v>
      </c>
      <c r="Z1716">
        <f>ABS((Y1716-H1716)/80*100)</f>
        <v>0.26251326427469968</v>
      </c>
      <c r="AE1716">
        <f>ABS(P1764-P1708)</f>
        <v>5.9234374999999062E-2</v>
      </c>
      <c r="AH1716">
        <f>H1716-AG1703</f>
        <v>10.183660000000001</v>
      </c>
      <c r="AI1716">
        <f>100*(AH1716-O1716)/80</f>
        <v>0.23227500000000179</v>
      </c>
    </row>
    <row r="1717" spans="1:41" x14ac:dyDescent="0.35">
      <c r="A1717" t="s">
        <v>283</v>
      </c>
      <c r="B1717" t="s">
        <v>231</v>
      </c>
      <c r="C1717" t="s">
        <v>809</v>
      </c>
      <c r="D1717">
        <v>0</v>
      </c>
      <c r="E1717">
        <v>-0.1</v>
      </c>
      <c r="F1717">
        <v>-1</v>
      </c>
      <c r="G1717">
        <v>-1.000297</v>
      </c>
      <c r="H1717">
        <v>10.307812500000001</v>
      </c>
      <c r="J1717">
        <v>-16528</v>
      </c>
      <c r="N1717" t="s">
        <v>197</v>
      </c>
      <c r="O1717">
        <f t="shared" si="78"/>
        <v>9.9881200000000003</v>
      </c>
      <c r="P1717">
        <f t="shared" si="79"/>
        <v>0.39961562500000047</v>
      </c>
      <c r="Q1717">
        <f t="shared" si="80"/>
        <v>0.39961562500000047</v>
      </c>
      <c r="S1717">
        <v>50.231250000000003</v>
      </c>
      <c r="T1717">
        <v>0.28541249999999962</v>
      </c>
      <c r="U1717">
        <v>90.776562499999997</v>
      </c>
      <c r="V1717">
        <v>0.957603124999995</v>
      </c>
      <c r="W1717">
        <v>80.468753051757815</v>
      </c>
      <c r="X1717">
        <f>(W1717-80)/80*100</f>
        <v>0.58594131469726918</v>
      </c>
      <c r="Y1717">
        <f>TREND(H1717:H1721,G1717:G1721,G1717)</f>
        <v>10.184344328117959</v>
      </c>
      <c r="Z1717">
        <f>ABS((Y1717-H1717)/80*100)</f>
        <v>0.1543352148525523</v>
      </c>
      <c r="AA1717">
        <f>MAX(Z1717:Z1721)</f>
        <v>0.25466063477543877</v>
      </c>
      <c r="AB1717">
        <f>IF(ABS(MAX(P1717:P1723)) &gt; ABS(MIN(P1717:P1723)),MAX(P1717:P1723), MIN(P1717:P1723))</f>
        <v>0.957603124999995</v>
      </c>
      <c r="AC1717">
        <f>IF(ABS(AB1718)&gt;ABS(AB1717),AB1718,AB1717)</f>
        <v>0.957603124999995</v>
      </c>
      <c r="AE1717">
        <f>ABS(P1765-P1709)</f>
        <v>7.6531249999998163E-2</v>
      </c>
      <c r="AH1717">
        <f>H1717-AG1703</f>
        <v>10.102410000000003</v>
      </c>
      <c r="AI1717">
        <f>100*(AH1717-O1717)/80</f>
        <v>0.14286250000000278</v>
      </c>
      <c r="AJ1717">
        <v>50.025847500000005</v>
      </c>
      <c r="AK1717">
        <v>2.865937500000193E-2</v>
      </c>
      <c r="AL1717">
        <v>90.571159999999992</v>
      </c>
      <c r="AM1717">
        <v>0.70084999999998843</v>
      </c>
      <c r="AN1717">
        <f>IF(ABS(MAX(AI1717:AI1723)) &gt; ABS(MIN(AI1717:AI1723)),MAX(AI1717:AI1723), MIN(AI1717:AI1723))</f>
        <v>0.70084999999998843</v>
      </c>
      <c r="AO1717">
        <f>IF(ABS(AN1718)&gt;ABS(AN1717),AN1718,AN1717)</f>
        <v>0.70084999999998843</v>
      </c>
    </row>
    <row r="1718" spans="1:41" x14ac:dyDescent="0.35">
      <c r="A1718" t="s">
        <v>283</v>
      </c>
      <c r="B1718" t="s">
        <v>231</v>
      </c>
      <c r="C1718" t="s">
        <v>845</v>
      </c>
      <c r="D1718">
        <v>0</v>
      </c>
      <c r="E1718">
        <v>0.1</v>
      </c>
      <c r="F1718">
        <v>-0.5</v>
      </c>
      <c r="G1718">
        <v>-0.50023899999999999</v>
      </c>
      <c r="H1718">
        <v>30.270312499999999</v>
      </c>
      <c r="J1718">
        <v>-16505</v>
      </c>
      <c r="N1718" t="s">
        <v>197</v>
      </c>
      <c r="O1718">
        <f t="shared" si="78"/>
        <v>29.99044</v>
      </c>
      <c r="P1718">
        <f t="shared" si="79"/>
        <v>0.34984062499999968</v>
      </c>
      <c r="Q1718">
        <f t="shared" si="80"/>
        <v>0.34984062499999968</v>
      </c>
      <c r="Y1718">
        <f>TREND(H1717:H1721,G1717:G1721,G1718)</f>
        <v>30.304551478106085</v>
      </c>
      <c r="Z1718">
        <f>ABS((Y1718-H1718)/80*100)</f>
        <v>4.2798722632606534E-2</v>
      </c>
      <c r="AB1718">
        <f>IF(ABS(T1717) &gt; ABS(V1717),T1717,V1717)</f>
        <v>0.957603124999995</v>
      </c>
      <c r="AE1718">
        <f>ABS(P1759-P1731)</f>
        <v>0.31192812500000722</v>
      </c>
      <c r="AH1718">
        <f>H1718-AG1703</f>
        <v>30.064910000000001</v>
      </c>
      <c r="AI1718">
        <f>100*(AH1718-O1718)/80</f>
        <v>9.3087500000001988E-2</v>
      </c>
      <c r="AN1718">
        <f>IF(ABS(AK1717) &gt; ABS(AM1717),AK1717,AM1717)</f>
        <v>0.70084999999998843</v>
      </c>
    </row>
    <row r="1719" spans="1:41" x14ac:dyDescent="0.35">
      <c r="A1719" t="s">
        <v>283</v>
      </c>
      <c r="B1719" t="s">
        <v>231</v>
      </c>
      <c r="C1719" t="s">
        <v>881</v>
      </c>
      <c r="D1719">
        <v>0</v>
      </c>
      <c r="E1719">
        <v>0</v>
      </c>
      <c r="F1719">
        <v>0</v>
      </c>
      <c r="G1719">
        <v>7.2999999999999999E-5</v>
      </c>
      <c r="H1719">
        <v>50.231250000000003</v>
      </c>
      <c r="J1719">
        <v>-16484</v>
      </c>
      <c r="N1719" t="s">
        <v>197</v>
      </c>
      <c r="O1719">
        <f t="shared" si="78"/>
        <v>50.002920000000003</v>
      </c>
      <c r="P1719">
        <f t="shared" si="79"/>
        <v>0.28541249999999962</v>
      </c>
      <c r="Q1719">
        <f t="shared" si="80"/>
        <v>0.28541249999999962</v>
      </c>
      <c r="Y1719">
        <f>TREND(H1717:H1721,G1717:G1721,G1719)</f>
        <v>50.434978507820354</v>
      </c>
      <c r="Z1719">
        <f>ABS((Y1719-H1719)/80*100)</f>
        <v>0.25466063477543877</v>
      </c>
      <c r="AE1719">
        <f>ABS(P1760-P1732)</f>
        <v>0.25952812500000366</v>
      </c>
      <c r="AH1719">
        <f>H1719-AG1703</f>
        <v>50.025847500000005</v>
      </c>
      <c r="AI1719">
        <f>100*(AH1719-O1719)/80</f>
        <v>2.865937500000193E-2</v>
      </c>
    </row>
    <row r="1720" spans="1:41" x14ac:dyDescent="0.35">
      <c r="A1720" t="s">
        <v>283</v>
      </c>
      <c r="B1720" t="s">
        <v>231</v>
      </c>
      <c r="C1720" t="s">
        <v>918</v>
      </c>
      <c r="D1720">
        <v>0</v>
      </c>
      <c r="E1720">
        <v>0</v>
      </c>
      <c r="F1720">
        <v>0.5</v>
      </c>
      <c r="G1720">
        <v>0.50002500000000005</v>
      </c>
      <c r="H1720">
        <v>70.567187500000003</v>
      </c>
      <c r="J1720">
        <v>-16454</v>
      </c>
      <c r="N1720" t="s">
        <v>197</v>
      </c>
      <c r="O1720">
        <f t="shared" si="78"/>
        <v>70.001000000000005</v>
      </c>
      <c r="P1720">
        <f t="shared" si="79"/>
        <v>0.70773437499999758</v>
      </c>
      <c r="Q1720">
        <f t="shared" si="80"/>
        <v>0.70773437499999758</v>
      </c>
      <c r="Y1720">
        <f>TREND(H1717:H1721,G1717:G1721,G1720)</f>
        <v>70.55092066863142</v>
      </c>
      <c r="Z1720">
        <f>ABS((Y1720-H1720)/80*100)</f>
        <v>2.0333539210728446E-2</v>
      </c>
      <c r="AE1720">
        <f>ABS(P1761-P1733)</f>
        <v>0.18563749999999324</v>
      </c>
      <c r="AH1720">
        <f>H1720-AG1703</f>
        <v>70.361784999999998</v>
      </c>
      <c r="AI1720">
        <f>100*(AH1720-O1720)/80</f>
        <v>0.45098124999999101</v>
      </c>
    </row>
    <row r="1721" spans="1:41" x14ac:dyDescent="0.35">
      <c r="A1721" t="s">
        <v>283</v>
      </c>
      <c r="B1721" t="s">
        <v>231</v>
      </c>
      <c r="C1721" t="s">
        <v>955</v>
      </c>
      <c r="D1721">
        <v>0</v>
      </c>
      <c r="E1721">
        <v>0.1</v>
      </c>
      <c r="F1721">
        <v>1</v>
      </c>
      <c r="G1721">
        <v>1.000262</v>
      </c>
      <c r="H1721">
        <v>90.776562499999997</v>
      </c>
      <c r="J1721">
        <v>-16436</v>
      </c>
      <c r="N1721" t="s">
        <v>197</v>
      </c>
      <c r="O1721">
        <f t="shared" si="78"/>
        <v>90.010480000000001</v>
      </c>
      <c r="P1721">
        <f t="shared" si="79"/>
        <v>0.957603124999995</v>
      </c>
      <c r="Q1721">
        <f t="shared" si="80"/>
        <v>0.957603124999995</v>
      </c>
      <c r="Y1721">
        <f>TREND(H1717:H1721,G1717:G1721,G1721)</f>
        <v>90.678330017324186</v>
      </c>
      <c r="Z1721">
        <f>ABS((Y1721-H1721)/80*100)</f>
        <v>0.12279060334476455</v>
      </c>
      <c r="AE1721">
        <f>ABS(P1762-P1734)</f>
        <v>0.30186562500000846</v>
      </c>
      <c r="AH1721">
        <f>H1721-AG1703</f>
        <v>90.571159999999992</v>
      </c>
      <c r="AI1721">
        <f>100*(AH1721-O1721)/80</f>
        <v>0.70084999999998843</v>
      </c>
    </row>
    <row r="1722" spans="1:41" x14ac:dyDescent="0.35">
      <c r="A1722" t="s">
        <v>283</v>
      </c>
      <c r="B1722" t="s">
        <v>231</v>
      </c>
      <c r="C1722" t="s">
        <v>991</v>
      </c>
      <c r="D1722">
        <v>0</v>
      </c>
      <c r="E1722">
        <v>0</v>
      </c>
      <c r="F1722">
        <v>0</v>
      </c>
      <c r="G1722">
        <v>2.22E-4</v>
      </c>
      <c r="H1722">
        <v>50.234375</v>
      </c>
      <c r="J1722">
        <v>-16412</v>
      </c>
      <c r="N1722" t="s">
        <v>197</v>
      </c>
      <c r="O1722">
        <f t="shared" si="78"/>
        <v>50.008879999999998</v>
      </c>
      <c r="P1722">
        <f t="shared" si="79"/>
        <v>0.28186875000000278</v>
      </c>
      <c r="Q1722">
        <f t="shared" si="80"/>
        <v>0.28186875000000278</v>
      </c>
      <c r="Y1722">
        <f>TREND(H1717:H1721,G1717:G1721,G1722)</f>
        <v>50.440973634116396</v>
      </c>
      <c r="Z1722">
        <f>ABS((Y1722-H1722)/80*100)</f>
        <v>0.25824829264549543</v>
      </c>
      <c r="AE1722">
        <f>ABS(P1763-P1735)</f>
        <v>0.14919687500000833</v>
      </c>
      <c r="AH1722">
        <f>H1722-AG1703</f>
        <v>50.028972500000002</v>
      </c>
      <c r="AI1722">
        <f>100*(AH1722-O1722)/80</f>
        <v>2.5115625000005082E-2</v>
      </c>
    </row>
    <row r="1723" spans="1:41" x14ac:dyDescent="0.35">
      <c r="A1723" t="s">
        <v>283</v>
      </c>
      <c r="B1723" t="s">
        <v>231</v>
      </c>
      <c r="C1723" t="s">
        <v>1027</v>
      </c>
      <c r="D1723">
        <v>0</v>
      </c>
      <c r="E1723">
        <v>-0.1</v>
      </c>
      <c r="F1723">
        <v>-1</v>
      </c>
      <c r="G1723">
        <v>-1.00007</v>
      </c>
      <c r="H1723">
        <v>10.434374999999999</v>
      </c>
      <c r="J1723">
        <v>-16385</v>
      </c>
      <c r="N1723" t="s">
        <v>197</v>
      </c>
      <c r="O1723">
        <f t="shared" si="78"/>
        <v>9.9971999999999994</v>
      </c>
      <c r="P1723">
        <f t="shared" si="79"/>
        <v>0.54646874999999984</v>
      </c>
      <c r="Q1723">
        <f t="shared" si="80"/>
        <v>0.54646874999999984</v>
      </c>
      <c r="Y1723">
        <f>TREND(H1717:H1721,G1717:G1721,G1723)</f>
        <v>10.193477842676366</v>
      </c>
      <c r="Z1723">
        <f>ABS((Y1723-H1723)/80*100)</f>
        <v>0.30112144665454199</v>
      </c>
      <c r="AE1723">
        <f>ABS(P1764-P1736)</f>
        <v>0.22389687500000477</v>
      </c>
      <c r="AH1723">
        <f>H1723-AG1703</f>
        <v>10.228972500000001</v>
      </c>
      <c r="AI1723">
        <f>100*(AH1723-O1723)/80</f>
        <v>0.28971562500000214</v>
      </c>
    </row>
    <row r="1724" spans="1:41" x14ac:dyDescent="0.35">
      <c r="A1724" t="s">
        <v>283</v>
      </c>
      <c r="B1724" t="s">
        <v>231</v>
      </c>
      <c r="C1724" t="s">
        <v>1063</v>
      </c>
      <c r="D1724">
        <v>10</v>
      </c>
      <c r="E1724">
        <v>10</v>
      </c>
      <c r="F1724">
        <v>-1</v>
      </c>
      <c r="G1724">
        <v>-0.99987800000000004</v>
      </c>
      <c r="H1724">
        <v>10.421875</v>
      </c>
      <c r="J1724">
        <v>-12195</v>
      </c>
      <c r="N1724" t="s">
        <v>197</v>
      </c>
      <c r="O1724">
        <f t="shared" si="78"/>
        <v>10.004879999999998</v>
      </c>
      <c r="P1724">
        <f t="shared" si="79"/>
        <v>0.52124375000000223</v>
      </c>
      <c r="Q1724">
        <f t="shared" si="80"/>
        <v>0.52124375000000223</v>
      </c>
      <c r="S1724">
        <v>50.271875000000001</v>
      </c>
      <c r="T1724">
        <v>0.34439374999999828</v>
      </c>
      <c r="U1724">
        <v>90.603125000000006</v>
      </c>
      <c r="V1724">
        <v>0.76050625000000593</v>
      </c>
      <c r="W1724">
        <v>80.181251525878906</v>
      </c>
      <c r="X1724">
        <f>(W1724-80)/80*100</f>
        <v>0.22656440734863278</v>
      </c>
      <c r="Y1724">
        <f>TREND(H1724:H1728,G1724:G1728,G1724)</f>
        <v>10.305642680878414</v>
      </c>
      <c r="Z1724">
        <f>ABS((Y1724-H1724)/80*100)</f>
        <v>0.1452903989019827</v>
      </c>
      <c r="AA1724">
        <f>MAX(Z1724:Z1728)</f>
        <v>0.1626499956320604</v>
      </c>
      <c r="AB1724">
        <f>IF(ABS(MAX(P1724:P1730)) &gt; ABS(MIN(P1724:P1730)),MAX(P1724:P1730), MIN(P1724:P1730))</f>
        <v>0.76050625000000593</v>
      </c>
      <c r="AC1724">
        <f>IF(ABS(AB1725)&gt;ABS(AB1724),AB1725,AB1724)</f>
        <v>0.76050625000000593</v>
      </c>
      <c r="AE1724">
        <f>ABS(P1765-P1737)</f>
        <v>0.19897187499999358</v>
      </c>
      <c r="AH1724">
        <f>H1724-AG1703</f>
        <v>10.216472500000002</v>
      </c>
      <c r="AI1724">
        <f>100*(AH1724-O1724)/80</f>
        <v>0.26449062500000453</v>
      </c>
      <c r="AJ1724">
        <v>50.066472500000003</v>
      </c>
      <c r="AK1724">
        <v>8.7640625000000583E-2</v>
      </c>
      <c r="AL1724">
        <v>90.397722500000015</v>
      </c>
      <c r="AM1724">
        <v>0.50375312500001712</v>
      </c>
      <c r="AN1724">
        <f>IF(ABS(MAX(AI1724:AI1730)) &gt; ABS(MIN(AI1724:AI1730)),MAX(AI1724:AI1730), MIN(AI1724:AI1730))</f>
        <v>0.50375312500001712</v>
      </c>
      <c r="AO1724">
        <f>IF(ABS(AN1725)&gt;ABS(AN1724),AN1725,AN1724)</f>
        <v>0.50375312500001712</v>
      </c>
    </row>
    <row r="1725" spans="1:41" x14ac:dyDescent="0.35">
      <c r="A1725" t="s">
        <v>283</v>
      </c>
      <c r="B1725" t="s">
        <v>231</v>
      </c>
      <c r="C1725" t="s">
        <v>1099</v>
      </c>
      <c r="D1725">
        <v>10</v>
      </c>
      <c r="E1725">
        <v>10</v>
      </c>
      <c r="F1725">
        <v>-0.5</v>
      </c>
      <c r="G1725">
        <v>-0.50021199999999999</v>
      </c>
      <c r="H1725">
        <v>30.284375000000001</v>
      </c>
      <c r="J1725">
        <v>-12197</v>
      </c>
      <c r="N1725" t="s">
        <v>197</v>
      </c>
      <c r="O1725">
        <f t="shared" si="78"/>
        <v>29.991520000000001</v>
      </c>
      <c r="P1725">
        <f t="shared" si="79"/>
        <v>0.36606874999999928</v>
      </c>
      <c r="Q1725">
        <f t="shared" si="80"/>
        <v>0.36606874999999928</v>
      </c>
      <c r="Y1725">
        <f>TREND(H1724:H1728,G1724:G1728,G1725)</f>
        <v>30.344694975157296</v>
      </c>
      <c r="Z1725">
        <f>ABS((Y1725-H1725)/80*100)</f>
        <v>7.5399968946618934E-2</v>
      </c>
      <c r="AB1725">
        <f>IF(ABS(T1724) &gt; ABS(V1724),T1724,V1724)</f>
        <v>0.76050625000000593</v>
      </c>
      <c r="AH1725">
        <f>H1725-AG1703</f>
        <v>30.078972500000003</v>
      </c>
      <c r="AI1725">
        <f>100*(AH1725-O1725)/80</f>
        <v>0.10931562500000158</v>
      </c>
      <c r="AN1725">
        <f>IF(ABS(AK1724) &gt; ABS(AM1724),AK1724,AM1724)</f>
        <v>0.50375312500001712</v>
      </c>
    </row>
    <row r="1726" spans="1:41" x14ac:dyDescent="0.35">
      <c r="A1726" t="s">
        <v>283</v>
      </c>
      <c r="B1726" t="s">
        <v>1111</v>
      </c>
      <c r="C1726" t="s">
        <v>1137</v>
      </c>
      <c r="D1726">
        <v>10</v>
      </c>
      <c r="E1726">
        <v>10</v>
      </c>
      <c r="F1726">
        <v>0</v>
      </c>
      <c r="G1726">
        <v>-9.1000000000000003E-5</v>
      </c>
      <c r="H1726">
        <v>50.271875000000001</v>
      </c>
      <c r="J1726">
        <v>-12184</v>
      </c>
      <c r="N1726" t="s">
        <v>197</v>
      </c>
      <c r="O1726">
        <f t="shared" si="78"/>
        <v>49.996360000000003</v>
      </c>
      <c r="P1726">
        <f t="shared" si="79"/>
        <v>0.34439374999999828</v>
      </c>
      <c r="Q1726">
        <f t="shared" si="80"/>
        <v>0.34439374999999828</v>
      </c>
      <c r="Y1726">
        <f>TREND(H1724:H1728,G1724:G1728,G1726)</f>
        <v>50.40199499650565</v>
      </c>
      <c r="Z1726">
        <f>ABS((Y1726-H1726)/80*100)</f>
        <v>0.1626499956320604</v>
      </c>
      <c r="AH1726">
        <f>H1726-AG1703</f>
        <v>50.066472500000003</v>
      </c>
      <c r="AI1726">
        <f>100*(AH1726-O1726)/80</f>
        <v>8.7640625000000583E-2</v>
      </c>
    </row>
    <row r="1727" spans="1:41" x14ac:dyDescent="0.35">
      <c r="A1727" t="s">
        <v>283</v>
      </c>
      <c r="B1727" t="s">
        <v>1111</v>
      </c>
      <c r="C1727" t="s">
        <v>1174</v>
      </c>
      <c r="D1727">
        <v>10</v>
      </c>
      <c r="E1727">
        <v>10</v>
      </c>
      <c r="F1727">
        <v>0.5</v>
      </c>
      <c r="G1727">
        <v>0.49988199999999999</v>
      </c>
      <c r="H1727">
        <v>70.4296875</v>
      </c>
      <c r="J1727">
        <v>-12184</v>
      </c>
      <c r="N1727" t="s">
        <v>197</v>
      </c>
      <c r="O1727">
        <f t="shared" si="78"/>
        <v>69.995279999999994</v>
      </c>
      <c r="P1727">
        <f t="shared" si="79"/>
        <v>0.54300937500000757</v>
      </c>
      <c r="Q1727">
        <f t="shared" si="80"/>
        <v>0.54300937500000757</v>
      </c>
      <c r="Y1727">
        <f>TREND(H1724:H1728,G1724:G1728,G1727)</f>
        <v>70.453359493444594</v>
      </c>
      <c r="Z1727">
        <f>ABS((Y1727-H1727)/80*100)</f>
        <v>2.9589991805742951E-2</v>
      </c>
      <c r="AH1727">
        <f>H1727-AG1703</f>
        <v>70.224285000000009</v>
      </c>
      <c r="AI1727">
        <f>100*(AH1727-O1727)/80</f>
        <v>0.28625625000001875</v>
      </c>
    </row>
    <row r="1728" spans="1:41" x14ac:dyDescent="0.35">
      <c r="A1728" t="s">
        <v>283</v>
      </c>
      <c r="B1728" t="s">
        <v>1111</v>
      </c>
      <c r="C1728" t="s">
        <v>1211</v>
      </c>
      <c r="D1728">
        <v>10</v>
      </c>
      <c r="E1728">
        <v>10</v>
      </c>
      <c r="F1728">
        <v>1</v>
      </c>
      <c r="G1728">
        <v>0.99986799999999998</v>
      </c>
      <c r="H1728">
        <v>90.603125000000006</v>
      </c>
      <c r="J1728">
        <v>-12178</v>
      </c>
      <c r="N1728" t="s">
        <v>197</v>
      </c>
      <c r="O1728">
        <f t="shared" si="78"/>
        <v>89.994720000000001</v>
      </c>
      <c r="P1728">
        <f t="shared" si="79"/>
        <v>0.76050625000000593</v>
      </c>
      <c r="Q1728">
        <f t="shared" si="80"/>
        <v>0.76050625000000593</v>
      </c>
      <c r="Y1728">
        <f>TREND(H1724:H1728,G1724:G1728,G1728)</f>
        <v>90.505245354014079</v>
      </c>
      <c r="Z1728">
        <f>ABS((Y1728-H1728)/80*100)</f>
        <v>0.1223495574824085</v>
      </c>
      <c r="AH1728">
        <f>H1728-AG1703</f>
        <v>90.397722500000015</v>
      </c>
      <c r="AI1728">
        <f>100*(AH1728-O1728)/80</f>
        <v>0.50375312500001712</v>
      </c>
    </row>
    <row r="1729" spans="1:41" x14ac:dyDescent="0.35">
      <c r="A1729" t="s">
        <v>283</v>
      </c>
      <c r="B1729" t="s">
        <v>1111</v>
      </c>
      <c r="C1729" t="s">
        <v>1247</v>
      </c>
      <c r="D1729">
        <v>10</v>
      </c>
      <c r="E1729">
        <v>10</v>
      </c>
      <c r="F1729">
        <v>0</v>
      </c>
      <c r="G1729">
        <v>1.7000000000000001E-4</v>
      </c>
      <c r="H1729">
        <v>50.274999999999999</v>
      </c>
      <c r="J1729">
        <v>-12172</v>
      </c>
      <c r="N1729" t="s">
        <v>197</v>
      </c>
      <c r="O1729">
        <f t="shared" si="78"/>
        <v>50.006799999999998</v>
      </c>
      <c r="P1729">
        <f t="shared" si="79"/>
        <v>0.33525000000000027</v>
      </c>
      <c r="Q1729">
        <f t="shared" si="80"/>
        <v>0.33525000000000027</v>
      </c>
      <c r="Y1729">
        <f>TREND(H1724:H1728,G1724:G1728,G1729)</f>
        <v>50.412462374011433</v>
      </c>
      <c r="Z1729">
        <f>ABS((Y1729-H1729)/80*100)</f>
        <v>0.17182796751429308</v>
      </c>
      <c r="AH1729">
        <f>H1729-AG1703</f>
        <v>50.0695975</v>
      </c>
      <c r="AI1729">
        <f>100*(AH1729-O1729)/80</f>
        <v>7.8496875000002575E-2</v>
      </c>
    </row>
    <row r="1730" spans="1:41" x14ac:dyDescent="0.35">
      <c r="A1730" t="s">
        <v>283</v>
      </c>
      <c r="B1730" t="s">
        <v>1111</v>
      </c>
      <c r="C1730" t="s">
        <v>1283</v>
      </c>
      <c r="D1730">
        <v>10</v>
      </c>
      <c r="E1730">
        <v>10</v>
      </c>
      <c r="F1730">
        <v>-1</v>
      </c>
      <c r="G1730">
        <v>-1.000284</v>
      </c>
      <c r="H1730">
        <v>10.2734375</v>
      </c>
      <c r="J1730">
        <v>-12161</v>
      </c>
      <c r="N1730" t="s">
        <v>197</v>
      </c>
      <c r="O1730">
        <f t="shared" si="78"/>
        <v>9.988640000000002</v>
      </c>
      <c r="P1730">
        <f t="shared" si="79"/>
        <v>0.35599687499999755</v>
      </c>
      <c r="Q1730">
        <f t="shared" si="80"/>
        <v>0.35599687499999755</v>
      </c>
      <c r="Y1730">
        <f>TREND(H1724:H1728,G1724:G1728,G1730)</f>
        <v>10.289360093647197</v>
      </c>
      <c r="Z1730">
        <f>ABS((Y1730-H1730)/80*100)</f>
        <v>1.9903242058996184E-2</v>
      </c>
      <c r="AH1730">
        <f>H1730-AG1703</f>
        <v>10.068035000000002</v>
      </c>
      <c r="AI1730">
        <f>100*(AH1730-O1730)/80</f>
        <v>9.9243749999999853E-2</v>
      </c>
    </row>
    <row r="1731" spans="1:41" x14ac:dyDescent="0.35">
      <c r="A1731" t="s">
        <v>283</v>
      </c>
      <c r="B1731" t="s">
        <v>1111</v>
      </c>
      <c r="C1731" t="s">
        <v>1320</v>
      </c>
      <c r="D1731">
        <v>25</v>
      </c>
      <c r="E1731">
        <v>25</v>
      </c>
      <c r="F1731">
        <v>-1</v>
      </c>
      <c r="G1731">
        <v>-1.0002610000000001</v>
      </c>
      <c r="H1731">
        <v>10.339062500000001</v>
      </c>
      <c r="J1731">
        <v>-6250</v>
      </c>
      <c r="N1731" t="s">
        <v>197</v>
      </c>
      <c r="O1731">
        <f t="shared" si="78"/>
        <v>9.9895599999999973</v>
      </c>
      <c r="P1731">
        <f t="shared" si="79"/>
        <v>0.43687812500000422</v>
      </c>
      <c r="Q1731">
        <f t="shared" si="80"/>
        <v>0.43687812500000422</v>
      </c>
      <c r="S1731">
        <v>50.284374999999997</v>
      </c>
      <c r="T1731">
        <v>0.36226874999999659</v>
      </c>
      <c r="U1731">
        <v>90.545312499999994</v>
      </c>
      <c r="V1731">
        <v>0.69884062499999899</v>
      </c>
      <c r="W1731">
        <v>80.206248474121097</v>
      </c>
      <c r="X1731">
        <f>(W1731-80)/80*100</f>
        <v>0.25781059265137074</v>
      </c>
      <c r="Y1731">
        <f>TREND(H1731:H1735,G1731:G1735,G1731)</f>
        <v>10.240259195174765</v>
      </c>
      <c r="Z1731">
        <f>ABS((Y1731-H1731)/80*100)</f>
        <v>0.12350413103154434</v>
      </c>
      <c r="AA1731">
        <f>MAX(Z1731:Z1735)</f>
        <v>0.12350413103154434</v>
      </c>
      <c r="AB1731">
        <f>IF(ABS(MAX(P1731:P1737)) &gt; ABS(MIN(P1731:P1737)),MAX(P1731:P1737), MIN(P1731:P1737))</f>
        <v>0.69884062499999899</v>
      </c>
      <c r="AC1731">
        <f>IF(ABS(AB1732)&gt;ABS(AB1731),AB1732,AB1731)</f>
        <v>0.69884062499999899</v>
      </c>
      <c r="AH1731">
        <f>H1731-AG1703</f>
        <v>10.133660000000003</v>
      </c>
      <c r="AI1731">
        <f>100*(AH1731-O1731)/80</f>
        <v>0.18012500000000653</v>
      </c>
      <c r="AJ1731">
        <v>50.078972499999999</v>
      </c>
      <c r="AK1731">
        <v>0.10551562499999889</v>
      </c>
      <c r="AL1731">
        <v>90.339910000000003</v>
      </c>
      <c r="AM1731">
        <v>0.44208750000001018</v>
      </c>
      <c r="AN1731">
        <f>IF(ABS(MAX(AI1731:AI1737)) &gt; ABS(MIN(AI1731:AI1737)),MAX(AI1731:AI1737), MIN(AI1731:AI1737))</f>
        <v>0.44208750000001018</v>
      </c>
      <c r="AO1731">
        <f>IF(ABS(AN1732)&gt;ABS(AN1731),AN1732,AN1731)</f>
        <v>0.44208750000001018</v>
      </c>
    </row>
    <row r="1732" spans="1:41" x14ac:dyDescent="0.35">
      <c r="A1732" t="s">
        <v>283</v>
      </c>
      <c r="B1732" t="s">
        <v>1111</v>
      </c>
      <c r="C1732" t="s">
        <v>1356</v>
      </c>
      <c r="D1732">
        <v>25</v>
      </c>
      <c r="E1732">
        <v>25</v>
      </c>
      <c r="F1732">
        <v>-0.5</v>
      </c>
      <c r="G1732">
        <v>-0.50018600000000002</v>
      </c>
      <c r="H1732">
        <v>30.229687500000001</v>
      </c>
      <c r="J1732">
        <v>-6239</v>
      </c>
      <c r="N1732" t="s">
        <v>197</v>
      </c>
      <c r="O1732">
        <f t="shared" si="78"/>
        <v>29.992559999999997</v>
      </c>
      <c r="P1732">
        <f t="shared" si="79"/>
        <v>0.29640937500000408</v>
      </c>
      <c r="Q1732">
        <f t="shared" si="80"/>
        <v>0.29640937500000408</v>
      </c>
      <c r="Y1732">
        <f>TREND(H1731:H1735,G1731:G1735,G1732)</f>
        <v>30.309247974026391</v>
      </c>
      <c r="Z1732">
        <f>ABS((Y1732-H1732)/80*100)</f>
        <v>9.9450592532988061E-2</v>
      </c>
      <c r="AB1732">
        <f>IF(ABS(T1731) &gt; ABS(V1731),T1731,V1731)</f>
        <v>0.69884062499999899</v>
      </c>
      <c r="AH1732">
        <f>H1732-AG1703</f>
        <v>30.024285000000003</v>
      </c>
      <c r="AI1732">
        <f>100*(AH1732-O1732)/80</f>
        <v>3.9656250000006388E-2</v>
      </c>
      <c r="AN1732">
        <f>IF(ABS(AK1731) &gt; ABS(AM1731),AK1731,AM1731)</f>
        <v>0.44208750000001018</v>
      </c>
    </row>
    <row r="1733" spans="1:41" x14ac:dyDescent="0.35">
      <c r="A1733" t="s">
        <v>283</v>
      </c>
      <c r="B1733" t="s">
        <v>1111</v>
      </c>
      <c r="C1733" t="s">
        <v>1393</v>
      </c>
      <c r="D1733">
        <v>25</v>
      </c>
      <c r="E1733">
        <v>25</v>
      </c>
      <c r="F1733">
        <v>0</v>
      </c>
      <c r="G1733">
        <v>-1.36E-4</v>
      </c>
      <c r="H1733">
        <v>50.284374999999997</v>
      </c>
      <c r="J1733">
        <v>-6224</v>
      </c>
      <c r="N1733" t="s">
        <v>197</v>
      </c>
      <c r="O1733">
        <f t="shared" si="78"/>
        <v>49.99456</v>
      </c>
      <c r="P1733">
        <f t="shared" si="79"/>
        <v>0.36226874999999659</v>
      </c>
      <c r="Q1733">
        <f t="shared" si="80"/>
        <v>0.36226874999999659</v>
      </c>
      <c r="Y1733">
        <f>TREND(H1731:H1735,G1731:G1735,G1733)</f>
        <v>50.377233453933918</v>
      </c>
      <c r="Z1733">
        <f>ABS((Y1733-H1733)/80*100)</f>
        <v>0.11607306741740152</v>
      </c>
      <c r="AH1733">
        <f>H1733-AG1703</f>
        <v>50.078972499999999</v>
      </c>
      <c r="AI1733">
        <f>100*(AH1733-O1733)/80</f>
        <v>0.10551562499999889</v>
      </c>
    </row>
    <row r="1734" spans="1:41" x14ac:dyDescent="0.35">
      <c r="A1734" t="s">
        <v>283</v>
      </c>
      <c r="B1734" t="s">
        <v>1111</v>
      </c>
      <c r="C1734" t="s">
        <v>1430</v>
      </c>
      <c r="D1734">
        <v>25</v>
      </c>
      <c r="E1734">
        <v>25</v>
      </c>
      <c r="F1734">
        <v>0.5</v>
      </c>
      <c r="G1734">
        <v>0.49981300000000001</v>
      </c>
      <c r="H1734">
        <v>70.470312500000006</v>
      </c>
      <c r="J1734">
        <v>-6222</v>
      </c>
      <c r="N1734" t="s">
        <v>197</v>
      </c>
      <c r="O1734">
        <f t="shared" si="78"/>
        <v>69.992519999999999</v>
      </c>
      <c r="P1734">
        <f t="shared" si="79"/>
        <v>0.59724062500000841</v>
      </c>
      <c r="Q1734">
        <f t="shared" si="80"/>
        <v>0.59724062500000841</v>
      </c>
      <c r="Y1734">
        <f>TREND(H1731:H1735,G1731:G1735,G1734)</f>
        <v>70.441165606107276</v>
      </c>
      <c r="Z1734">
        <f>ABS((Y1734-H1734)/80*100)</f>
        <v>3.6433617365911886E-2</v>
      </c>
      <c r="AH1734">
        <f>H1734-AG1703</f>
        <v>70.264910000000015</v>
      </c>
      <c r="AI1734">
        <f>100*(AH1734-O1734)/80</f>
        <v>0.34048750000001959</v>
      </c>
    </row>
    <row r="1735" spans="1:41" x14ac:dyDescent="0.35">
      <c r="A1735" t="s">
        <v>283</v>
      </c>
      <c r="B1735" t="s">
        <v>1111</v>
      </c>
      <c r="C1735" t="s">
        <v>1466</v>
      </c>
      <c r="D1735">
        <v>25</v>
      </c>
      <c r="E1735">
        <v>25</v>
      </c>
      <c r="F1735">
        <v>1</v>
      </c>
      <c r="G1735">
        <v>0.99965599999999999</v>
      </c>
      <c r="H1735">
        <v>90.545312499999994</v>
      </c>
      <c r="J1735">
        <v>-6214</v>
      </c>
      <c r="N1735" t="s">
        <v>197</v>
      </c>
      <c r="O1735">
        <f t="shared" si="78"/>
        <v>89.986239999999995</v>
      </c>
      <c r="P1735">
        <f t="shared" si="79"/>
        <v>0.69884062499999899</v>
      </c>
      <c r="Q1735">
        <f t="shared" si="80"/>
        <v>0.69884062499999899</v>
      </c>
      <c r="Y1735">
        <f>TREND(H1731:H1735,G1731:G1735,G1735)</f>
        <v>90.500843770757641</v>
      </c>
      <c r="Z1735">
        <f>ABS((Y1735-H1735)/80*100)</f>
        <v>5.5585911552942228E-2</v>
      </c>
      <c r="AH1735">
        <f>H1735-AG1703</f>
        <v>90.339910000000003</v>
      </c>
      <c r="AI1735">
        <f>100*(AH1735-O1735)/80</f>
        <v>0.44208750000001018</v>
      </c>
    </row>
    <row r="1736" spans="1:41" x14ac:dyDescent="0.35">
      <c r="A1736" t="s">
        <v>283</v>
      </c>
      <c r="B1736" t="s">
        <v>1111</v>
      </c>
      <c r="C1736" t="s">
        <v>1503</v>
      </c>
      <c r="D1736">
        <v>25</v>
      </c>
      <c r="E1736">
        <v>25</v>
      </c>
      <c r="F1736">
        <v>0</v>
      </c>
      <c r="G1736">
        <v>-1.75E-4</v>
      </c>
      <c r="H1736">
        <v>50.3203125</v>
      </c>
      <c r="J1736">
        <v>-6205</v>
      </c>
      <c r="N1736" t="s">
        <v>197</v>
      </c>
      <c r="O1736">
        <f t="shared" si="78"/>
        <v>49.992999999999995</v>
      </c>
      <c r="P1736">
        <f t="shared" si="79"/>
        <v>0.40914062500000625</v>
      </c>
      <c r="Q1736">
        <f t="shared" si="80"/>
        <v>0.40914062500000625</v>
      </c>
      <c r="Y1736">
        <f>TREND(H1731:H1735,G1731:G1735,G1736)</f>
        <v>50.375668307581122</v>
      </c>
      <c r="Z1736">
        <f>ABS((Y1736-H1736)/80*100)</f>
        <v>6.9194759476403078E-2</v>
      </c>
      <c r="AH1736">
        <f>H1736-AG1703</f>
        <v>50.114910000000002</v>
      </c>
      <c r="AI1736">
        <f>100*(AH1736-O1736)/80</f>
        <v>0.15238750000000856</v>
      </c>
    </row>
    <row r="1737" spans="1:41" x14ac:dyDescent="0.35">
      <c r="A1737" t="s">
        <v>283</v>
      </c>
      <c r="B1737" t="s">
        <v>1111</v>
      </c>
      <c r="C1737" t="s">
        <v>1540</v>
      </c>
      <c r="D1737">
        <v>25</v>
      </c>
      <c r="E1737">
        <v>25</v>
      </c>
      <c r="F1737">
        <v>-1</v>
      </c>
      <c r="G1737">
        <v>-1.0000519999999999</v>
      </c>
      <c r="H1737">
        <v>10.2984375</v>
      </c>
      <c r="J1737">
        <v>-6205</v>
      </c>
      <c r="N1737" t="s">
        <v>197</v>
      </c>
      <c r="O1737">
        <f t="shared" ref="O1737:O1800" si="81">(((G1737--1)*(40))+10)</f>
        <v>9.9979200000000024</v>
      </c>
      <c r="P1737">
        <f t="shared" ref="P1737:P1800" si="82">100*(H1737-O1737)/80</f>
        <v>0.37564687499999749</v>
      </c>
      <c r="Q1737">
        <f t="shared" ref="Q1737:Q1800" si="83">ABS(P1737)</f>
        <v>0.37564687499999749</v>
      </c>
      <c r="Y1737">
        <f>TREND(H1731:H1735,G1731:G1735,G1737)</f>
        <v>10.248646774347456</v>
      </c>
      <c r="Z1737">
        <f>ABS((Y1737-H1737)/80*100)</f>
        <v>6.2238407065680061E-2</v>
      </c>
      <c r="AH1737">
        <f>H1737-AG1703</f>
        <v>10.093035000000002</v>
      </c>
      <c r="AI1737">
        <f>100*(AH1737-O1737)/80</f>
        <v>0.1188937499999998</v>
      </c>
    </row>
    <row r="1738" spans="1:41" x14ac:dyDescent="0.35">
      <c r="A1738" t="s">
        <v>283</v>
      </c>
      <c r="B1738" t="s">
        <v>1111</v>
      </c>
      <c r="C1738" t="s">
        <v>1577</v>
      </c>
      <c r="D1738">
        <v>50</v>
      </c>
      <c r="E1738">
        <v>50</v>
      </c>
      <c r="F1738">
        <v>-1</v>
      </c>
      <c r="G1738">
        <v>-1.0003649999999999</v>
      </c>
      <c r="H1738">
        <v>10.3</v>
      </c>
      <c r="J1738">
        <v>3615</v>
      </c>
      <c r="N1738" t="s">
        <v>197</v>
      </c>
      <c r="O1738">
        <f t="shared" si="81"/>
        <v>9.9854000000000021</v>
      </c>
      <c r="P1738">
        <f t="shared" si="82"/>
        <v>0.39324999999999832</v>
      </c>
      <c r="Q1738">
        <f t="shared" si="83"/>
        <v>0.39324999999999832</v>
      </c>
      <c r="S1738">
        <v>50.2890625</v>
      </c>
      <c r="T1738">
        <v>0.37737812499999634</v>
      </c>
      <c r="U1738">
        <v>90.373437499999994</v>
      </c>
      <c r="V1738">
        <v>0.47189687499999522</v>
      </c>
      <c r="W1738">
        <v>80.073435974121097</v>
      </c>
      <c r="X1738">
        <f>(W1738-80)/80*100</f>
        <v>9.179496765137074E-2</v>
      </c>
      <c r="Y1738">
        <f>TREND(H1738:H1742,G1738:G1742,G1738)</f>
        <v>10.248667228136725</v>
      </c>
      <c r="Z1738">
        <f>ABS((Y1738-H1738)/80*100)</f>
        <v>6.4165964829094868E-2</v>
      </c>
      <c r="AA1738">
        <f>MAX(Z1738:Z1742)</f>
        <v>0.10349911764967247</v>
      </c>
      <c r="AB1738">
        <f>IF(ABS(MAX(P1738:P1744)) &gt; ABS(MIN(P1738:P1744)),MAX(P1738:P1744), MIN(P1738:P1744))</f>
        <v>0.56534687499999237</v>
      </c>
      <c r="AC1738">
        <f>IF(ABS(AB1739)&gt;ABS(AB1738),AB1739,AB1738)</f>
        <v>0.56534687499999237</v>
      </c>
      <c r="AH1738">
        <f>H1738-AG1703</f>
        <v>10.094597500000003</v>
      </c>
      <c r="AI1738">
        <f>100*(AH1738-O1738)/80</f>
        <v>0.13649687500000063</v>
      </c>
      <c r="AJ1738">
        <v>50.083660000000002</v>
      </c>
      <c r="AK1738">
        <v>0.12062499999999865</v>
      </c>
      <c r="AL1738">
        <v>90.168035000000003</v>
      </c>
      <c r="AM1738">
        <v>0.21514375000000641</v>
      </c>
      <c r="AN1738">
        <f>IF(ABS(MAX(AI1738:AI1744)) &gt; ABS(MIN(AI1738:AI1744)),MAX(AI1738:AI1744), MIN(AI1738:AI1744))</f>
        <v>0.30859374999998579</v>
      </c>
      <c r="AO1738">
        <f>IF(ABS(AN1739)&gt;ABS(AN1738),AN1739,AN1738)</f>
        <v>0.30859374999998579</v>
      </c>
    </row>
    <row r="1739" spans="1:41" x14ac:dyDescent="0.35">
      <c r="A1739" t="s">
        <v>283</v>
      </c>
      <c r="B1739" t="s">
        <v>1111</v>
      </c>
      <c r="C1739" t="s">
        <v>1613</v>
      </c>
      <c r="D1739">
        <v>50</v>
      </c>
      <c r="E1739">
        <v>50</v>
      </c>
      <c r="F1739">
        <v>-0.5</v>
      </c>
      <c r="G1739">
        <v>-0.499977</v>
      </c>
      <c r="H1739">
        <v>30.225000000000001</v>
      </c>
      <c r="J1739">
        <v>3638</v>
      </c>
      <c r="N1739" t="s">
        <v>197</v>
      </c>
      <c r="O1739">
        <f t="shared" si="81"/>
        <v>30.000920000000001</v>
      </c>
      <c r="P1739">
        <f t="shared" si="82"/>
        <v>0.2801000000000009</v>
      </c>
      <c r="Q1739">
        <f t="shared" si="83"/>
        <v>0.2801000000000009</v>
      </c>
      <c r="Y1739">
        <f>TREND(H1738:H1742,G1738:G1742,G1739)</f>
        <v>30.299612007780325</v>
      </c>
      <c r="Z1739">
        <f>ABS((Y1739-H1739)/80*100)</f>
        <v>9.3265009725405079E-2</v>
      </c>
      <c r="AB1739">
        <f>IF(ABS(T1738) &gt; ABS(V1738),T1738,V1738)</f>
        <v>0.47189687499999522</v>
      </c>
      <c r="AH1739">
        <f>H1739-AG1703</f>
        <v>30.019597500000003</v>
      </c>
      <c r="AI1739">
        <f>100*(AH1739-O1739)/80</f>
        <v>2.3346875000003209E-2</v>
      </c>
      <c r="AN1739">
        <f>IF(ABS(AK1738) &gt; ABS(AM1738),AK1738,AM1738)</f>
        <v>0.21514375000000641</v>
      </c>
    </row>
    <row r="1740" spans="1:41" x14ac:dyDescent="0.35">
      <c r="A1740" t="s">
        <v>283</v>
      </c>
      <c r="B1740" t="s">
        <v>1111</v>
      </c>
      <c r="C1740" t="s">
        <v>1650</v>
      </c>
      <c r="D1740">
        <v>50</v>
      </c>
      <c r="E1740">
        <v>50</v>
      </c>
      <c r="F1740">
        <v>0</v>
      </c>
      <c r="G1740">
        <v>-3.21E-4</v>
      </c>
      <c r="H1740">
        <v>50.2890625</v>
      </c>
      <c r="J1740">
        <v>3663</v>
      </c>
      <c r="N1740" t="s">
        <v>197</v>
      </c>
      <c r="O1740">
        <f t="shared" si="81"/>
        <v>49.987160000000003</v>
      </c>
      <c r="P1740">
        <f t="shared" si="82"/>
        <v>0.37737812499999634</v>
      </c>
      <c r="Q1740">
        <f t="shared" si="83"/>
        <v>0.37737812499999634</v>
      </c>
      <c r="Y1740">
        <f>TREND(H1738:H1742,G1738:G1742,G1740)</f>
        <v>50.321224965760145</v>
      </c>
      <c r="Z1740">
        <f>ABS((Y1740-H1740)/80*100)</f>
        <v>4.0203082200180873E-2</v>
      </c>
      <c r="AH1740">
        <f>H1740-AG1703</f>
        <v>50.083660000000002</v>
      </c>
      <c r="AI1740">
        <f>100*(AH1740-O1740)/80</f>
        <v>0.12062499999999865</v>
      </c>
    </row>
    <row r="1741" spans="1:41" x14ac:dyDescent="0.35">
      <c r="A1741" t="s">
        <v>283</v>
      </c>
      <c r="B1741" t="s">
        <v>1111</v>
      </c>
      <c r="C1741" t="s">
        <v>1687</v>
      </c>
      <c r="D1741">
        <v>50</v>
      </c>
      <c r="E1741">
        <v>50</v>
      </c>
      <c r="F1741">
        <v>0.5</v>
      </c>
      <c r="G1741">
        <v>0.49990400000000002</v>
      </c>
      <c r="H1741">
        <v>70.448437499999997</v>
      </c>
      <c r="J1741">
        <v>3682</v>
      </c>
      <c r="N1741" t="s">
        <v>197</v>
      </c>
      <c r="O1741">
        <f t="shared" si="81"/>
        <v>69.996160000000003</v>
      </c>
      <c r="P1741">
        <f t="shared" si="82"/>
        <v>0.56534687499999237</v>
      </c>
      <c r="Q1741">
        <f t="shared" si="83"/>
        <v>0.56534687499999237</v>
      </c>
      <c r="Y1741">
        <f>TREND(H1738:H1742,G1738:G1742,G1741)</f>
        <v>70.365638205880259</v>
      </c>
      <c r="Z1741">
        <f>ABS((Y1741-H1741)/80*100)</f>
        <v>0.10349911764967247</v>
      </c>
      <c r="AH1741">
        <f>H1741-AG1703</f>
        <v>70.243034999999992</v>
      </c>
      <c r="AI1741">
        <f>100*(AH1741-O1741)/80</f>
        <v>0.30859374999998579</v>
      </c>
    </row>
    <row r="1742" spans="1:41" x14ac:dyDescent="0.35">
      <c r="A1742" t="s">
        <v>283</v>
      </c>
      <c r="B1742" t="s">
        <v>1111</v>
      </c>
      <c r="C1742" t="s">
        <v>1723</v>
      </c>
      <c r="D1742">
        <v>50</v>
      </c>
      <c r="E1742">
        <v>50</v>
      </c>
      <c r="F1742">
        <v>1</v>
      </c>
      <c r="G1742">
        <v>0.99989799999999995</v>
      </c>
      <c r="H1742">
        <v>90.373437499999994</v>
      </c>
      <c r="J1742">
        <v>3697</v>
      </c>
      <c r="N1742" t="s">
        <v>197</v>
      </c>
      <c r="O1742">
        <f t="shared" si="81"/>
        <v>89.995919999999998</v>
      </c>
      <c r="P1742">
        <f t="shared" si="82"/>
        <v>0.47189687499999522</v>
      </c>
      <c r="Q1742">
        <f t="shared" si="83"/>
        <v>0.47189687499999522</v>
      </c>
      <c r="Y1742">
        <f>TREND(H1738:H1742,G1738:G1742,G1742)</f>
        <v>90.400795092442536</v>
      </c>
      <c r="Z1742">
        <f>ABS((Y1742-H1742)/80*100)</f>
        <v>3.4196990553176931E-2</v>
      </c>
      <c r="AH1742">
        <f>H1742-AG1703</f>
        <v>90.168035000000003</v>
      </c>
      <c r="AI1742">
        <f>100*(AH1742-O1742)/80</f>
        <v>0.21514375000000641</v>
      </c>
    </row>
    <row r="1743" spans="1:41" x14ac:dyDescent="0.35">
      <c r="A1743" t="s">
        <v>283</v>
      </c>
      <c r="B1743" t="s">
        <v>1111</v>
      </c>
      <c r="C1743" t="s">
        <v>1760</v>
      </c>
      <c r="D1743">
        <v>50</v>
      </c>
      <c r="E1743">
        <v>50</v>
      </c>
      <c r="F1743">
        <v>0</v>
      </c>
      <c r="G1743">
        <v>-6.9999999999999994E-5</v>
      </c>
      <c r="H1743">
        <v>50.293750000000003</v>
      </c>
      <c r="J1743">
        <v>3718</v>
      </c>
      <c r="N1743" t="s">
        <v>197</v>
      </c>
      <c r="O1743">
        <f t="shared" si="81"/>
        <v>49.997199999999999</v>
      </c>
      <c r="P1743">
        <f t="shared" si="82"/>
        <v>0.37068750000000428</v>
      </c>
      <c r="Q1743">
        <f t="shared" si="83"/>
        <v>0.37068750000000428</v>
      </c>
      <c r="Y1743">
        <f>TREND(H1738:H1742,G1738:G1742,G1743)</f>
        <v>50.331282735210429</v>
      </c>
      <c r="Z1743">
        <f>ABS((Y1743-H1743)/80*100)</f>
        <v>4.6915919013033047E-2</v>
      </c>
      <c r="AH1743">
        <f>H1743-AG1703</f>
        <v>50.088347500000005</v>
      </c>
      <c r="AI1743">
        <f>100*(AH1743-O1743)/80</f>
        <v>0.11393437500000658</v>
      </c>
    </row>
    <row r="1744" spans="1:41" x14ac:dyDescent="0.35">
      <c r="A1744" t="s">
        <v>283</v>
      </c>
      <c r="B1744" t="s">
        <v>1111</v>
      </c>
      <c r="C1744" t="s">
        <v>1797</v>
      </c>
      <c r="D1744">
        <v>50</v>
      </c>
      <c r="E1744">
        <v>50</v>
      </c>
      <c r="F1744">
        <v>-1</v>
      </c>
      <c r="G1744">
        <v>-1.000051</v>
      </c>
      <c r="H1744">
        <v>10.3265625</v>
      </c>
      <c r="J1744">
        <v>3730</v>
      </c>
      <c r="N1744" t="s">
        <v>197</v>
      </c>
      <c r="O1744">
        <f t="shared" si="81"/>
        <v>9.9979599999999991</v>
      </c>
      <c r="P1744">
        <f t="shared" si="82"/>
        <v>0.41075312500000072</v>
      </c>
      <c r="Q1744">
        <f t="shared" si="83"/>
        <v>0.41075312500000072</v>
      </c>
      <c r="Y1744">
        <f>TREND(H1738:H1742,G1738:G1742,G1744)</f>
        <v>10.26124945764824</v>
      </c>
      <c r="Z1744">
        <f>ABS((Y1744-H1744)/80*100)</f>
        <v>8.1641302939698956E-2</v>
      </c>
      <c r="AH1744">
        <f>H1744-AG1703</f>
        <v>10.121160000000001</v>
      </c>
      <c r="AI1744">
        <f>100*(AH1744-O1744)/80</f>
        <v>0.15400000000000302</v>
      </c>
    </row>
    <row r="1745" spans="1:41" x14ac:dyDescent="0.35">
      <c r="A1745" t="s">
        <v>283</v>
      </c>
      <c r="B1745" t="s">
        <v>1111</v>
      </c>
      <c r="C1745" t="s">
        <v>1834</v>
      </c>
      <c r="D1745">
        <v>70</v>
      </c>
      <c r="E1745">
        <v>70</v>
      </c>
      <c r="F1745">
        <v>-1</v>
      </c>
      <c r="G1745">
        <v>-1.0002</v>
      </c>
      <c r="H1745">
        <v>10.410937499999999</v>
      </c>
      <c r="J1745">
        <v>11650</v>
      </c>
      <c r="N1745" t="s">
        <v>197</v>
      </c>
      <c r="O1745">
        <f t="shared" si="81"/>
        <v>9.9920000000000009</v>
      </c>
      <c r="P1745">
        <f t="shared" si="82"/>
        <v>0.52367187499999801</v>
      </c>
      <c r="Q1745">
        <f t="shared" si="83"/>
        <v>0.52367187499999801</v>
      </c>
      <c r="S1745">
        <v>50.34375</v>
      </c>
      <c r="T1745">
        <v>0.43813749999999985</v>
      </c>
      <c r="U1745">
        <v>90.2734375</v>
      </c>
      <c r="V1745">
        <v>0.33514687500000306</v>
      </c>
      <c r="W1745">
        <v>79.862499999999997</v>
      </c>
      <c r="X1745">
        <f>(W1745-80)/80*100</f>
        <v>-0.17187500000000355</v>
      </c>
      <c r="Y1745">
        <f>TREND(H1745:H1749,G1745:G1749,G1745)</f>
        <v>10.378617916687176</v>
      </c>
      <c r="Z1745">
        <f>ABS((Y1745-H1745)/80*100)</f>
        <v>4.0399479141028927E-2</v>
      </c>
      <c r="AA1745">
        <f>MAX(Z1745:Z1749)</f>
        <v>8.3854010323651806E-2</v>
      </c>
      <c r="AB1745">
        <f>IF(ABS(MAX(P1745:P1751)) &gt; ABS(MIN(P1745:P1751)),MAX(P1745:P1751), MIN(P1745:P1751))</f>
        <v>0.52367187499999801</v>
      </c>
      <c r="AC1745">
        <f>IF(ABS(AB1746)&gt;ABS(AB1745),AB1746,AB1745)</f>
        <v>0.52367187499999801</v>
      </c>
      <c r="AH1745">
        <f>H1745-AG1703</f>
        <v>10.205535000000001</v>
      </c>
      <c r="AI1745">
        <f>100*(AH1745-O1745)/80</f>
        <v>0.26691875000000032</v>
      </c>
      <c r="AJ1745">
        <v>50.138347500000002</v>
      </c>
      <c r="AK1745">
        <v>0.18138437500000215</v>
      </c>
      <c r="AL1745">
        <v>90.068035000000009</v>
      </c>
      <c r="AM1745">
        <v>7.8393750000014251E-2</v>
      </c>
      <c r="AN1745">
        <f>IF(ABS(MAX(AI1745:AI1751)) &gt; ABS(MIN(AI1745:AI1751)),MAX(AI1745:AI1751), MIN(AI1745:AI1751))</f>
        <v>0.26691875000000032</v>
      </c>
      <c r="AO1745">
        <f>IF(ABS(AN1746)&gt;ABS(AN1745),AN1746,AN1745)</f>
        <v>0.26691875000000032</v>
      </c>
    </row>
    <row r="1746" spans="1:41" x14ac:dyDescent="0.35">
      <c r="A1746" t="s">
        <v>283</v>
      </c>
      <c r="B1746" t="s">
        <v>1111</v>
      </c>
      <c r="C1746" t="s">
        <v>1871</v>
      </c>
      <c r="D1746">
        <v>70</v>
      </c>
      <c r="E1746">
        <v>70</v>
      </c>
      <c r="F1746">
        <v>-0.5</v>
      </c>
      <c r="G1746">
        <v>-0.50015799999999999</v>
      </c>
      <c r="H1746">
        <v>30.290624999999999</v>
      </c>
      <c r="J1746">
        <v>11673</v>
      </c>
      <c r="N1746" t="s">
        <v>197</v>
      </c>
      <c r="O1746">
        <f t="shared" si="81"/>
        <v>29.993680000000001</v>
      </c>
      <c r="P1746">
        <f t="shared" si="82"/>
        <v>0.37118124999999669</v>
      </c>
      <c r="Q1746">
        <f t="shared" si="83"/>
        <v>0.37118124999999669</v>
      </c>
      <c r="Y1746">
        <f>TREND(H1745:H1749,G1745:G1749,G1746)</f>
        <v>30.35770820825892</v>
      </c>
      <c r="Z1746">
        <f>ABS((Y1746-H1746)/80*100)</f>
        <v>8.3854010323651806E-2</v>
      </c>
      <c r="AB1746">
        <f>IF(ABS(T1745) &gt; ABS(V1745),T1745,V1745)</f>
        <v>0.43813749999999985</v>
      </c>
      <c r="AH1746">
        <f>H1746-AG1703</f>
        <v>30.0852225</v>
      </c>
      <c r="AI1746">
        <f>100*(AH1746-O1746)/80</f>
        <v>0.11442812499999899</v>
      </c>
      <c r="AN1746">
        <f>IF(ABS(AK1745) &gt; ABS(AM1745),AK1745,AM1745)</f>
        <v>0.18138437500000215</v>
      </c>
    </row>
    <row r="1747" spans="1:41" x14ac:dyDescent="0.35">
      <c r="A1747" t="s">
        <v>283</v>
      </c>
      <c r="B1747" t="s">
        <v>1111</v>
      </c>
      <c r="C1747" t="s">
        <v>1907</v>
      </c>
      <c r="D1747">
        <v>70</v>
      </c>
      <c r="E1747">
        <v>70</v>
      </c>
      <c r="F1747">
        <v>0</v>
      </c>
      <c r="G1747">
        <v>-1.6899999999999999E-4</v>
      </c>
      <c r="H1747">
        <v>50.34375</v>
      </c>
      <c r="J1747">
        <v>11698</v>
      </c>
      <c r="N1747" t="s">
        <v>197</v>
      </c>
      <c r="O1747">
        <f t="shared" si="81"/>
        <v>49.99324</v>
      </c>
      <c r="P1747">
        <f t="shared" si="82"/>
        <v>0.43813749999999985</v>
      </c>
      <c r="Q1747">
        <f t="shared" si="83"/>
        <v>0.43813749999999985</v>
      </c>
      <c r="Y1747">
        <f>TREND(H1745:H1749,G1745:G1749,G1747)</f>
        <v>50.334680894138636</v>
      </c>
      <c r="Z1747">
        <f>ABS((Y1747-H1747)/80*100)</f>
        <v>1.1336382326705419E-2</v>
      </c>
      <c r="AH1747">
        <f>H1747-AG1703</f>
        <v>50.138347500000002</v>
      </c>
      <c r="AI1747">
        <f>100*(AH1747-O1747)/80</f>
        <v>0.18138437500000215</v>
      </c>
    </row>
    <row r="1748" spans="1:41" x14ac:dyDescent="0.35">
      <c r="A1748" t="s">
        <v>283</v>
      </c>
      <c r="B1748" t="s">
        <v>1111</v>
      </c>
      <c r="C1748" t="s">
        <v>1944</v>
      </c>
      <c r="D1748">
        <v>70</v>
      </c>
      <c r="E1748">
        <v>70</v>
      </c>
      <c r="F1748">
        <v>0.5</v>
      </c>
      <c r="G1748">
        <v>0.49997999999999998</v>
      </c>
      <c r="H1748">
        <v>70.371875000000003</v>
      </c>
      <c r="J1748">
        <v>11709</v>
      </c>
      <c r="N1748" t="s">
        <v>197</v>
      </c>
      <c r="O1748">
        <f t="shared" si="81"/>
        <v>69.999200000000002</v>
      </c>
      <c r="P1748">
        <f t="shared" si="82"/>
        <v>0.46584375000000122</v>
      </c>
      <c r="Q1748">
        <f t="shared" si="83"/>
        <v>0.46584375000000122</v>
      </c>
      <c r="Y1748">
        <f>TREND(H1745:H1749,G1745:G1749,G1748)</f>
        <v>70.318046351918809</v>
      </c>
      <c r="Z1748">
        <f>ABS((Y1748-H1748)/80*100)</f>
        <v>6.7285810101491705E-2</v>
      </c>
      <c r="AH1748">
        <f>H1748-AG1703</f>
        <v>70.166472499999998</v>
      </c>
      <c r="AI1748">
        <f>100*(AH1748-O1748)/80</f>
        <v>0.20909062499999465</v>
      </c>
    </row>
    <row r="1749" spans="1:41" x14ac:dyDescent="0.35">
      <c r="A1749" t="s">
        <v>283</v>
      </c>
      <c r="B1749" t="s">
        <v>1111</v>
      </c>
      <c r="C1749" t="s">
        <v>1980</v>
      </c>
      <c r="D1749">
        <v>70</v>
      </c>
      <c r="E1749">
        <v>70</v>
      </c>
      <c r="F1749">
        <v>1</v>
      </c>
      <c r="G1749">
        <v>1.0001329999999999</v>
      </c>
      <c r="H1749">
        <v>90.2734375</v>
      </c>
      <c r="J1749">
        <v>11726</v>
      </c>
      <c r="N1749" t="s">
        <v>197</v>
      </c>
      <c r="O1749">
        <f t="shared" si="81"/>
        <v>90.005319999999998</v>
      </c>
      <c r="P1749">
        <f t="shared" si="82"/>
        <v>0.33514687500000306</v>
      </c>
      <c r="Q1749">
        <f t="shared" si="83"/>
        <v>0.33514687500000306</v>
      </c>
      <c r="Y1749">
        <f>TREND(H1745:H1749,G1745:G1749,G1749)</f>
        <v>90.301571628996498</v>
      </c>
      <c r="Z1749">
        <f>ABS((Y1749-H1749)/80*100)</f>
        <v>3.5167661245623094E-2</v>
      </c>
      <c r="AH1749">
        <f>H1749-AG1703</f>
        <v>90.068035000000009</v>
      </c>
      <c r="AI1749">
        <f>100*(AH1749-O1749)/80</f>
        <v>7.8393750000014251E-2</v>
      </c>
    </row>
    <row r="1750" spans="1:41" x14ac:dyDescent="0.35">
      <c r="A1750" t="s">
        <v>283</v>
      </c>
      <c r="B1750" t="s">
        <v>1111</v>
      </c>
      <c r="C1750" t="s">
        <v>2017</v>
      </c>
      <c r="D1750">
        <v>70</v>
      </c>
      <c r="E1750">
        <v>70</v>
      </c>
      <c r="F1750">
        <v>0</v>
      </c>
      <c r="G1750">
        <v>-3.1000000000000001E-5</v>
      </c>
      <c r="H1750">
        <v>50.307812499999997</v>
      </c>
      <c r="J1750">
        <v>11747</v>
      </c>
      <c r="N1750" t="s">
        <v>197</v>
      </c>
      <c r="O1750">
        <f t="shared" si="81"/>
        <v>49.998759999999997</v>
      </c>
      <c r="P1750">
        <f t="shared" si="82"/>
        <v>0.38631562499999994</v>
      </c>
      <c r="Q1750">
        <f t="shared" si="83"/>
        <v>0.38631562499999994</v>
      </c>
      <c r="Y1750">
        <f>TREND(H1745:H1749,G1745:G1749,G1750)</f>
        <v>50.340194659902785</v>
      </c>
      <c r="Z1750">
        <f>ABS((Y1750-H1750)/80*100)</f>
        <v>4.0477699878485041E-2</v>
      </c>
      <c r="AH1750">
        <f>H1750-AG1703</f>
        <v>50.102409999999999</v>
      </c>
      <c r="AI1750">
        <f>100*(AH1750-O1750)/80</f>
        <v>0.12956250000000225</v>
      </c>
    </row>
    <row r="1751" spans="1:41" x14ac:dyDescent="0.35">
      <c r="A1751" t="s">
        <v>283</v>
      </c>
      <c r="B1751" t="s">
        <v>1111</v>
      </c>
      <c r="C1751" t="s">
        <v>2053</v>
      </c>
      <c r="D1751">
        <v>70</v>
      </c>
      <c r="E1751">
        <v>70</v>
      </c>
      <c r="F1751">
        <v>-1</v>
      </c>
      <c r="G1751">
        <v>-1.0000770000000001</v>
      </c>
      <c r="H1751">
        <v>10.3734375</v>
      </c>
      <c r="J1751">
        <v>11755</v>
      </c>
      <c r="N1751" t="s">
        <v>197</v>
      </c>
      <c r="O1751">
        <f t="shared" si="81"/>
        <v>9.9969199999999958</v>
      </c>
      <c r="P1751">
        <f t="shared" si="82"/>
        <v>0.47064687500000479</v>
      </c>
      <c r="Q1751">
        <f t="shared" si="83"/>
        <v>0.47064687500000479</v>
      </c>
      <c r="Y1751">
        <f>TREND(H1745:H1749,G1745:G1749,G1751)</f>
        <v>10.383532360085653</v>
      </c>
      <c r="Z1751">
        <f>ABS((Y1751-H1751)/80*100)</f>
        <v>1.2618575107066212E-2</v>
      </c>
      <c r="AH1751">
        <f>H1751-AG1703</f>
        <v>10.168035000000001</v>
      </c>
      <c r="AI1751">
        <f>100*(AH1751-O1751)/80</f>
        <v>0.2138937500000071</v>
      </c>
    </row>
    <row r="1752" spans="1:41" x14ac:dyDescent="0.35">
      <c r="A1752" t="s">
        <v>283</v>
      </c>
      <c r="B1752" t="s">
        <v>1111</v>
      </c>
      <c r="C1752" t="s">
        <v>2089</v>
      </c>
      <c r="D1752">
        <v>85</v>
      </c>
      <c r="E1752">
        <v>85</v>
      </c>
      <c r="F1752">
        <v>-1</v>
      </c>
      <c r="G1752">
        <v>-1.0000800000000001</v>
      </c>
      <c r="H1752">
        <v>10.5078125</v>
      </c>
      <c r="J1752">
        <v>17690</v>
      </c>
      <c r="N1752" t="s">
        <v>197</v>
      </c>
      <c r="O1752">
        <f t="shared" si="81"/>
        <v>9.9967999999999968</v>
      </c>
      <c r="P1752">
        <f t="shared" si="82"/>
        <v>0.638765625000004</v>
      </c>
      <c r="Q1752">
        <f t="shared" si="83"/>
        <v>0.638765625000004</v>
      </c>
      <c r="S1752">
        <v>50.4140625</v>
      </c>
      <c r="T1752">
        <v>0.52307812500000495</v>
      </c>
      <c r="U1752">
        <v>90.306250000000006</v>
      </c>
      <c r="V1752">
        <v>0.38376250000000667</v>
      </c>
      <c r="W1752">
        <v>79.798439025878906</v>
      </c>
      <c r="X1752">
        <f>(W1752-80)/80*100</f>
        <v>-0.25195121765136719</v>
      </c>
      <c r="Y1752">
        <f>TREND(H1752:H1756,G1752:G1756,G1752)</f>
        <v>10.49666022785317</v>
      </c>
      <c r="Z1752">
        <f>ABS((Y1752-H1752)/80*100)</f>
        <v>1.3940340183538069E-2</v>
      </c>
      <c r="AA1752">
        <f>MAX(Z1752:Z1756)</f>
        <v>0.10996265843427722</v>
      </c>
      <c r="AB1752">
        <f>IF(ABS(MAX(P1752:P1758)) &gt; ABS(MIN(P1752:P1758)),MAX(P1752:P1758), MIN(P1752:P1758))</f>
        <v>0.68623750000000427</v>
      </c>
      <c r="AC1752">
        <f>IF(ABS(AB1753)&gt;ABS(AB1752),AB1753,AB1752)</f>
        <v>0.68623750000000427</v>
      </c>
      <c r="AH1752">
        <f>H1752-AG1703</f>
        <v>10.302410000000002</v>
      </c>
      <c r="AI1752">
        <f>100*(AH1752-O1752)/80</f>
        <v>0.38201250000000631</v>
      </c>
      <c r="AJ1752">
        <v>50.208660000000002</v>
      </c>
      <c r="AK1752">
        <v>0.26632500000000725</v>
      </c>
      <c r="AL1752">
        <v>90.100847500000015</v>
      </c>
      <c r="AM1752">
        <v>0.12700937500001785</v>
      </c>
      <c r="AN1752">
        <f>IF(ABS(MAX(AI1752:AI1758)) &gt; ABS(MIN(AI1752:AI1758)),MAX(AI1752:AI1758), MIN(AI1752:AI1758))</f>
        <v>0.42948437500000658</v>
      </c>
      <c r="AO1752">
        <f>IF(ABS(AN1753)&gt;ABS(AN1752),AN1753,AN1752)</f>
        <v>0.42948437500000658</v>
      </c>
    </row>
    <row r="1753" spans="1:41" x14ac:dyDescent="0.35">
      <c r="A1753" t="s">
        <v>283</v>
      </c>
      <c r="B1753" t="s">
        <v>1111</v>
      </c>
      <c r="C1753" t="s">
        <v>2125</v>
      </c>
      <c r="D1753">
        <v>85</v>
      </c>
      <c r="E1753">
        <v>85</v>
      </c>
      <c r="F1753">
        <v>-0.5</v>
      </c>
      <c r="G1753">
        <v>-0.50025600000000003</v>
      </c>
      <c r="H1753">
        <v>30.417187500000001</v>
      </c>
      <c r="J1753">
        <v>17715</v>
      </c>
      <c r="N1753" t="s">
        <v>197</v>
      </c>
      <c r="O1753">
        <f t="shared" si="81"/>
        <v>29.989759999999997</v>
      </c>
      <c r="P1753">
        <f t="shared" si="82"/>
        <v>0.53428437500000481</v>
      </c>
      <c r="Q1753">
        <f t="shared" si="83"/>
        <v>0.53428437500000481</v>
      </c>
      <c r="Y1753">
        <f>TREND(H1752:H1756,G1752:G1756,G1753)</f>
        <v>30.454265742574631</v>
      </c>
      <c r="Z1753">
        <f>ABS((Y1753-H1753)/80*100)</f>
        <v>4.6347803218287353E-2</v>
      </c>
      <c r="AB1753">
        <f>IF(ABS(T1752) &gt; ABS(V1752),T1752,V1752)</f>
        <v>0.52307812500000495</v>
      </c>
      <c r="AH1753">
        <f>H1753-AG1703</f>
        <v>30.211785000000003</v>
      </c>
      <c r="AI1753">
        <f>100*(AH1753-O1753)/80</f>
        <v>0.27753125000000711</v>
      </c>
      <c r="AN1753">
        <f>IF(ABS(AK1752) &gt; ABS(AM1752),AK1752,AM1752)</f>
        <v>0.26632500000000725</v>
      </c>
    </row>
    <row r="1754" spans="1:41" x14ac:dyDescent="0.35">
      <c r="A1754" t="s">
        <v>283</v>
      </c>
      <c r="B1754" t="s">
        <v>1111</v>
      </c>
      <c r="C1754" t="s">
        <v>2162</v>
      </c>
      <c r="D1754">
        <v>85</v>
      </c>
      <c r="E1754">
        <v>85</v>
      </c>
      <c r="F1754">
        <v>0</v>
      </c>
      <c r="G1754">
        <v>-1.1E-4</v>
      </c>
      <c r="H1754">
        <v>50.4140625</v>
      </c>
      <c r="J1754">
        <v>17736</v>
      </c>
      <c r="N1754" t="s">
        <v>197</v>
      </c>
      <c r="O1754">
        <f t="shared" si="81"/>
        <v>49.995599999999996</v>
      </c>
      <c r="P1754">
        <f t="shared" si="82"/>
        <v>0.52307812500000495</v>
      </c>
      <c r="Q1754">
        <f t="shared" si="83"/>
        <v>0.52307812500000495</v>
      </c>
      <c r="Y1754">
        <f>TREND(H1752:H1756,G1752:G1756,G1754)</f>
        <v>50.424728480990311</v>
      </c>
      <c r="Z1754">
        <f>ABS((Y1754-H1754)/80*100)</f>
        <v>1.3332476237888359E-2</v>
      </c>
      <c r="AH1754">
        <f>H1754-AG1703</f>
        <v>50.208660000000002</v>
      </c>
      <c r="AI1754">
        <f>100*(AH1754-O1754)/80</f>
        <v>0.26632500000000725</v>
      </c>
    </row>
    <row r="1755" spans="1:41" x14ac:dyDescent="0.35">
      <c r="A1755" t="s">
        <v>283</v>
      </c>
      <c r="B1755" t="s">
        <v>1111</v>
      </c>
      <c r="C1755" t="s">
        <v>2199</v>
      </c>
      <c r="D1755">
        <v>85</v>
      </c>
      <c r="E1755">
        <v>85</v>
      </c>
      <c r="F1755">
        <v>0.5</v>
      </c>
      <c r="G1755">
        <v>0.49994899999999998</v>
      </c>
      <c r="H1755">
        <v>70.479687499999997</v>
      </c>
      <c r="J1755">
        <v>17751</v>
      </c>
      <c r="N1755" t="s">
        <v>197</v>
      </c>
      <c r="O1755">
        <f t="shared" si="81"/>
        <v>69.997960000000006</v>
      </c>
      <c r="P1755">
        <f t="shared" si="82"/>
        <v>0.60215937499998873</v>
      </c>
      <c r="Q1755">
        <f t="shared" si="83"/>
        <v>0.60215937499998873</v>
      </c>
      <c r="Y1755">
        <f>TREND(H1752:H1756,G1752:G1756,G1755)</f>
        <v>70.391717373252575</v>
      </c>
      <c r="Z1755">
        <f>ABS((Y1755-H1755)/80*100)</f>
        <v>0.10996265843427722</v>
      </c>
      <c r="AH1755">
        <f>H1755-AG1703</f>
        <v>70.274284999999992</v>
      </c>
      <c r="AI1755">
        <f>100*(AH1755-O1755)/80</f>
        <v>0.34540624999998215</v>
      </c>
    </row>
    <row r="1756" spans="1:41" x14ac:dyDescent="0.35">
      <c r="A1756" t="s">
        <v>283</v>
      </c>
      <c r="B1756" t="s">
        <v>1111</v>
      </c>
      <c r="C1756" t="s">
        <v>2235</v>
      </c>
      <c r="D1756">
        <v>85</v>
      </c>
      <c r="E1756">
        <v>85</v>
      </c>
      <c r="F1756">
        <v>1</v>
      </c>
      <c r="G1756">
        <v>0.99998100000000001</v>
      </c>
      <c r="H1756">
        <v>90.306250000000006</v>
      </c>
      <c r="J1756">
        <v>17766</v>
      </c>
      <c r="N1756" t="s">
        <v>197</v>
      </c>
      <c r="O1756">
        <f t="shared" si="81"/>
        <v>89.99924</v>
      </c>
      <c r="P1756">
        <f t="shared" si="82"/>
        <v>0.38376250000000667</v>
      </c>
      <c r="Q1756">
        <f t="shared" si="83"/>
        <v>0.38376250000000667</v>
      </c>
      <c r="Y1756">
        <f>TREND(H1752:H1756,G1752:G1756,G1756)</f>
        <v>90.35762817532931</v>
      </c>
      <c r="Z1756">
        <f>ABS((Y1756-H1756)/80*100)</f>
        <v>6.4222719161630692E-2</v>
      </c>
      <c r="AH1756">
        <f>H1756-AG1703</f>
        <v>90.100847500000015</v>
      </c>
      <c r="AI1756">
        <f>100*(AH1756-O1756)/80</f>
        <v>0.12700937500001785</v>
      </c>
    </row>
    <row r="1757" spans="1:41" x14ac:dyDescent="0.35">
      <c r="A1757" t="s">
        <v>283</v>
      </c>
      <c r="B1757" t="s">
        <v>1111</v>
      </c>
      <c r="C1757" t="s">
        <v>2272</v>
      </c>
      <c r="D1757">
        <v>85</v>
      </c>
      <c r="E1757">
        <v>85</v>
      </c>
      <c r="F1757">
        <v>0</v>
      </c>
      <c r="G1757">
        <v>4.6E-5</v>
      </c>
      <c r="H1757">
        <v>50.410937500000003</v>
      </c>
      <c r="J1757">
        <v>17780</v>
      </c>
      <c r="N1757" t="s">
        <v>197</v>
      </c>
      <c r="O1757">
        <f t="shared" si="81"/>
        <v>50.001840000000001</v>
      </c>
      <c r="P1757">
        <f t="shared" si="82"/>
        <v>0.51137187500000181</v>
      </c>
      <c r="Q1757">
        <f t="shared" si="83"/>
        <v>0.51137187500000181</v>
      </c>
      <c r="Y1757">
        <f>TREND(H1752:H1756,G1752:G1756,G1757)</f>
        <v>50.430957446506767</v>
      </c>
      <c r="Z1757">
        <f>ABS((Y1757-H1757)/80*100)</f>
        <v>2.5024933133455107E-2</v>
      </c>
      <c r="AH1757">
        <f>H1757-AG1703</f>
        <v>50.205535000000005</v>
      </c>
      <c r="AI1757">
        <f>100*(AH1757-O1757)/80</f>
        <v>0.25461875000000411</v>
      </c>
    </row>
    <row r="1758" spans="1:41" x14ac:dyDescent="0.35">
      <c r="A1758" t="s">
        <v>283</v>
      </c>
      <c r="B1758" t="s">
        <v>1111</v>
      </c>
      <c r="C1758" t="s">
        <v>2309</v>
      </c>
      <c r="D1758">
        <v>85</v>
      </c>
      <c r="E1758">
        <v>85</v>
      </c>
      <c r="F1758">
        <v>-1</v>
      </c>
      <c r="G1758">
        <v>-1.0001310000000001</v>
      </c>
      <c r="H1758">
        <v>10.543749999999999</v>
      </c>
      <c r="J1758">
        <v>17783</v>
      </c>
      <c r="N1758" t="s">
        <v>197</v>
      </c>
      <c r="O1758">
        <f t="shared" si="81"/>
        <v>9.9947599999999959</v>
      </c>
      <c r="P1758">
        <f t="shared" si="82"/>
        <v>0.68623750000000427</v>
      </c>
      <c r="Q1758">
        <f t="shared" si="83"/>
        <v>0.68623750000000427</v>
      </c>
      <c r="Y1758">
        <f>TREND(H1752:H1756,G1752:G1756,G1758)</f>
        <v>10.494623835280485</v>
      </c>
      <c r="Z1758">
        <f>ABS((Y1758-H1758)/80*100)</f>
        <v>6.1407705899392255E-2</v>
      </c>
      <c r="AH1758">
        <f>H1758-AG1703</f>
        <v>10.338347500000001</v>
      </c>
      <c r="AI1758">
        <f>100*(AH1758-O1758)/80</f>
        <v>0.42948437500000658</v>
      </c>
    </row>
    <row r="1759" spans="1:41" x14ac:dyDescent="0.35">
      <c r="A1759" t="s">
        <v>283</v>
      </c>
      <c r="B1759" t="s">
        <v>1111</v>
      </c>
      <c r="C1759" t="s">
        <v>2346</v>
      </c>
      <c r="D1759">
        <v>25</v>
      </c>
      <c r="E1759">
        <v>25</v>
      </c>
      <c r="F1759">
        <v>-1</v>
      </c>
      <c r="G1759">
        <v>-0.99999899999999997</v>
      </c>
      <c r="H1759">
        <v>10.1</v>
      </c>
      <c r="J1759">
        <v>-5698</v>
      </c>
      <c r="N1759" t="s">
        <v>197</v>
      </c>
      <c r="O1759">
        <f t="shared" si="81"/>
        <v>10.000040000000002</v>
      </c>
      <c r="P1759">
        <f t="shared" si="82"/>
        <v>0.12494999999999701</v>
      </c>
      <c r="Q1759">
        <f t="shared" si="83"/>
        <v>0.12494999999999701</v>
      </c>
      <c r="S1759">
        <v>50.140625</v>
      </c>
      <c r="T1759">
        <v>0.17663125000000335</v>
      </c>
      <c r="U1759">
        <v>90.421875</v>
      </c>
      <c r="V1759">
        <v>0.54964374999999066</v>
      </c>
      <c r="W1759">
        <v>80.321875000000006</v>
      </c>
      <c r="X1759">
        <f>(W1759-80)/80*100</f>
        <v>0.40234375000000711</v>
      </c>
      <c r="Y1759">
        <f>TREND(H1759:H1763,G1759:G1763,G1759)</f>
        <v>10.01214877241916</v>
      </c>
      <c r="Z1759">
        <f>ABS((Y1759-H1759)/80*100)</f>
        <v>0.10981403447605011</v>
      </c>
      <c r="AA1759">
        <f>MAX(Z1759:Z1763)</f>
        <v>0.10981403447605011</v>
      </c>
      <c r="AB1759">
        <f>IF(ABS(MAX(P1759:P1765)) &gt; ABS(MIN(P1759:P1765)),MAX(P1759:P1765), MIN(P1759:P1765))</f>
        <v>0.54964374999999066</v>
      </c>
      <c r="AC1759">
        <f>IF(ABS(AB1760)&gt;ABS(AB1759),AB1760,AB1759)</f>
        <v>0.54964374999999066</v>
      </c>
      <c r="AH1759">
        <f>H1759-AG1703</f>
        <v>9.8945975000000015</v>
      </c>
      <c r="AI1759">
        <f>100*(AH1759-O1759)/80</f>
        <v>-0.13180312500000069</v>
      </c>
      <c r="AJ1759">
        <v>49.935222500000002</v>
      </c>
      <c r="AK1759">
        <v>-8.0121874999994347E-2</v>
      </c>
      <c r="AL1759">
        <v>90.216472500000009</v>
      </c>
      <c r="AM1759">
        <v>0.29289062500000185</v>
      </c>
      <c r="AN1759">
        <f>IF(ABS(MAX(AI1759:AI1765)) &gt; ABS(MIN(AI1759:AI1765)),MAX(AI1759:AI1765), MIN(AI1759:AI1765))</f>
        <v>0.29289062500000185</v>
      </c>
      <c r="AO1759">
        <f>IF(ABS(AN1760)&gt;ABS(AN1759),AN1760,AN1759)</f>
        <v>0.29289062500000185</v>
      </c>
    </row>
    <row r="1760" spans="1:41" x14ac:dyDescent="0.35">
      <c r="A1760" t="s">
        <v>283</v>
      </c>
      <c r="B1760" t="s">
        <v>1111</v>
      </c>
      <c r="C1760" t="s">
        <v>2382</v>
      </c>
      <c r="D1760">
        <v>25</v>
      </c>
      <c r="E1760">
        <v>25</v>
      </c>
      <c r="F1760">
        <v>-0.5</v>
      </c>
      <c r="G1760">
        <v>-0.50034699999999999</v>
      </c>
      <c r="H1760">
        <v>30.015625</v>
      </c>
      <c r="J1760">
        <v>-5723</v>
      </c>
      <c r="N1760" t="s">
        <v>197</v>
      </c>
      <c r="O1760">
        <f t="shared" si="81"/>
        <v>29.98612</v>
      </c>
      <c r="P1760">
        <f t="shared" si="82"/>
        <v>3.6881250000000421E-2</v>
      </c>
      <c r="Q1760">
        <f t="shared" si="83"/>
        <v>3.6881250000000421E-2</v>
      </c>
      <c r="Y1760">
        <f>TREND(H1759:H1763,G1759:G1763,G1760)</f>
        <v>30.086805092593384</v>
      </c>
      <c r="Z1760">
        <f>ABS((Y1760-H1760)/80*100)</f>
        <v>8.897511574172956E-2</v>
      </c>
      <c r="AB1760">
        <f>IF(ABS(T1759) &gt; ABS(V1759),T1759,V1759)</f>
        <v>0.54964374999999066</v>
      </c>
      <c r="AH1760">
        <f>H1760-AG1703</f>
        <v>29.810222500000002</v>
      </c>
      <c r="AI1760">
        <f>100*(AH1760-O1760)/80</f>
        <v>-0.21987187499999727</v>
      </c>
      <c r="AN1760">
        <f>IF(ABS(AK1759) &gt; ABS(AM1759),AK1759,AM1759)</f>
        <v>0.29289062500000185</v>
      </c>
    </row>
    <row r="1761" spans="1:41" x14ac:dyDescent="0.35">
      <c r="A1761" t="s">
        <v>283</v>
      </c>
      <c r="B1761" t="s">
        <v>1111</v>
      </c>
      <c r="C1761" t="s">
        <v>2419</v>
      </c>
      <c r="D1761">
        <v>25</v>
      </c>
      <c r="E1761">
        <v>25</v>
      </c>
      <c r="F1761">
        <v>0</v>
      </c>
      <c r="G1761">
        <v>-1.7E-5</v>
      </c>
      <c r="H1761">
        <v>50.140625</v>
      </c>
      <c r="J1761">
        <v>-5753</v>
      </c>
      <c r="N1761" t="s">
        <v>197</v>
      </c>
      <c r="O1761">
        <f t="shared" si="81"/>
        <v>49.999319999999997</v>
      </c>
      <c r="P1761">
        <f t="shared" si="82"/>
        <v>0.17663125000000335</v>
      </c>
      <c r="Q1761">
        <f t="shared" si="83"/>
        <v>0.17663125000000335</v>
      </c>
      <c r="Y1761">
        <f>TREND(H1759:H1763,G1759:G1763,G1761)</f>
        <v>50.188701605912193</v>
      </c>
      <c r="Z1761">
        <f>ABS((Y1761-H1761)/80*100)</f>
        <v>6.0095757390241644E-2</v>
      </c>
      <c r="AH1761">
        <f>H1761-AG1703</f>
        <v>49.935222500000002</v>
      </c>
      <c r="AI1761">
        <f>100*(AH1761-O1761)/80</f>
        <v>-8.0121874999994347E-2</v>
      </c>
    </row>
    <row r="1762" spans="1:41" x14ac:dyDescent="0.35">
      <c r="A1762" t="s">
        <v>283</v>
      </c>
      <c r="B1762" t="s">
        <v>1111</v>
      </c>
      <c r="C1762" t="s">
        <v>2456</v>
      </c>
      <c r="D1762">
        <v>25</v>
      </c>
      <c r="E1762">
        <v>25</v>
      </c>
      <c r="F1762">
        <v>0.5</v>
      </c>
      <c r="G1762">
        <v>0.50002999999999997</v>
      </c>
      <c r="H1762">
        <v>70.237499999999997</v>
      </c>
      <c r="J1762">
        <v>-5780</v>
      </c>
      <c r="N1762" t="s">
        <v>197</v>
      </c>
      <c r="O1762">
        <f t="shared" si="81"/>
        <v>70.001199999999997</v>
      </c>
      <c r="P1762">
        <f t="shared" si="82"/>
        <v>0.29537499999999994</v>
      </c>
      <c r="Q1762">
        <f t="shared" si="83"/>
        <v>0.29537499999999994</v>
      </c>
      <c r="Y1762">
        <f>TREND(H1759:H1763,G1759:G1763,G1762)</f>
        <v>70.279227950116081</v>
      </c>
      <c r="Z1762">
        <f>ABS((Y1762-H1762)/80*100)</f>
        <v>5.2159937645104293E-2</v>
      </c>
      <c r="AH1762">
        <f>H1762-AG1703</f>
        <v>70.032097499999992</v>
      </c>
      <c r="AI1762">
        <f>100*(AH1762-O1762)/80</f>
        <v>3.8621874999993366E-2</v>
      </c>
    </row>
    <row r="1763" spans="1:41" x14ac:dyDescent="0.35">
      <c r="A1763" t="s">
        <v>283</v>
      </c>
      <c r="B1763" t="s">
        <v>1111</v>
      </c>
      <c r="C1763" t="s">
        <v>2493</v>
      </c>
      <c r="D1763">
        <v>25</v>
      </c>
      <c r="E1763">
        <v>25</v>
      </c>
      <c r="F1763">
        <v>1</v>
      </c>
      <c r="G1763">
        <v>0.99955400000000005</v>
      </c>
      <c r="H1763">
        <v>90.421875</v>
      </c>
      <c r="J1763">
        <v>-5803</v>
      </c>
      <c r="N1763" t="s">
        <v>197</v>
      </c>
      <c r="O1763">
        <f t="shared" si="81"/>
        <v>89.982160000000007</v>
      </c>
      <c r="P1763">
        <f t="shared" si="82"/>
        <v>0.54964374999999066</v>
      </c>
      <c r="Q1763">
        <f t="shared" si="83"/>
        <v>0.54964374999999066</v>
      </c>
      <c r="Y1763">
        <f>TREND(H1759:H1763,G1759:G1763,G1763)</f>
        <v>90.348741578959178</v>
      </c>
      <c r="Z1763">
        <f>ABS((Y1763-H1763)/80*100)</f>
        <v>9.1416776301027625E-2</v>
      </c>
      <c r="AH1763">
        <f>H1763-AG1703</f>
        <v>90.216472500000009</v>
      </c>
      <c r="AI1763">
        <f>100*(AH1763-O1763)/80</f>
        <v>0.29289062500000185</v>
      </c>
    </row>
    <row r="1764" spans="1:41" x14ac:dyDescent="0.35">
      <c r="A1764" t="s">
        <v>283</v>
      </c>
      <c r="B1764" t="s">
        <v>1111</v>
      </c>
      <c r="C1764" t="s">
        <v>2530</v>
      </c>
      <c r="D1764">
        <v>25</v>
      </c>
      <c r="E1764">
        <v>25</v>
      </c>
      <c r="F1764">
        <v>0</v>
      </c>
      <c r="G1764">
        <v>-3.3000000000000003E-5</v>
      </c>
      <c r="H1764">
        <v>50.146875000000001</v>
      </c>
      <c r="J1764">
        <v>-5829</v>
      </c>
      <c r="N1764" t="s">
        <v>197</v>
      </c>
      <c r="O1764">
        <f t="shared" si="81"/>
        <v>49.99868</v>
      </c>
      <c r="P1764">
        <f t="shared" si="82"/>
        <v>0.18524375000000148</v>
      </c>
      <c r="Q1764">
        <f t="shared" si="83"/>
        <v>0.18524375000000148</v>
      </c>
      <c r="Y1764">
        <f>TREND(H1759:H1763,G1759:G1763,G1764)</f>
        <v>50.188058769495804</v>
      </c>
      <c r="Z1764">
        <f>ABS((Y1764-H1764)/80*100)</f>
        <v>5.1479711869752975E-2</v>
      </c>
      <c r="AH1764">
        <f>H1764-AG1703</f>
        <v>49.941472500000003</v>
      </c>
      <c r="AI1764">
        <f>100*(AH1764-O1764)/80</f>
        <v>-7.1509374999996211E-2</v>
      </c>
    </row>
    <row r="1765" spans="1:41" x14ac:dyDescent="0.35">
      <c r="A1765" t="s">
        <v>283</v>
      </c>
      <c r="B1765" t="s">
        <v>1111</v>
      </c>
      <c r="C1765" t="s">
        <v>2564</v>
      </c>
      <c r="D1765">
        <v>25</v>
      </c>
      <c r="E1765">
        <v>25</v>
      </c>
      <c r="F1765">
        <v>-1</v>
      </c>
      <c r="G1765">
        <v>-1.0000960000000001</v>
      </c>
      <c r="H1765">
        <v>10.137499999999999</v>
      </c>
      <c r="J1765">
        <v>-5845</v>
      </c>
      <c r="N1765" t="s">
        <v>197</v>
      </c>
      <c r="O1765">
        <f t="shared" si="81"/>
        <v>9.9961599999999962</v>
      </c>
      <c r="P1765">
        <f t="shared" si="82"/>
        <v>0.17667500000000391</v>
      </c>
      <c r="Q1765">
        <f t="shared" si="83"/>
        <v>0.17667500000000391</v>
      </c>
      <c r="Y1765">
        <f>TREND(H1759:H1763,G1759:G1763,G1765)</f>
        <v>10.008251576644781</v>
      </c>
      <c r="Z1765">
        <f>ABS((Y1765-H1765)/80*100)</f>
        <v>0.16156052919402253</v>
      </c>
      <c r="AH1765">
        <f>H1765-AG1703</f>
        <v>9.9320975000000011</v>
      </c>
      <c r="AI1765">
        <f>100*(AH1765-O1765)/80</f>
        <v>-8.0078124999993783E-2</v>
      </c>
    </row>
    <row r="1766" spans="1:41" x14ac:dyDescent="0.35">
      <c r="A1766" t="s">
        <v>285</v>
      </c>
      <c r="B1766" t="s">
        <v>231</v>
      </c>
      <c r="C1766" t="s">
        <v>286</v>
      </c>
      <c r="D1766">
        <v>25</v>
      </c>
      <c r="E1766">
        <v>25</v>
      </c>
      <c r="F1766">
        <v>-1</v>
      </c>
      <c r="G1766">
        <v>-0.99994099999999997</v>
      </c>
      <c r="H1766">
        <v>10.115625</v>
      </c>
      <c r="J1766">
        <v>-6153</v>
      </c>
      <c r="N1766" t="s">
        <v>198</v>
      </c>
      <c r="O1766">
        <f t="shared" si="81"/>
        <v>10.002360000000001</v>
      </c>
      <c r="P1766">
        <f t="shared" si="82"/>
        <v>0.14158124999999799</v>
      </c>
      <c r="Q1766">
        <f t="shared" si="83"/>
        <v>0.14158124999999799</v>
      </c>
      <c r="S1766">
        <v>50.112499999999997</v>
      </c>
      <c r="T1766">
        <v>0.14977499999999644</v>
      </c>
      <c r="U1766">
        <v>90.184375000000003</v>
      </c>
      <c r="V1766">
        <v>0.23901874999999961</v>
      </c>
      <c r="W1766">
        <v>80.068746948242193</v>
      </c>
      <c r="X1766">
        <f>(W1766-80)/80*100</f>
        <v>8.593368530274148E-2</v>
      </c>
      <c r="Y1766">
        <f>TREND(H1766:H1770,G1766:G1770,G1766)</f>
        <v>10.039840131986281</v>
      </c>
      <c r="Z1766">
        <f>ABS((Y1766-H1766)/80*100)</f>
        <v>9.4731085017147887E-2</v>
      </c>
      <c r="AA1766">
        <f>MAX(Z1766:Z1770)</f>
        <v>0.14059019458815492</v>
      </c>
      <c r="AB1766">
        <f>IF(ABS(MAX(P1766:P1772)) &gt; ABS(MIN(P1766:P1772)),MAX(P1766:P1772), MIN(P1766:P1772))</f>
        <v>0.23901874999999961</v>
      </c>
      <c r="AC1766">
        <f>IF(ABS(AB1767)&gt;ABS(AB1766),AB1767,AB1766)</f>
        <v>0.23901874999999961</v>
      </c>
      <c r="AD1766">
        <f>MAX(AD1767:AD1768)</f>
        <v>8.2234374999998749E-2</v>
      </c>
      <c r="AE1766">
        <f>MAX(AE1767:AE1787)</f>
        <v>0.33901562499999871</v>
      </c>
      <c r="AF1766">
        <f>MAX(AD1766,AA1766)</f>
        <v>0.14059019458815492</v>
      </c>
      <c r="AG1766">
        <f>H1768-O1768</f>
        <v>0.11981999999999715</v>
      </c>
      <c r="AH1766">
        <f>H1766-AG1766</f>
        <v>9.9958050000000025</v>
      </c>
      <c r="AI1766">
        <f>100*(AH1766-O1766)/80</f>
        <v>-8.1937499999984453E-3</v>
      </c>
      <c r="AJ1766">
        <v>49.99268</v>
      </c>
      <c r="AK1766">
        <v>0</v>
      </c>
      <c r="AL1766">
        <v>90.064555000000013</v>
      </c>
      <c r="AM1766">
        <v>8.9243750000012056E-2</v>
      </c>
      <c r="AN1766">
        <f>IF(ABS(MAX(AI1766:AI1772)) &gt; ABS(MIN(AI1766:AI1772)),MAX(AI1766:AI1772), MIN(AI1766:AI1772))</f>
        <v>-0.2004062499999959</v>
      </c>
      <c r="AO1766">
        <f>IF(ABS(AN1767)&gt;ABS(AN1766),AN1767,AN1766)</f>
        <v>-0.2004062499999959</v>
      </c>
    </row>
    <row r="1767" spans="1:41" x14ac:dyDescent="0.35">
      <c r="A1767" t="s">
        <v>285</v>
      </c>
      <c r="B1767" t="s">
        <v>231</v>
      </c>
      <c r="C1767" t="s">
        <v>333</v>
      </c>
      <c r="D1767">
        <v>25</v>
      </c>
      <c r="E1767">
        <v>25</v>
      </c>
      <c r="F1767">
        <v>-0.5</v>
      </c>
      <c r="G1767">
        <v>-0.50000299999999998</v>
      </c>
      <c r="H1767">
        <v>29.959375000000001</v>
      </c>
      <c r="J1767">
        <v>-6153</v>
      </c>
      <c r="N1767" t="s">
        <v>198</v>
      </c>
      <c r="O1767">
        <f t="shared" si="81"/>
        <v>29.999880000000001</v>
      </c>
      <c r="P1767">
        <f t="shared" si="82"/>
        <v>-5.0631249999999461E-2</v>
      </c>
      <c r="Q1767">
        <f t="shared" si="83"/>
        <v>5.0631249999999461E-2</v>
      </c>
      <c r="Y1767">
        <f>TREND(H1766:H1770,G1766:G1770,G1767)</f>
        <v>30.071847155670525</v>
      </c>
      <c r="Z1767">
        <f>ABS((Y1767-H1767)/80*100)</f>
        <v>0.14059019458815492</v>
      </c>
      <c r="AB1767">
        <f>IF(ABS(T1766) &gt; ABS(V1766),T1766,V1766)</f>
        <v>0.23901874999999961</v>
      </c>
      <c r="AD1767">
        <f>ABS(P1768-P1771)</f>
        <v>1.4025000000001953E-2</v>
      </c>
      <c r="AE1767">
        <f>ABS(P1794-P1766)</f>
        <v>0.1278218749999982</v>
      </c>
      <c r="AH1767">
        <f>H1767-AG1766</f>
        <v>29.839555000000004</v>
      </c>
      <c r="AI1767">
        <f>100*(AH1767-O1767)/80</f>
        <v>-0.2004062499999959</v>
      </c>
      <c r="AN1767">
        <f>IF(ABS(AK1766) &gt; ABS(AM1766),AK1766,AM1766)</f>
        <v>8.9243750000012056E-2</v>
      </c>
    </row>
    <row r="1768" spans="1:41" x14ac:dyDescent="0.35">
      <c r="A1768" t="s">
        <v>285</v>
      </c>
      <c r="B1768" t="s">
        <v>231</v>
      </c>
      <c r="C1768" t="s">
        <v>370</v>
      </c>
      <c r="D1768">
        <v>25</v>
      </c>
      <c r="E1768">
        <v>25</v>
      </c>
      <c r="F1768">
        <v>0</v>
      </c>
      <c r="G1768">
        <v>-1.83E-4</v>
      </c>
      <c r="H1768">
        <v>50.112499999999997</v>
      </c>
      <c r="J1768">
        <v>-6153</v>
      </c>
      <c r="N1768" t="s">
        <v>198</v>
      </c>
      <c r="O1768">
        <f t="shared" si="81"/>
        <v>49.99268</v>
      </c>
      <c r="P1768">
        <f t="shared" si="82"/>
        <v>0.14977499999999644</v>
      </c>
      <c r="Q1768">
        <f t="shared" si="83"/>
        <v>0.14977499999999644</v>
      </c>
      <c r="Y1768">
        <f>TREND(H1766:H1770,G1766:G1770,G1768)</f>
        <v>50.099126039407828</v>
      </c>
      <c r="Z1768">
        <f>ABS((Y1768-H1768)/80*100)</f>
        <v>1.6717450740211248E-2</v>
      </c>
      <c r="AD1768">
        <f>ABS(P1766-P1772)</f>
        <v>8.2234374999998749E-2</v>
      </c>
      <c r="AE1768">
        <f>ABS(P1795-P1767)</f>
        <v>0.12137812499999789</v>
      </c>
      <c r="AH1768">
        <f>H1768-AG1766</f>
        <v>49.99268</v>
      </c>
      <c r="AI1768">
        <f>100*(AH1768-O1768)/80</f>
        <v>0</v>
      </c>
    </row>
    <row r="1769" spans="1:41" x14ac:dyDescent="0.35">
      <c r="A1769" t="s">
        <v>285</v>
      </c>
      <c r="B1769" t="s">
        <v>231</v>
      </c>
      <c r="C1769" t="s">
        <v>407</v>
      </c>
      <c r="D1769">
        <v>25</v>
      </c>
      <c r="E1769">
        <v>25</v>
      </c>
      <c r="F1769">
        <v>0.5</v>
      </c>
      <c r="G1769">
        <v>0.49996000000000002</v>
      </c>
      <c r="H1769">
        <v>70.146874999999994</v>
      </c>
      <c r="J1769">
        <v>-6142</v>
      </c>
      <c r="N1769" t="s">
        <v>198</v>
      </c>
      <c r="O1769">
        <f t="shared" si="81"/>
        <v>69.998400000000004</v>
      </c>
      <c r="P1769">
        <f t="shared" si="82"/>
        <v>0.18559374999998823</v>
      </c>
      <c r="Q1769">
        <f t="shared" si="83"/>
        <v>0.18559374999998823</v>
      </c>
      <c r="Y1769">
        <f>TREND(H1766:H1770,G1766:G1770,G1769)</f>
        <v>70.139347204525322</v>
      </c>
      <c r="Z1769">
        <f>ABS((Y1769-H1769)/80*100)</f>
        <v>9.4097443433405203E-3</v>
      </c>
      <c r="AE1769">
        <f>ABS(P1796-P1768)</f>
        <v>2.2037500000005039E-2</v>
      </c>
      <c r="AH1769">
        <f>H1769-AG1766</f>
        <v>70.02705499999999</v>
      </c>
      <c r="AI1769">
        <f>100*(AH1769-O1769)/80</f>
        <v>3.5818749999982913E-2</v>
      </c>
    </row>
    <row r="1770" spans="1:41" x14ac:dyDescent="0.35">
      <c r="A1770" t="s">
        <v>285</v>
      </c>
      <c r="B1770" t="s">
        <v>231</v>
      </c>
      <c r="C1770" t="s">
        <v>444</v>
      </c>
      <c r="D1770">
        <v>25</v>
      </c>
      <c r="E1770">
        <v>25</v>
      </c>
      <c r="F1770">
        <v>1</v>
      </c>
      <c r="G1770">
        <v>0.99982899999999997</v>
      </c>
      <c r="H1770">
        <v>90.184375000000003</v>
      </c>
      <c r="J1770">
        <v>-6149</v>
      </c>
      <c r="N1770" t="s">
        <v>198</v>
      </c>
      <c r="O1770">
        <f t="shared" si="81"/>
        <v>89.993160000000003</v>
      </c>
      <c r="P1770">
        <f t="shared" si="82"/>
        <v>0.23901874999999961</v>
      </c>
      <c r="Q1770">
        <f t="shared" si="83"/>
        <v>0.23901874999999961</v>
      </c>
      <c r="Y1770">
        <f>TREND(H1766:H1770,G1766:G1770,G1770)</f>
        <v>90.168589468410076</v>
      </c>
      <c r="Z1770">
        <f>ABS((Y1770-H1770)/80*100)</f>
        <v>1.9731914487408631E-2</v>
      </c>
      <c r="AE1770">
        <f>ABS(P1797-P1769)</f>
        <v>0.15253750000001176</v>
      </c>
      <c r="AH1770">
        <f>H1770-AG1766</f>
        <v>90.064555000000013</v>
      </c>
      <c r="AI1770">
        <f>100*(AH1770-O1770)/80</f>
        <v>8.9243750000012056E-2</v>
      </c>
    </row>
    <row r="1771" spans="1:41" x14ac:dyDescent="0.35">
      <c r="A1771" t="s">
        <v>285</v>
      </c>
      <c r="B1771" t="s">
        <v>231</v>
      </c>
      <c r="C1771" t="s">
        <v>481</v>
      </c>
      <c r="D1771">
        <v>25</v>
      </c>
      <c r="E1771">
        <v>25</v>
      </c>
      <c r="F1771">
        <v>0</v>
      </c>
      <c r="G1771">
        <v>-1.5100000000000001E-4</v>
      </c>
      <c r="H1771">
        <v>50.125</v>
      </c>
      <c r="J1771">
        <v>-6151</v>
      </c>
      <c r="N1771" t="s">
        <v>198</v>
      </c>
      <c r="O1771">
        <f t="shared" si="81"/>
        <v>49.993960000000001</v>
      </c>
      <c r="P1771">
        <f t="shared" si="82"/>
        <v>0.16379999999999839</v>
      </c>
      <c r="Q1771">
        <f t="shared" si="83"/>
        <v>0.16379999999999839</v>
      </c>
      <c r="Y1771">
        <f>TREND(H1766:H1770,G1766:G1770,G1771)</f>
        <v>50.100408246851067</v>
      </c>
      <c r="Z1771">
        <f>ABS((Y1771-H1771)/80*100)</f>
        <v>3.0739691436165728E-2</v>
      </c>
      <c r="AE1771">
        <f>ABS(P1798-P1770)</f>
        <v>0.13876562500000134</v>
      </c>
      <c r="AH1771">
        <f>H1771-AG1766</f>
        <v>50.005180000000003</v>
      </c>
      <c r="AI1771">
        <f>100*(AH1771-O1771)/80</f>
        <v>1.4025000000001953E-2</v>
      </c>
    </row>
    <row r="1772" spans="1:41" x14ac:dyDescent="0.35">
      <c r="A1772" t="s">
        <v>285</v>
      </c>
      <c r="B1772" t="s">
        <v>231</v>
      </c>
      <c r="C1772" t="s">
        <v>518</v>
      </c>
      <c r="D1772">
        <v>25</v>
      </c>
      <c r="E1772">
        <v>25</v>
      </c>
      <c r="F1772">
        <v>-1</v>
      </c>
      <c r="G1772">
        <v>-0.99997599999999998</v>
      </c>
      <c r="H1772">
        <v>10.0484375</v>
      </c>
      <c r="J1772">
        <v>-6147</v>
      </c>
      <c r="N1772" t="s">
        <v>198</v>
      </c>
      <c r="O1772">
        <f t="shared" si="81"/>
        <v>10.000960000000001</v>
      </c>
      <c r="P1772">
        <f t="shared" si="82"/>
        <v>5.9346874999999244E-2</v>
      </c>
      <c r="Q1772">
        <f t="shared" si="83"/>
        <v>5.9346874999999244E-2</v>
      </c>
      <c r="Y1772">
        <f>TREND(H1766:H1770,G1766:G1770,G1772)</f>
        <v>10.038437717595237</v>
      </c>
      <c r="Z1772">
        <f>ABS((Y1772-H1772)/80*100)</f>
        <v>1.2499728005954669E-2</v>
      </c>
      <c r="AE1772">
        <f>ABS(P1799-P1771)</f>
        <v>4.5275000000000176E-2</v>
      </c>
      <c r="AH1772">
        <f>H1772-AG1766</f>
        <v>9.9286175000000032</v>
      </c>
      <c r="AI1772">
        <f>100*(AH1772-O1772)/80</f>
        <v>-9.0428124999997195E-2</v>
      </c>
    </row>
    <row r="1773" spans="1:41" x14ac:dyDescent="0.35">
      <c r="A1773" t="s">
        <v>285</v>
      </c>
      <c r="B1773" t="s">
        <v>231</v>
      </c>
      <c r="C1773" t="s">
        <v>555</v>
      </c>
      <c r="D1773">
        <v>-20</v>
      </c>
      <c r="E1773">
        <v>-20</v>
      </c>
      <c r="F1773">
        <v>-1</v>
      </c>
      <c r="G1773">
        <v>-0.99988900000000003</v>
      </c>
      <c r="H1773">
        <v>10.1625</v>
      </c>
      <c r="J1773">
        <v>-24633</v>
      </c>
      <c r="N1773" t="s">
        <v>198</v>
      </c>
      <c r="O1773">
        <f t="shared" si="81"/>
        <v>10.004439999999999</v>
      </c>
      <c r="P1773">
        <f t="shared" si="82"/>
        <v>0.19757500000000094</v>
      </c>
      <c r="Q1773">
        <f t="shared" si="83"/>
        <v>0.19757500000000094</v>
      </c>
      <c r="S1773">
        <v>50.310937500000001</v>
      </c>
      <c r="T1773">
        <v>0.36942187500000223</v>
      </c>
      <c r="U1773">
        <v>90.360937500000006</v>
      </c>
      <c r="V1773">
        <v>0.45777187500000593</v>
      </c>
      <c r="W1773">
        <v>80.198439025878912</v>
      </c>
      <c r="X1773">
        <f>(W1773-80)/80*100</f>
        <v>0.24804878234863992</v>
      </c>
      <c r="Y1773">
        <f>TREND(H1773:H1777,G1773:G1777,G1773)</f>
        <v>10.165879545933905</v>
      </c>
      <c r="Z1773">
        <f>ABS((Y1773-H1773)/80*100)</f>
        <v>4.2244324173812409E-3</v>
      </c>
      <c r="AA1773">
        <f>MAX(Z1773:Z1777)</f>
        <v>0.12732870744960323</v>
      </c>
      <c r="AB1773">
        <f>IF(ABS(MAX(P1773:P1779)) &gt; ABS(MIN(P1773:P1779)),MAX(P1773:P1779), MIN(P1773:P1779))</f>
        <v>0.58501250000000837</v>
      </c>
      <c r="AC1773">
        <f>IF(ABS(AB1774)&gt;ABS(AB1773),AB1774,AB1773)</f>
        <v>0.58501250000000837</v>
      </c>
      <c r="AE1773">
        <f>ABS(P1800-P1772)</f>
        <v>7.0443750000002137E-2</v>
      </c>
      <c r="AH1773">
        <f>H1773-AG1766</f>
        <v>10.042680000000002</v>
      </c>
      <c r="AI1773">
        <f>100*(AH1773-O1773)/80</f>
        <v>4.7800000000004506E-2</v>
      </c>
      <c r="AJ1773">
        <v>50.191117500000004</v>
      </c>
      <c r="AK1773">
        <v>0.21964687500000579</v>
      </c>
      <c r="AL1773">
        <v>90.241117500000001</v>
      </c>
      <c r="AM1773">
        <v>0.30799687500000061</v>
      </c>
      <c r="AN1773">
        <f>IF(ABS(MAX(AI1773:AI1779)) &gt; ABS(MIN(AI1773:AI1779)),MAX(AI1773:AI1779), MIN(AI1773:AI1779))</f>
        <v>0.43523750000002082</v>
      </c>
      <c r="AO1773">
        <f>IF(ABS(AN1774)&gt;ABS(AN1773),AN1774,AN1773)</f>
        <v>0.43523750000002082</v>
      </c>
    </row>
    <row r="1774" spans="1:41" x14ac:dyDescent="0.35">
      <c r="A1774" t="s">
        <v>285</v>
      </c>
      <c r="B1774" t="s">
        <v>231</v>
      </c>
      <c r="C1774" t="s">
        <v>592</v>
      </c>
      <c r="D1774">
        <v>-20</v>
      </c>
      <c r="E1774">
        <v>-20.100000000000001</v>
      </c>
      <c r="F1774">
        <v>-0.5</v>
      </c>
      <c r="G1774">
        <v>-0.500085</v>
      </c>
      <c r="H1774">
        <v>30.198437500000001</v>
      </c>
      <c r="J1774">
        <v>-24656</v>
      </c>
      <c r="N1774" t="s">
        <v>198</v>
      </c>
      <c r="O1774">
        <f t="shared" si="81"/>
        <v>29.996600000000001</v>
      </c>
      <c r="P1774">
        <f t="shared" si="82"/>
        <v>0.25229687499999986</v>
      </c>
      <c r="Q1774">
        <f t="shared" si="83"/>
        <v>0.25229687499999986</v>
      </c>
      <c r="Y1774">
        <f>TREND(H1773:H1777,G1773:G1777,G1774)</f>
        <v>30.226267048283226</v>
      </c>
      <c r="Z1774">
        <f>ABS((Y1774-H1774)/80*100)</f>
        <v>3.4786935354031989E-2</v>
      </c>
      <c r="AB1774">
        <f>IF(ABS(T1773) &gt; ABS(V1773),T1773,V1773)</f>
        <v>0.45777187500000593</v>
      </c>
      <c r="AE1774">
        <f>ABS(P1822-P1766)</f>
        <v>0.21119375000000051</v>
      </c>
      <c r="AH1774">
        <f>H1774-AG1766</f>
        <v>30.078617500000004</v>
      </c>
      <c r="AI1774">
        <f>100*(AH1774-O1774)/80</f>
        <v>0.10252187500000343</v>
      </c>
      <c r="AN1774">
        <f>IF(ABS(AK1773) &gt; ABS(AM1773),AK1773,AM1773)</f>
        <v>0.30799687500000061</v>
      </c>
    </row>
    <row r="1775" spans="1:41" x14ac:dyDescent="0.35">
      <c r="A1775" t="s">
        <v>285</v>
      </c>
      <c r="B1775" t="s">
        <v>231</v>
      </c>
      <c r="C1775" t="s">
        <v>628</v>
      </c>
      <c r="D1775">
        <v>-20</v>
      </c>
      <c r="E1775">
        <v>-19.899999999999999</v>
      </c>
      <c r="F1775">
        <v>0</v>
      </c>
      <c r="G1775">
        <v>3.8499999999999998E-4</v>
      </c>
      <c r="H1775">
        <v>50.310937500000001</v>
      </c>
      <c r="J1775">
        <v>-24680</v>
      </c>
      <c r="N1775" t="s">
        <v>198</v>
      </c>
      <c r="O1775">
        <f t="shared" si="81"/>
        <v>50.0154</v>
      </c>
      <c r="P1775">
        <f t="shared" si="82"/>
        <v>0.36942187500000223</v>
      </c>
      <c r="Q1775">
        <f t="shared" si="83"/>
        <v>0.36942187500000223</v>
      </c>
      <c r="Y1775">
        <f>TREND(H1773:H1777,G1773:G1777,G1775)</f>
        <v>50.313385465304229</v>
      </c>
      <c r="Z1775">
        <f>ABS((Y1775-H1775)/80*100)</f>
        <v>3.0599566302846886E-3</v>
      </c>
      <c r="AE1775">
        <f>ABS(P1823-P1767)</f>
        <v>4.7503125000005753E-2</v>
      </c>
      <c r="AH1775">
        <f>H1775-AG1766</f>
        <v>50.191117500000004</v>
      </c>
      <c r="AI1775">
        <f>100*(AH1775-O1775)/80</f>
        <v>0.21964687500000579</v>
      </c>
    </row>
    <row r="1776" spans="1:41" x14ac:dyDescent="0.35">
      <c r="A1776" t="s">
        <v>285</v>
      </c>
      <c r="B1776" t="s">
        <v>231</v>
      </c>
      <c r="C1776" t="s">
        <v>664</v>
      </c>
      <c r="D1776">
        <v>-20</v>
      </c>
      <c r="E1776">
        <v>-20</v>
      </c>
      <c r="F1776">
        <v>0.5</v>
      </c>
      <c r="G1776">
        <v>0.49970599999999998</v>
      </c>
      <c r="H1776">
        <v>70.456249999999997</v>
      </c>
      <c r="J1776">
        <v>-24693</v>
      </c>
      <c r="N1776" t="s">
        <v>198</v>
      </c>
      <c r="O1776">
        <f t="shared" si="81"/>
        <v>69.98823999999999</v>
      </c>
      <c r="P1776">
        <f t="shared" si="82"/>
        <v>0.58501250000000837</v>
      </c>
      <c r="Q1776">
        <f t="shared" si="83"/>
        <v>0.58501250000000837</v>
      </c>
      <c r="Y1776">
        <f>TREND(H1773:H1777,G1773:G1777,G1776)</f>
        <v>70.354387034040315</v>
      </c>
      <c r="Z1776">
        <f>ABS((Y1776-H1776)/80*100)</f>
        <v>0.12732870744960323</v>
      </c>
      <c r="AE1776">
        <f>ABS(P1824-P1768)</f>
        <v>0.12778749999999839</v>
      </c>
      <c r="AH1776">
        <f>H1776-AG1766</f>
        <v>70.336430000000007</v>
      </c>
      <c r="AI1776">
        <f>100*(AH1776-O1776)/80</f>
        <v>0.43523750000002082</v>
      </c>
    </row>
    <row r="1777" spans="1:41" x14ac:dyDescent="0.35">
      <c r="A1777" t="s">
        <v>285</v>
      </c>
      <c r="B1777" t="s">
        <v>231</v>
      </c>
      <c r="C1777" t="s">
        <v>701</v>
      </c>
      <c r="D1777">
        <v>-20</v>
      </c>
      <c r="E1777">
        <v>-20</v>
      </c>
      <c r="F1777">
        <v>1</v>
      </c>
      <c r="G1777">
        <v>0.99986799999999998</v>
      </c>
      <c r="H1777">
        <v>90.360937500000006</v>
      </c>
      <c r="J1777">
        <v>-24693</v>
      </c>
      <c r="N1777" t="s">
        <v>198</v>
      </c>
      <c r="O1777">
        <f t="shared" si="81"/>
        <v>89.994720000000001</v>
      </c>
      <c r="P1777">
        <f t="shared" si="82"/>
        <v>0.45777187500000593</v>
      </c>
      <c r="Q1777">
        <f t="shared" si="83"/>
        <v>0.45777187500000593</v>
      </c>
      <c r="Y1777">
        <f>TREND(H1773:H1777,G1773:G1777,G1777)</f>
        <v>90.429143406438371</v>
      </c>
      <c r="Z1777">
        <f>ABS((Y1777-H1777)/80*100)</f>
        <v>8.5257383047956381E-2</v>
      </c>
      <c r="AE1777">
        <f>ABS(P1825-P1769)</f>
        <v>6.5606249999987654E-2</v>
      </c>
      <c r="AH1777">
        <f>H1777-AG1766</f>
        <v>90.241117500000001</v>
      </c>
      <c r="AI1777">
        <f>100*(AH1777-O1777)/80</f>
        <v>0.30799687500000061</v>
      </c>
    </row>
    <row r="1778" spans="1:41" x14ac:dyDescent="0.35">
      <c r="A1778" t="s">
        <v>285</v>
      </c>
      <c r="B1778" t="s">
        <v>231</v>
      </c>
      <c r="C1778" t="s">
        <v>737</v>
      </c>
      <c r="D1778">
        <v>-20</v>
      </c>
      <c r="E1778">
        <v>-20</v>
      </c>
      <c r="F1778">
        <v>0</v>
      </c>
      <c r="G1778">
        <v>8.3999999999999995E-5</v>
      </c>
      <c r="H1778">
        <v>50.223437500000003</v>
      </c>
      <c r="J1778">
        <v>-24695</v>
      </c>
      <c r="N1778" t="s">
        <v>198</v>
      </c>
      <c r="O1778">
        <f t="shared" si="81"/>
        <v>50.003360000000001</v>
      </c>
      <c r="P1778">
        <f t="shared" si="82"/>
        <v>0.27509687500000268</v>
      </c>
      <c r="Q1778">
        <f t="shared" si="83"/>
        <v>0.27509687500000268</v>
      </c>
      <c r="Y1778">
        <f>TREND(H1773:H1777,G1773:G1777,G1778)</f>
        <v>50.301304376240907</v>
      </c>
      <c r="Z1778">
        <f>ABS((Y1778-H1778)/80*100)</f>
        <v>9.733359530113006E-2</v>
      </c>
      <c r="AE1778">
        <f>ABS(P1826-P1770)</f>
        <v>7.0128125000010755E-2</v>
      </c>
      <c r="AH1778">
        <f>H1778-AG1766</f>
        <v>50.103617500000006</v>
      </c>
      <c r="AI1778">
        <f>100*(AH1778-O1778)/80</f>
        <v>0.12532187500000624</v>
      </c>
    </row>
    <row r="1779" spans="1:41" x14ac:dyDescent="0.35">
      <c r="A1779" t="s">
        <v>285</v>
      </c>
      <c r="B1779" t="s">
        <v>231</v>
      </c>
      <c r="C1779" t="s">
        <v>773</v>
      </c>
      <c r="D1779">
        <v>-20</v>
      </c>
      <c r="E1779">
        <v>-20.100000000000001</v>
      </c>
      <c r="F1779">
        <v>-1</v>
      </c>
      <c r="G1779">
        <v>-1.000067</v>
      </c>
      <c r="H1779">
        <v>10.2171875</v>
      </c>
      <c r="J1779">
        <v>-24697</v>
      </c>
      <c r="N1779" t="s">
        <v>198</v>
      </c>
      <c r="O1779">
        <f t="shared" si="81"/>
        <v>9.9973199999999984</v>
      </c>
      <c r="P1779">
        <f t="shared" si="82"/>
        <v>0.27483437500000152</v>
      </c>
      <c r="Q1779">
        <f t="shared" si="83"/>
        <v>0.27483437500000152</v>
      </c>
      <c r="Y1779">
        <f>TREND(H1773:H1777,G1773:G1777,G1779)</f>
        <v>10.158735247418051</v>
      </c>
      <c r="Z1779">
        <f>ABS((Y1779-H1779)/80*100)</f>
        <v>7.3065315727436353E-2</v>
      </c>
      <c r="AE1779">
        <f>ABS(P1827-P1771)</f>
        <v>0.15619374999999991</v>
      </c>
      <c r="AH1779">
        <f>H1779-AG1766</f>
        <v>10.097367500000002</v>
      </c>
      <c r="AI1779">
        <f>100*(AH1779-O1779)/80</f>
        <v>0.12505937500000508</v>
      </c>
    </row>
    <row r="1780" spans="1:41" x14ac:dyDescent="0.35">
      <c r="A1780" t="s">
        <v>285</v>
      </c>
      <c r="B1780" t="s">
        <v>231</v>
      </c>
      <c r="C1780" t="s">
        <v>810</v>
      </c>
      <c r="D1780">
        <v>0</v>
      </c>
      <c r="E1780">
        <v>-0.1</v>
      </c>
      <c r="F1780">
        <v>-1</v>
      </c>
      <c r="G1780">
        <v>-1.000602</v>
      </c>
      <c r="H1780">
        <v>10.13125</v>
      </c>
      <c r="J1780">
        <v>-16907</v>
      </c>
      <c r="N1780" t="s">
        <v>198</v>
      </c>
      <c r="O1780">
        <f t="shared" si="81"/>
        <v>9.9759200000000003</v>
      </c>
      <c r="P1780">
        <f t="shared" si="82"/>
        <v>0.19416249999999913</v>
      </c>
      <c r="Q1780">
        <f t="shared" si="83"/>
        <v>0.19416249999999913</v>
      </c>
      <c r="S1780">
        <v>50.2109375</v>
      </c>
      <c r="T1780">
        <v>0.2682218749999965</v>
      </c>
      <c r="U1780">
        <v>90.315624999999997</v>
      </c>
      <c r="V1780">
        <v>0.3747312499999822</v>
      </c>
      <c r="W1780">
        <v>80.184378051757818</v>
      </c>
      <c r="X1780">
        <f>(W1780-80)/80*100</f>
        <v>0.23047256469727273</v>
      </c>
      <c r="Y1780">
        <f>TREND(H1780:H1784,G1780:G1784,G1780)</f>
        <v>10.109310602014595</v>
      </c>
      <c r="Z1780">
        <f>ABS((Y1780-H1780)/80*100)</f>
        <v>2.7424247481755426E-2</v>
      </c>
      <c r="AA1780">
        <f>MAX(Z1780:Z1784)</f>
        <v>9.9631338829730964E-2</v>
      </c>
      <c r="AB1780">
        <f>IF(ABS(MAX(P1780:P1786)) &gt; ABS(MIN(P1780:P1786)),MAX(P1780:P1786), MIN(P1780:P1786))</f>
        <v>0.45864687499998169</v>
      </c>
      <c r="AC1780">
        <f>IF(ABS(AB1781)&gt;ABS(AB1780),AB1781,AB1780)</f>
        <v>0.45864687499998169</v>
      </c>
      <c r="AE1780">
        <f>ABS(P1828-P1772)</f>
        <v>6.9765624999995612E-2</v>
      </c>
      <c r="AH1780">
        <f>H1780-AG1766</f>
        <v>10.011430000000002</v>
      </c>
      <c r="AI1780">
        <f>100*(AH1780-O1780)/80</f>
        <v>4.4387500000002689E-2</v>
      </c>
      <c r="AJ1780">
        <v>50.091117500000003</v>
      </c>
      <c r="AK1780">
        <v>0.11844687500000006</v>
      </c>
      <c r="AL1780">
        <v>90.195805000000007</v>
      </c>
      <c r="AM1780">
        <v>0.22495624999999464</v>
      </c>
      <c r="AN1780">
        <f>IF(ABS(MAX(AI1780:AI1786)) &gt; ABS(MIN(AI1780:AI1786)),MAX(AI1780:AI1786), MIN(AI1780:AI1786))</f>
        <v>0.30887187499997637</v>
      </c>
      <c r="AO1780">
        <f>IF(ABS(AN1781)&gt;ABS(AN1780),AN1781,AN1780)</f>
        <v>0.30887187499997637</v>
      </c>
    </row>
    <row r="1781" spans="1:41" x14ac:dyDescent="0.35">
      <c r="A1781" t="s">
        <v>285</v>
      </c>
      <c r="B1781" t="s">
        <v>231</v>
      </c>
      <c r="C1781" t="s">
        <v>846</v>
      </c>
      <c r="D1781">
        <v>0</v>
      </c>
      <c r="E1781">
        <v>0.1</v>
      </c>
      <c r="F1781">
        <v>-0.5</v>
      </c>
      <c r="G1781">
        <v>-0.50017900000000004</v>
      </c>
      <c r="H1781">
        <v>30.135937500000001</v>
      </c>
      <c r="J1781">
        <v>-16894</v>
      </c>
      <c r="N1781" t="s">
        <v>198</v>
      </c>
      <c r="O1781">
        <f t="shared" si="81"/>
        <v>29.992839999999998</v>
      </c>
      <c r="P1781">
        <f t="shared" si="82"/>
        <v>0.17887187500000401</v>
      </c>
      <c r="Q1781">
        <f t="shared" si="83"/>
        <v>0.17887187500000401</v>
      </c>
      <c r="Y1781">
        <f>TREND(H1780:H1784,G1780:G1784,G1781)</f>
        <v>30.177521763584593</v>
      </c>
      <c r="Z1781">
        <f>ABS((Y1781-H1781)/80*100)</f>
        <v>5.1980329480740828E-2</v>
      </c>
      <c r="AB1781">
        <f>IF(ABS(T1780) &gt; ABS(V1780),T1780,V1780)</f>
        <v>0.3747312499999822</v>
      </c>
      <c r="AE1781">
        <f>ABS(P1822-P1794)</f>
        <v>0.33901562499999871</v>
      </c>
      <c r="AH1781">
        <f>H1781-AG1766</f>
        <v>30.016117500000004</v>
      </c>
      <c r="AI1781">
        <f>100*(AH1781-O1781)/80</f>
        <v>2.9096875000007572E-2</v>
      </c>
      <c r="AN1781">
        <f>IF(ABS(AK1780) &gt; ABS(AM1780),AK1780,AM1780)</f>
        <v>0.22495624999999464</v>
      </c>
    </row>
    <row r="1782" spans="1:41" x14ac:dyDescent="0.35">
      <c r="A1782" t="s">
        <v>285</v>
      </c>
      <c r="B1782" t="s">
        <v>231</v>
      </c>
      <c r="C1782" t="s">
        <v>882</v>
      </c>
      <c r="D1782">
        <v>0</v>
      </c>
      <c r="E1782">
        <v>0</v>
      </c>
      <c r="F1782">
        <v>0</v>
      </c>
      <c r="G1782">
        <v>-9.1000000000000003E-5</v>
      </c>
      <c r="H1782">
        <v>50.2109375</v>
      </c>
      <c r="J1782">
        <v>-16866</v>
      </c>
      <c r="N1782" t="s">
        <v>198</v>
      </c>
      <c r="O1782">
        <f t="shared" si="81"/>
        <v>49.996360000000003</v>
      </c>
      <c r="P1782">
        <f t="shared" si="82"/>
        <v>0.2682218749999965</v>
      </c>
      <c r="Q1782">
        <f t="shared" si="83"/>
        <v>0.2682218749999965</v>
      </c>
      <c r="Y1782">
        <f>TREND(H1780:H1784,G1780:G1784,G1782)</f>
        <v>50.232298589124618</v>
      </c>
      <c r="Z1782">
        <f>ABS((Y1782-H1782)/80*100)</f>
        <v>2.6701361405772062E-2</v>
      </c>
      <c r="AE1782">
        <f>ABS(P1823-P1795)</f>
        <v>0.16888125000000365</v>
      </c>
      <c r="AH1782">
        <f>H1782-AG1766</f>
        <v>50.091117500000003</v>
      </c>
      <c r="AI1782">
        <f>100*(AH1782-O1782)/80</f>
        <v>0.11844687500000006</v>
      </c>
    </row>
    <row r="1783" spans="1:41" x14ac:dyDescent="0.35">
      <c r="A1783" t="s">
        <v>285</v>
      </c>
      <c r="B1783" t="s">
        <v>231</v>
      </c>
      <c r="C1783" t="s">
        <v>919</v>
      </c>
      <c r="D1783">
        <v>0</v>
      </c>
      <c r="E1783">
        <v>0</v>
      </c>
      <c r="F1783">
        <v>0.5</v>
      </c>
      <c r="G1783">
        <v>0.50016300000000002</v>
      </c>
      <c r="H1783">
        <v>70.373437499999994</v>
      </c>
      <c r="J1783">
        <v>-16844</v>
      </c>
      <c r="N1783" t="s">
        <v>198</v>
      </c>
      <c r="O1783">
        <f t="shared" si="81"/>
        <v>70.006520000000009</v>
      </c>
      <c r="P1783">
        <f t="shared" si="82"/>
        <v>0.45864687499998169</v>
      </c>
      <c r="Q1783">
        <f t="shared" si="83"/>
        <v>0.45864687499998169</v>
      </c>
      <c r="Y1783">
        <f>TREND(H1780:H1784,G1780:G1784,G1783)</f>
        <v>70.29373242893621</v>
      </c>
      <c r="Z1783">
        <f>ABS((Y1783-H1783)/80*100)</f>
        <v>9.9631338829730964E-2</v>
      </c>
      <c r="AE1783">
        <f>ABS(P1824-P1796)</f>
        <v>0.14982500000000343</v>
      </c>
      <c r="AH1783">
        <f>H1783-AG1766</f>
        <v>70.25361749999999</v>
      </c>
      <c r="AI1783">
        <f>100*(AH1783-O1783)/80</f>
        <v>0.30887187499997637</v>
      </c>
    </row>
    <row r="1784" spans="1:41" x14ac:dyDescent="0.35">
      <c r="A1784" t="s">
        <v>285</v>
      </c>
      <c r="B1784" t="s">
        <v>231</v>
      </c>
      <c r="C1784" t="s">
        <v>956</v>
      </c>
      <c r="D1784">
        <v>0</v>
      </c>
      <c r="E1784">
        <v>0.1</v>
      </c>
      <c r="F1784">
        <v>1</v>
      </c>
      <c r="G1784">
        <v>1.0003960000000001</v>
      </c>
      <c r="H1784">
        <v>90.315624999999997</v>
      </c>
      <c r="J1784">
        <v>-16818</v>
      </c>
      <c r="N1784" t="s">
        <v>198</v>
      </c>
      <c r="O1784">
        <f t="shared" si="81"/>
        <v>90.015840000000011</v>
      </c>
      <c r="P1784">
        <f t="shared" si="82"/>
        <v>0.3747312499999822</v>
      </c>
      <c r="Q1784">
        <f t="shared" si="83"/>
        <v>0.3747312499999822</v>
      </c>
      <c r="Y1784">
        <f>TREND(H1780:H1784,G1780:G1784,G1784)</f>
        <v>90.354324116339967</v>
      </c>
      <c r="Z1784">
        <f>ABS((Y1784-H1784)/80*100)</f>
        <v>4.8373895424962399E-2</v>
      </c>
      <c r="AE1784">
        <f>ABS(P1825-P1797)</f>
        <v>0.21814374999999941</v>
      </c>
      <c r="AH1784">
        <f>H1784-AG1766</f>
        <v>90.195805000000007</v>
      </c>
      <c r="AI1784">
        <f>100*(AH1784-O1784)/80</f>
        <v>0.22495624999999464</v>
      </c>
    </row>
    <row r="1785" spans="1:41" x14ac:dyDescent="0.35">
      <c r="A1785" t="s">
        <v>285</v>
      </c>
      <c r="B1785" t="s">
        <v>231</v>
      </c>
      <c r="C1785" t="s">
        <v>992</v>
      </c>
      <c r="D1785">
        <v>0</v>
      </c>
      <c r="E1785">
        <v>0</v>
      </c>
      <c r="F1785">
        <v>0</v>
      </c>
      <c r="G1785">
        <v>-6.0000000000000002E-6</v>
      </c>
      <c r="H1785">
        <v>50.174999999999997</v>
      </c>
      <c r="J1785">
        <v>-16784</v>
      </c>
      <c r="N1785" t="s">
        <v>198</v>
      </c>
      <c r="O1785">
        <f t="shared" si="81"/>
        <v>49.999760000000002</v>
      </c>
      <c r="P1785">
        <f t="shared" si="82"/>
        <v>0.21904999999999397</v>
      </c>
      <c r="Q1785">
        <f t="shared" si="83"/>
        <v>0.21904999999999397</v>
      </c>
      <c r="Y1785">
        <f>TREND(H1780:H1784,G1780:G1784,G1785)</f>
        <v>50.23570730125163</v>
      </c>
      <c r="Z1785">
        <f>ABS((Y1785-H1785)/80*100)</f>
        <v>7.5884126564540466E-2</v>
      </c>
      <c r="AE1785">
        <f>ABS(P1826-P1798)</f>
        <v>0.20889375000001209</v>
      </c>
      <c r="AH1785">
        <f>H1785-AG1766</f>
        <v>50.05518</v>
      </c>
      <c r="AI1785">
        <f>100*(AH1785-O1785)/80</f>
        <v>6.9274999999997533E-2</v>
      </c>
    </row>
    <row r="1786" spans="1:41" x14ac:dyDescent="0.35">
      <c r="A1786" t="s">
        <v>285</v>
      </c>
      <c r="B1786" t="s">
        <v>231</v>
      </c>
      <c r="C1786" t="s">
        <v>1028</v>
      </c>
      <c r="D1786">
        <v>0</v>
      </c>
      <c r="E1786">
        <v>-0.1</v>
      </c>
      <c r="F1786">
        <v>-1</v>
      </c>
      <c r="G1786">
        <v>-0.99999099999999996</v>
      </c>
      <c r="H1786">
        <v>10.2046875</v>
      </c>
      <c r="J1786">
        <v>-16769</v>
      </c>
      <c r="N1786" t="s">
        <v>198</v>
      </c>
      <c r="O1786">
        <f t="shared" si="81"/>
        <v>10.000360000000001</v>
      </c>
      <c r="P1786">
        <f t="shared" si="82"/>
        <v>0.25540937499999972</v>
      </c>
      <c r="Q1786">
        <f t="shared" si="83"/>
        <v>0.25540937499999972</v>
      </c>
      <c r="Y1786">
        <f>TREND(H1780:H1784,G1780:G1784,G1786)</f>
        <v>10.133813226833439</v>
      </c>
      <c r="Z1786">
        <f>ABS((Y1786-H1786)/80*100)</f>
        <v>8.8592841458201566E-2</v>
      </c>
      <c r="AE1786">
        <f>ABS(P1827-P1799)</f>
        <v>0.20146875000000009</v>
      </c>
      <c r="AH1786">
        <f>H1786-AG1766</f>
        <v>10.084867500000003</v>
      </c>
      <c r="AI1786">
        <f>100*(AH1786-O1786)/80</f>
        <v>0.10563437500000328</v>
      </c>
    </row>
    <row r="1787" spans="1:41" x14ac:dyDescent="0.35">
      <c r="A1787" t="s">
        <v>285</v>
      </c>
      <c r="B1787" t="s">
        <v>231</v>
      </c>
      <c r="C1787" t="s">
        <v>1064</v>
      </c>
      <c r="D1787">
        <v>10</v>
      </c>
      <c r="E1787">
        <v>10</v>
      </c>
      <c r="F1787">
        <v>-1</v>
      </c>
      <c r="G1787">
        <v>-0.99979099999999999</v>
      </c>
      <c r="H1787">
        <v>10.182812500000001</v>
      </c>
      <c r="J1787">
        <v>-12430</v>
      </c>
      <c r="N1787" t="s">
        <v>198</v>
      </c>
      <c r="O1787">
        <f t="shared" si="81"/>
        <v>10.00836</v>
      </c>
      <c r="P1787">
        <f t="shared" si="82"/>
        <v>0.21806562500000126</v>
      </c>
      <c r="Q1787">
        <f t="shared" si="83"/>
        <v>0.21806562500000126</v>
      </c>
      <c r="S1787">
        <v>50.228124999999999</v>
      </c>
      <c r="T1787">
        <v>0.28760624999999429</v>
      </c>
      <c r="U1787">
        <v>90.293750000000003</v>
      </c>
      <c r="V1787">
        <v>0.37138750000000442</v>
      </c>
      <c r="W1787">
        <v>80.11093444824219</v>
      </c>
      <c r="X1787">
        <f>(W1787-80)/80*100</f>
        <v>0.13866806030273793</v>
      </c>
      <c r="Y1787">
        <f>TREND(H1787:H1791,G1787:G1791,G1787)</f>
        <v>10.157274226085399</v>
      </c>
      <c r="Z1787">
        <f>ABS((Y1787-H1787)/80*100)</f>
        <v>3.1922842393252715E-2</v>
      </c>
      <c r="AA1787">
        <f>MAX(Z1787:Z1791)</f>
        <v>5.4257510546085186E-2</v>
      </c>
      <c r="AB1787">
        <f>IF(ABS(MAX(P1787:P1793)) &gt; ABS(MIN(P1787:P1793)),MAX(P1787:P1793), MIN(P1787:P1793))</f>
        <v>0.37138750000000442</v>
      </c>
      <c r="AC1787">
        <f>IF(ABS(AB1788)&gt;ABS(AB1787),AB1788,AB1787)</f>
        <v>0.37138750000000442</v>
      </c>
      <c r="AE1787">
        <f>ABS(P1828-P1800)</f>
        <v>0.14020937499999775</v>
      </c>
      <c r="AH1787">
        <f>H1787-AG1766</f>
        <v>10.062992500000004</v>
      </c>
      <c r="AI1787">
        <f>100*(AH1787-O1787)/80</f>
        <v>6.8290625000004823E-2</v>
      </c>
      <c r="AJ1787">
        <v>50.108305000000001</v>
      </c>
      <c r="AK1787">
        <v>0.13783124999999785</v>
      </c>
      <c r="AL1787">
        <v>90.173930000000013</v>
      </c>
      <c r="AM1787">
        <v>0.22161250000001687</v>
      </c>
      <c r="AN1787">
        <f>IF(ABS(MAX(AI1787:AI1793)) &gt; ABS(MIN(AI1787:AI1793)),MAX(AI1787:AI1793), MIN(AI1787:AI1793))</f>
        <v>0.22161250000001687</v>
      </c>
      <c r="AO1787">
        <f>IF(ABS(AN1788)&gt;ABS(AN1787),AN1788,AN1787)</f>
        <v>0.22161250000001687</v>
      </c>
    </row>
    <row r="1788" spans="1:41" x14ac:dyDescent="0.35">
      <c r="A1788" t="s">
        <v>285</v>
      </c>
      <c r="B1788" t="s">
        <v>231</v>
      </c>
      <c r="C1788" t="s">
        <v>1100</v>
      </c>
      <c r="D1788">
        <v>10</v>
      </c>
      <c r="E1788">
        <v>10</v>
      </c>
      <c r="F1788">
        <v>-0.5</v>
      </c>
      <c r="G1788">
        <v>-0.50012599999999996</v>
      </c>
      <c r="H1788">
        <v>30.139062500000001</v>
      </c>
      <c r="J1788">
        <v>-12423</v>
      </c>
      <c r="N1788" t="s">
        <v>198</v>
      </c>
      <c r="O1788">
        <f t="shared" si="81"/>
        <v>29.994960000000003</v>
      </c>
      <c r="P1788">
        <f t="shared" si="82"/>
        <v>0.18012812499999864</v>
      </c>
      <c r="Q1788">
        <f t="shared" si="83"/>
        <v>0.18012812499999864</v>
      </c>
      <c r="Y1788">
        <f>TREND(H1787:H1791,G1787:G1791,G1788)</f>
        <v>30.18246850843687</v>
      </c>
      <c r="Z1788">
        <f>ABS((Y1788-H1788)/80*100)</f>
        <v>5.4257510546085186E-2</v>
      </c>
      <c r="AB1788">
        <f>IF(ABS(T1787) &gt; ABS(V1787),T1787,V1787)</f>
        <v>0.37138750000000442</v>
      </c>
      <c r="AH1788">
        <f>H1788-AG1766</f>
        <v>30.019242500000004</v>
      </c>
      <c r="AI1788">
        <f>100*(AH1788-O1788)/80</f>
        <v>3.0353125000002201E-2</v>
      </c>
      <c r="AN1788">
        <f>IF(ABS(AK1787) &gt; ABS(AM1787),AK1787,AM1787)</f>
        <v>0.22161250000001687</v>
      </c>
    </row>
    <row r="1789" spans="1:41" x14ac:dyDescent="0.35">
      <c r="A1789" t="s">
        <v>285</v>
      </c>
      <c r="B1789" t="s">
        <v>1111</v>
      </c>
      <c r="C1789" t="s">
        <v>1138</v>
      </c>
      <c r="D1789">
        <v>10</v>
      </c>
      <c r="E1789">
        <v>10</v>
      </c>
      <c r="F1789">
        <v>0</v>
      </c>
      <c r="G1789">
        <v>-4.8999999999999998E-5</v>
      </c>
      <c r="H1789">
        <v>50.228124999999999</v>
      </c>
      <c r="J1789">
        <v>-12414</v>
      </c>
      <c r="N1789" t="s">
        <v>198</v>
      </c>
      <c r="O1789">
        <f t="shared" si="81"/>
        <v>49.998040000000003</v>
      </c>
      <c r="P1789">
        <f t="shared" si="82"/>
        <v>0.28760624999999429</v>
      </c>
      <c r="Q1789">
        <f t="shared" si="83"/>
        <v>0.28760624999999429</v>
      </c>
      <c r="Y1789">
        <f>TREND(H1787:H1791,G1787:G1791,G1789)</f>
        <v>50.224174613798418</v>
      </c>
      <c r="Z1789">
        <f>ABS((Y1789-H1789)/80*100)</f>
        <v>4.9379827519757669E-3</v>
      </c>
      <c r="AH1789">
        <f>H1789-AG1766</f>
        <v>50.108305000000001</v>
      </c>
      <c r="AI1789">
        <f>100*(AH1789-O1789)/80</f>
        <v>0.13783124999999785</v>
      </c>
    </row>
    <row r="1790" spans="1:41" x14ac:dyDescent="0.35">
      <c r="A1790" t="s">
        <v>285</v>
      </c>
      <c r="B1790" t="s">
        <v>1111</v>
      </c>
      <c r="C1790" t="s">
        <v>1175</v>
      </c>
      <c r="D1790">
        <v>10</v>
      </c>
      <c r="E1790">
        <v>10</v>
      </c>
      <c r="F1790">
        <v>0.5</v>
      </c>
      <c r="G1790">
        <v>0.49983</v>
      </c>
      <c r="H1790">
        <v>70.278125000000003</v>
      </c>
      <c r="J1790">
        <v>-12404</v>
      </c>
      <c r="N1790" t="s">
        <v>198</v>
      </c>
      <c r="O1790">
        <f t="shared" si="81"/>
        <v>69.993200000000002</v>
      </c>
      <c r="P1790">
        <f t="shared" si="82"/>
        <v>0.35615625000000151</v>
      </c>
      <c r="Q1790">
        <f t="shared" si="83"/>
        <v>0.35615625000000151</v>
      </c>
      <c r="Y1790">
        <f>TREND(H1787:H1791,G1787:G1791,G1790)</f>
        <v>70.257945425577446</v>
      </c>
      <c r="Z1790">
        <f>ABS((Y1790-H1790)/80*100)</f>
        <v>2.5224468028195446E-2</v>
      </c>
      <c r="AH1790">
        <f>H1790-AG1766</f>
        <v>70.158305000000013</v>
      </c>
      <c r="AI1790">
        <f>100*(AH1790-O1790)/80</f>
        <v>0.20638125000001395</v>
      </c>
    </row>
    <row r="1791" spans="1:41" x14ac:dyDescent="0.35">
      <c r="A1791" t="s">
        <v>285</v>
      </c>
      <c r="B1791" t="s">
        <v>1111</v>
      </c>
      <c r="C1791" t="s">
        <v>1212</v>
      </c>
      <c r="D1791">
        <v>10</v>
      </c>
      <c r="E1791">
        <v>10</v>
      </c>
      <c r="F1791">
        <v>1</v>
      </c>
      <c r="G1791">
        <v>0.99991600000000003</v>
      </c>
      <c r="H1791">
        <v>90.293750000000003</v>
      </c>
      <c r="J1791">
        <v>-12391</v>
      </c>
      <c r="N1791" t="s">
        <v>198</v>
      </c>
      <c r="O1791">
        <f t="shared" si="81"/>
        <v>89.996639999999999</v>
      </c>
      <c r="P1791">
        <f t="shared" si="82"/>
        <v>0.37138750000000442</v>
      </c>
      <c r="Q1791">
        <f t="shared" si="83"/>
        <v>0.37138750000000442</v>
      </c>
      <c r="Y1791">
        <f>TREND(H1787:H1791,G1787:G1791,G1791)</f>
        <v>90.300012226101842</v>
      </c>
      <c r="Z1791">
        <f>ABS((Y1791-H1791)/80*100)</f>
        <v>7.8277826272987738E-3</v>
      </c>
      <c r="AH1791">
        <f>H1791-AG1766</f>
        <v>90.173930000000013</v>
      </c>
      <c r="AI1791">
        <f>100*(AH1791-O1791)/80</f>
        <v>0.22161250000001687</v>
      </c>
    </row>
    <row r="1792" spans="1:41" x14ac:dyDescent="0.35">
      <c r="A1792" t="s">
        <v>285</v>
      </c>
      <c r="B1792" t="s">
        <v>1111</v>
      </c>
      <c r="C1792" t="s">
        <v>1248</v>
      </c>
      <c r="D1792">
        <v>10</v>
      </c>
      <c r="E1792">
        <v>10</v>
      </c>
      <c r="F1792">
        <v>0</v>
      </c>
      <c r="G1792">
        <v>1.1400000000000001E-4</v>
      </c>
      <c r="H1792">
        <v>50.146875000000001</v>
      </c>
      <c r="J1792">
        <v>-12384</v>
      </c>
      <c r="N1792" t="s">
        <v>198</v>
      </c>
      <c r="O1792">
        <f t="shared" si="81"/>
        <v>50.004559999999998</v>
      </c>
      <c r="P1792">
        <f t="shared" si="82"/>
        <v>0.1778937500000044</v>
      </c>
      <c r="Q1792">
        <f t="shared" si="83"/>
        <v>0.1778937500000044</v>
      </c>
      <c r="Y1792">
        <f>TREND(H1787:H1791,G1787:G1791,G1792)</f>
        <v>50.230707203969878</v>
      </c>
      <c r="Z1792">
        <f>ABS((Y1792-H1792)/80*100)</f>
        <v>0.10479025496234584</v>
      </c>
      <c r="AH1792">
        <f>H1792-AG1766</f>
        <v>50.027055000000004</v>
      </c>
      <c r="AI1792">
        <f>100*(AH1792-O1792)/80</f>
        <v>2.8118750000007964E-2</v>
      </c>
    </row>
    <row r="1793" spans="1:41" x14ac:dyDescent="0.35">
      <c r="A1793" t="s">
        <v>285</v>
      </c>
      <c r="B1793" t="s">
        <v>1111</v>
      </c>
      <c r="C1793" t="s">
        <v>1284</v>
      </c>
      <c r="D1793">
        <v>10</v>
      </c>
      <c r="E1793">
        <v>10</v>
      </c>
      <c r="F1793">
        <v>-1</v>
      </c>
      <c r="G1793">
        <v>-1.000591</v>
      </c>
      <c r="H1793">
        <v>10.151562500000001</v>
      </c>
      <c r="J1793">
        <v>-12387</v>
      </c>
      <c r="N1793" t="s">
        <v>198</v>
      </c>
      <c r="O1793">
        <f t="shared" si="81"/>
        <v>9.9763599999999997</v>
      </c>
      <c r="P1793">
        <f t="shared" si="82"/>
        <v>0.2190031250000013</v>
      </c>
      <c r="Q1793">
        <f t="shared" si="83"/>
        <v>0.2190031250000013</v>
      </c>
      <c r="Y1793">
        <f>TREND(H1787:H1791,G1787:G1791,G1793)</f>
        <v>10.125212433832822</v>
      </c>
      <c r="Z1793">
        <f>ABS((Y1793-H1793)/80*100)</f>
        <v>3.2937582708973956E-2</v>
      </c>
      <c r="AH1793">
        <f>H1793-AG1766</f>
        <v>10.031742500000004</v>
      </c>
      <c r="AI1793">
        <f>100*(AH1793-O1793)/80</f>
        <v>6.9228125000004859E-2</v>
      </c>
    </row>
    <row r="1794" spans="1:41" x14ac:dyDescent="0.35">
      <c r="A1794" t="s">
        <v>285</v>
      </c>
      <c r="B1794" t="s">
        <v>1111</v>
      </c>
      <c r="C1794" t="s">
        <v>1321</v>
      </c>
      <c r="D1794">
        <v>25</v>
      </c>
      <c r="E1794">
        <v>25</v>
      </c>
      <c r="F1794">
        <v>-1</v>
      </c>
      <c r="G1794">
        <v>-1.0003489999999999</v>
      </c>
      <c r="H1794">
        <v>10.2015625</v>
      </c>
      <c r="J1794">
        <v>-6350</v>
      </c>
      <c r="N1794" t="s">
        <v>198</v>
      </c>
      <c r="O1794">
        <f t="shared" si="81"/>
        <v>9.9860400000000027</v>
      </c>
      <c r="P1794">
        <f t="shared" si="82"/>
        <v>0.26940312499999619</v>
      </c>
      <c r="Q1794">
        <f t="shared" si="83"/>
        <v>0.26940312499999619</v>
      </c>
      <c r="S1794">
        <v>50.131250000000001</v>
      </c>
      <c r="T1794">
        <v>0.17181250000000148</v>
      </c>
      <c r="U1794">
        <v>90.292187499999997</v>
      </c>
      <c r="V1794">
        <v>0.37778437500000095</v>
      </c>
      <c r="W1794">
        <v>80.090628051757818</v>
      </c>
      <c r="X1794">
        <f>(W1794-80)/80*100</f>
        <v>0.11328506469727273</v>
      </c>
      <c r="Y1794">
        <f>TREND(H1794:H1798,G1794:G1798,G1794)</f>
        <v>10.105037149955088</v>
      </c>
      <c r="Z1794">
        <f>ABS((Y1794-H1794)/80*100)</f>
        <v>0.12065668755613991</v>
      </c>
      <c r="AA1794">
        <f>MAX(Z1794:Z1798)</f>
        <v>0.1264217659854916</v>
      </c>
      <c r="AB1794">
        <f>IF(ABS(MAX(P1794:P1800)) &gt; ABS(MIN(P1794:P1800)),MAX(P1794:P1800), MIN(P1794:P1800))</f>
        <v>0.37778437500000095</v>
      </c>
      <c r="AC1794">
        <f>IF(ABS(AB1795)&gt;ABS(AB1794),AB1795,AB1794)</f>
        <v>0.37778437500000095</v>
      </c>
      <c r="AH1794">
        <f>H1794-AG1766</f>
        <v>10.081742500000002</v>
      </c>
      <c r="AI1794">
        <f>100*(AH1794-O1794)/80</f>
        <v>0.11962812499999975</v>
      </c>
      <c r="AJ1794">
        <v>50.011430000000004</v>
      </c>
      <c r="AK1794">
        <v>2.2037500000005039E-2</v>
      </c>
      <c r="AL1794">
        <v>90.172367500000007</v>
      </c>
      <c r="AM1794">
        <v>0.22800937500001339</v>
      </c>
      <c r="AN1794">
        <f>IF(ABS(MAX(AI1794:AI1800)) &gt; ABS(MIN(AI1794:AI1800)),MAX(AI1794:AI1800), MIN(AI1794:AI1800))</f>
        <v>0.22800937500001339</v>
      </c>
      <c r="AO1794">
        <f>IF(ABS(AN1795)&gt;ABS(AN1794),AN1795,AN1794)</f>
        <v>0.22800937500001339</v>
      </c>
    </row>
    <row r="1795" spans="1:41" x14ac:dyDescent="0.35">
      <c r="A1795" t="s">
        <v>285</v>
      </c>
      <c r="B1795" t="s">
        <v>1111</v>
      </c>
      <c r="C1795" t="s">
        <v>1357</v>
      </c>
      <c r="D1795">
        <v>25</v>
      </c>
      <c r="E1795">
        <v>25</v>
      </c>
      <c r="F1795">
        <v>-0.5</v>
      </c>
      <c r="G1795">
        <v>-0.50020399999999998</v>
      </c>
      <c r="H1795">
        <v>30.048437499999999</v>
      </c>
      <c r="J1795">
        <v>-6335</v>
      </c>
      <c r="N1795" t="s">
        <v>198</v>
      </c>
      <c r="O1795">
        <f t="shared" si="81"/>
        <v>29.99184</v>
      </c>
      <c r="P1795">
        <f t="shared" si="82"/>
        <v>7.0746874999998433E-2</v>
      </c>
      <c r="Q1795">
        <f t="shared" si="83"/>
        <v>7.0746874999998433E-2</v>
      </c>
      <c r="Y1795">
        <f>TREND(H1794:H1798,G1794:G1798,G1795)</f>
        <v>30.149574912788392</v>
      </c>
      <c r="Z1795">
        <f>ABS((Y1795-H1795)/80*100)</f>
        <v>0.1264217659854916</v>
      </c>
      <c r="AB1795">
        <f>IF(ABS(T1794) &gt; ABS(V1794),T1794,V1794)</f>
        <v>0.37778437500000095</v>
      </c>
      <c r="AH1795">
        <f>H1795-AG1766</f>
        <v>29.928617500000001</v>
      </c>
      <c r="AI1795">
        <f>100*(AH1795-O1795)/80</f>
        <v>-7.9028124999998006E-2</v>
      </c>
      <c r="AN1795">
        <f>IF(ABS(AK1794) &gt; ABS(AM1794),AK1794,AM1794)</f>
        <v>0.22800937500001339</v>
      </c>
    </row>
    <row r="1796" spans="1:41" x14ac:dyDescent="0.35">
      <c r="A1796" t="s">
        <v>285</v>
      </c>
      <c r="B1796" t="s">
        <v>1111</v>
      </c>
      <c r="C1796" t="s">
        <v>1394</v>
      </c>
      <c r="D1796">
        <v>25</v>
      </c>
      <c r="E1796">
        <v>25</v>
      </c>
      <c r="F1796">
        <v>0</v>
      </c>
      <c r="G1796">
        <v>-1.55E-4</v>
      </c>
      <c r="H1796">
        <v>50.131250000000001</v>
      </c>
      <c r="J1796">
        <v>-6320</v>
      </c>
      <c r="N1796" t="s">
        <v>198</v>
      </c>
      <c r="O1796">
        <f t="shared" si="81"/>
        <v>49.9938</v>
      </c>
      <c r="P1796">
        <f t="shared" si="82"/>
        <v>0.17181250000000148</v>
      </c>
      <c r="Q1796">
        <f t="shared" si="83"/>
        <v>0.17181250000000148</v>
      </c>
      <c r="Y1796">
        <f>TREND(H1794:H1798,G1794:G1798,G1796)</f>
        <v>50.19026524012753</v>
      </c>
      <c r="Z1796">
        <f>ABS((Y1796-H1796)/80*100)</f>
        <v>7.3769050159411265E-2</v>
      </c>
      <c r="AH1796">
        <f>H1796-AG1766</f>
        <v>50.011430000000004</v>
      </c>
      <c r="AI1796">
        <f>100*(AH1796-O1796)/80</f>
        <v>2.2037500000005039E-2</v>
      </c>
    </row>
    <row r="1797" spans="1:41" x14ac:dyDescent="0.35">
      <c r="A1797" t="s">
        <v>285</v>
      </c>
      <c r="B1797" t="s">
        <v>1111</v>
      </c>
      <c r="C1797" t="s">
        <v>1431</v>
      </c>
      <c r="D1797">
        <v>25</v>
      </c>
      <c r="E1797">
        <v>25</v>
      </c>
      <c r="F1797">
        <v>0.5</v>
      </c>
      <c r="G1797">
        <v>0.49987799999999999</v>
      </c>
      <c r="H1797">
        <v>70.265625</v>
      </c>
      <c r="J1797">
        <v>-6307</v>
      </c>
      <c r="N1797" t="s">
        <v>198</v>
      </c>
      <c r="O1797">
        <f t="shared" si="81"/>
        <v>69.99512</v>
      </c>
      <c r="P1797">
        <f t="shared" si="82"/>
        <v>0.33813124999999999</v>
      </c>
      <c r="Q1797">
        <f t="shared" si="83"/>
        <v>0.33813124999999999</v>
      </c>
      <c r="Y1797">
        <f>TREND(H1794:H1798,G1794:G1798,G1797)</f>
        <v>70.230314328217631</v>
      </c>
      <c r="Z1797">
        <f>ABS((Y1797-H1797)/80*100)</f>
        <v>4.4138339727961551E-2</v>
      </c>
      <c r="AH1797">
        <f>H1797-AG1766</f>
        <v>70.145804999999996</v>
      </c>
      <c r="AI1797">
        <f>100*(AH1797-O1797)/80</f>
        <v>0.18835624999999467</v>
      </c>
    </row>
    <row r="1798" spans="1:41" x14ac:dyDescent="0.35">
      <c r="A1798" t="s">
        <v>285</v>
      </c>
      <c r="B1798" t="s">
        <v>1111</v>
      </c>
      <c r="C1798" t="s">
        <v>1467</v>
      </c>
      <c r="D1798">
        <v>25</v>
      </c>
      <c r="E1798">
        <v>25</v>
      </c>
      <c r="F1798">
        <v>1</v>
      </c>
      <c r="G1798">
        <v>0.999749</v>
      </c>
      <c r="H1798">
        <v>90.292187499999997</v>
      </c>
      <c r="J1798">
        <v>-6302</v>
      </c>
      <c r="N1798" t="s">
        <v>198</v>
      </c>
      <c r="O1798">
        <f t="shared" si="81"/>
        <v>89.989959999999996</v>
      </c>
      <c r="P1798">
        <f t="shared" si="82"/>
        <v>0.37778437500000095</v>
      </c>
      <c r="Q1798">
        <f t="shared" si="83"/>
        <v>0.37778437500000095</v>
      </c>
      <c r="Y1798">
        <f>TREND(H1794:H1798,G1794:G1798,G1798)</f>
        <v>90.26387086891134</v>
      </c>
      <c r="Z1798">
        <f>ABS((Y1798-H1798)/80*100)</f>
        <v>3.5395788860821398E-2</v>
      </c>
      <c r="AH1798">
        <f>H1798-AG1766</f>
        <v>90.172367500000007</v>
      </c>
      <c r="AI1798">
        <f>100*(AH1798-O1798)/80</f>
        <v>0.22800937500001339</v>
      </c>
    </row>
    <row r="1799" spans="1:41" x14ac:dyDescent="0.35">
      <c r="A1799" t="s">
        <v>285</v>
      </c>
      <c r="B1799" t="s">
        <v>1111</v>
      </c>
      <c r="C1799" t="s">
        <v>1504</v>
      </c>
      <c r="D1799">
        <v>25</v>
      </c>
      <c r="E1799">
        <v>25</v>
      </c>
      <c r="F1799">
        <v>0</v>
      </c>
      <c r="G1799">
        <v>-1.1900000000000001E-4</v>
      </c>
      <c r="H1799">
        <v>50.162500000000001</v>
      </c>
      <c r="J1799">
        <v>-6292</v>
      </c>
      <c r="N1799" t="s">
        <v>198</v>
      </c>
      <c r="O1799">
        <f t="shared" si="81"/>
        <v>49.995240000000003</v>
      </c>
      <c r="P1799">
        <f t="shared" si="82"/>
        <v>0.20907499999999857</v>
      </c>
      <c r="Q1799">
        <f t="shared" si="83"/>
        <v>0.20907499999999857</v>
      </c>
      <c r="Y1799">
        <f>TREND(H1794:H1798,G1794:G1798,G1799)</f>
        <v>50.191708028437844</v>
      </c>
      <c r="Z1799">
        <f>ABS((Y1799-H1799)/80*100)</f>
        <v>3.6510035547303588E-2</v>
      </c>
      <c r="AH1799">
        <f>H1799-AG1766</f>
        <v>50.042680000000004</v>
      </c>
      <c r="AI1799">
        <f>100*(AH1799-O1799)/80</f>
        <v>5.9300000000002129E-2</v>
      </c>
    </row>
    <row r="1800" spans="1:41" x14ac:dyDescent="0.35">
      <c r="A1800" t="s">
        <v>285</v>
      </c>
      <c r="B1800" t="s">
        <v>1111</v>
      </c>
      <c r="C1800" t="s">
        <v>1541</v>
      </c>
      <c r="D1800">
        <v>25</v>
      </c>
      <c r="E1800">
        <v>25</v>
      </c>
      <c r="F1800">
        <v>-1</v>
      </c>
      <c r="G1800">
        <v>-1.000213</v>
      </c>
      <c r="H1800">
        <v>10.0953125</v>
      </c>
      <c r="J1800">
        <v>-6292</v>
      </c>
      <c r="N1800" t="s">
        <v>198</v>
      </c>
      <c r="O1800">
        <f t="shared" si="81"/>
        <v>9.9914799999999993</v>
      </c>
      <c r="P1800">
        <f t="shared" si="82"/>
        <v>0.12979062500000138</v>
      </c>
      <c r="Q1800">
        <f t="shared" si="83"/>
        <v>0.12979062500000138</v>
      </c>
      <c r="Y1800">
        <f>TREND(H1794:H1798,G1794:G1798,G1800)</f>
        <v>10.110487683571826</v>
      </c>
      <c r="Z1800">
        <f>ABS((Y1800-H1800)/80*100)</f>
        <v>1.8968979464781821E-2</v>
      </c>
      <c r="AH1800">
        <f>H1800-AG1766</f>
        <v>9.9754925000000032</v>
      </c>
      <c r="AI1800">
        <f>100*(AH1800-O1800)/80</f>
        <v>-1.9984374999995058E-2</v>
      </c>
    </row>
    <row r="1801" spans="1:41" x14ac:dyDescent="0.35">
      <c r="A1801" t="s">
        <v>285</v>
      </c>
      <c r="B1801" t="s">
        <v>1111</v>
      </c>
      <c r="C1801" t="s">
        <v>1577</v>
      </c>
      <c r="D1801">
        <v>50</v>
      </c>
      <c r="E1801">
        <v>50</v>
      </c>
      <c r="F1801">
        <v>-1</v>
      </c>
      <c r="G1801">
        <v>-1.000353</v>
      </c>
      <c r="H1801">
        <v>10.207812499999999</v>
      </c>
      <c r="J1801">
        <v>3741</v>
      </c>
      <c r="N1801" t="s">
        <v>198</v>
      </c>
      <c r="O1801">
        <f t="shared" ref="O1801:O1864" si="84">(((G1801--1)*(40))+10)</f>
        <v>9.9858799999999981</v>
      </c>
      <c r="P1801">
        <f t="shared" ref="P1801:P1864" si="85">100*(H1801-O1801)/80</f>
        <v>0.2774156250000015</v>
      </c>
      <c r="Q1801">
        <f t="shared" ref="Q1801:Q1864" si="86">ABS(P1801)</f>
        <v>0.2774156250000015</v>
      </c>
      <c r="S1801">
        <v>50.118749999999999</v>
      </c>
      <c r="T1801">
        <v>0.16013749999999938</v>
      </c>
      <c r="U1801">
        <v>90.239062500000003</v>
      </c>
      <c r="V1801">
        <v>0.30077812500001855</v>
      </c>
      <c r="W1801">
        <v>80.031246948242185</v>
      </c>
      <c r="X1801">
        <f>(W1801-80)/80*100</f>
        <v>3.9058685302730822E-2</v>
      </c>
      <c r="Y1801">
        <f>TREND(H1801:H1805,G1801:G1805,G1801)</f>
        <v>10.124069318879599</v>
      </c>
      <c r="Z1801">
        <f>ABS((Y1801-H1801)/80*100)</f>
        <v>0.10467897640050072</v>
      </c>
      <c r="AA1801">
        <f>MAX(Z1801:Z1805)</f>
        <v>0.12169623021321742</v>
      </c>
      <c r="AB1801">
        <f>IF(ABS(MAX(P1801:P1807)) &gt; ABS(MIN(P1801:P1807)),MAX(P1801:P1807), MIN(P1801:P1807))</f>
        <v>0.3891250000000035</v>
      </c>
      <c r="AC1801">
        <f>IF(ABS(AB1802)&gt;ABS(AB1801),AB1802,AB1801)</f>
        <v>0.3891250000000035</v>
      </c>
      <c r="AH1801">
        <f>H1801-AG1766</f>
        <v>10.087992500000002</v>
      </c>
      <c r="AI1801">
        <f>100*(AH1801-O1801)/80</f>
        <v>0.12764062500000506</v>
      </c>
      <c r="AJ1801">
        <v>49.998930000000001</v>
      </c>
      <c r="AK1801">
        <v>1.0362500000002939E-2</v>
      </c>
      <c r="AL1801">
        <v>90.119242500000013</v>
      </c>
      <c r="AM1801">
        <v>0.15100312500003099</v>
      </c>
      <c r="AN1801">
        <f>IF(ABS(MAX(AI1801:AI1807)) &gt; ABS(MIN(AI1801:AI1807)),MAX(AI1801:AI1807), MIN(AI1801:AI1807))</f>
        <v>0.23934999999999818</v>
      </c>
      <c r="AO1801">
        <f>IF(ABS(AN1802)&gt;ABS(AN1801),AN1802,AN1801)</f>
        <v>0.23934999999999818</v>
      </c>
    </row>
    <row r="1802" spans="1:41" x14ac:dyDescent="0.35">
      <c r="A1802" t="s">
        <v>285</v>
      </c>
      <c r="B1802" t="s">
        <v>1111</v>
      </c>
      <c r="C1802" t="s">
        <v>1614</v>
      </c>
      <c r="D1802">
        <v>50</v>
      </c>
      <c r="E1802">
        <v>50</v>
      </c>
      <c r="F1802">
        <v>-0.5</v>
      </c>
      <c r="G1802">
        <v>-0.49996299999999999</v>
      </c>
      <c r="H1802">
        <v>30.0703125</v>
      </c>
      <c r="J1802">
        <v>3767</v>
      </c>
      <c r="N1802" t="s">
        <v>198</v>
      </c>
      <c r="O1802">
        <f t="shared" si="84"/>
        <v>30.001480000000001</v>
      </c>
      <c r="P1802">
        <f t="shared" si="85"/>
        <v>8.6040624999998983E-2</v>
      </c>
      <c r="Q1802">
        <f t="shared" si="86"/>
        <v>8.6040624999998983E-2</v>
      </c>
      <c r="Y1802">
        <f>TREND(H1801:H1805,G1801:G1805,G1802)</f>
        <v>30.167669484170574</v>
      </c>
      <c r="Z1802">
        <f>ABS((Y1802-H1802)/80*100)</f>
        <v>0.12169623021321742</v>
      </c>
      <c r="AB1802">
        <f>IF(ABS(T1801) &gt; ABS(V1801),T1801,V1801)</f>
        <v>0.30077812500001855</v>
      </c>
      <c r="AH1802">
        <f>H1802-AG1766</f>
        <v>29.950492500000003</v>
      </c>
      <c r="AI1802">
        <f>100*(AH1802-O1802)/80</f>
        <v>-6.3734374999997456E-2</v>
      </c>
      <c r="AN1802">
        <f>IF(ABS(AK1801) &gt; ABS(AM1801),AK1801,AM1801)</f>
        <v>0.15100312500003099</v>
      </c>
    </row>
    <row r="1803" spans="1:41" x14ac:dyDescent="0.35">
      <c r="A1803" t="s">
        <v>285</v>
      </c>
      <c r="B1803" t="s">
        <v>1111</v>
      </c>
      <c r="C1803" t="s">
        <v>1651</v>
      </c>
      <c r="D1803">
        <v>50</v>
      </c>
      <c r="E1803">
        <v>50</v>
      </c>
      <c r="F1803">
        <v>0</v>
      </c>
      <c r="G1803">
        <v>-2.34E-4</v>
      </c>
      <c r="H1803">
        <v>50.118749999999999</v>
      </c>
      <c r="J1803">
        <v>3788</v>
      </c>
      <c r="N1803" t="s">
        <v>198</v>
      </c>
      <c r="O1803">
        <f t="shared" si="84"/>
        <v>49.990639999999999</v>
      </c>
      <c r="P1803">
        <f t="shared" si="85"/>
        <v>0.16013749999999938</v>
      </c>
      <c r="Q1803">
        <f t="shared" si="86"/>
        <v>0.16013749999999938</v>
      </c>
      <c r="Y1803">
        <f>TREND(H1801:H1805,G1801:G1805,G1803)</f>
        <v>50.18479266209318</v>
      </c>
      <c r="Z1803">
        <f>ABS((Y1803-H1803)/80*100)</f>
        <v>8.2553327616476935E-2</v>
      </c>
      <c r="AH1803">
        <f>H1803-AG1766</f>
        <v>49.998930000000001</v>
      </c>
      <c r="AI1803">
        <f>100*(AH1803-O1803)/80</f>
        <v>1.0362500000002939E-2</v>
      </c>
    </row>
    <row r="1804" spans="1:41" x14ac:dyDescent="0.35">
      <c r="A1804" t="s">
        <v>285</v>
      </c>
      <c r="B1804" t="s">
        <v>1111</v>
      </c>
      <c r="C1804" t="s">
        <v>1688</v>
      </c>
      <c r="D1804">
        <v>50</v>
      </c>
      <c r="E1804">
        <v>50</v>
      </c>
      <c r="F1804">
        <v>0.5</v>
      </c>
      <c r="G1804">
        <v>0.50002999999999997</v>
      </c>
      <c r="H1804">
        <v>70.3125</v>
      </c>
      <c r="J1804">
        <v>3816</v>
      </c>
      <c r="N1804" t="s">
        <v>198</v>
      </c>
      <c r="O1804">
        <f t="shared" si="84"/>
        <v>70.001199999999997</v>
      </c>
      <c r="P1804">
        <f t="shared" si="85"/>
        <v>0.3891250000000035</v>
      </c>
      <c r="Q1804">
        <f t="shared" si="86"/>
        <v>0.3891250000000035</v>
      </c>
      <c r="Y1804">
        <f>TREND(H1801:H1805,G1801:G1805,G1804)</f>
        <v>70.223345776841924</v>
      </c>
      <c r="Z1804">
        <f>ABS((Y1804-H1804)/80*100)</f>
        <v>0.11144277894759469</v>
      </c>
      <c r="AH1804">
        <f>H1804-AG1766</f>
        <v>70.192679999999996</v>
      </c>
      <c r="AI1804">
        <f>100*(AH1804-O1804)/80</f>
        <v>0.23934999999999818</v>
      </c>
    </row>
    <row r="1805" spans="1:41" x14ac:dyDescent="0.35">
      <c r="A1805" t="s">
        <v>285</v>
      </c>
      <c r="B1805" t="s">
        <v>1111</v>
      </c>
      <c r="C1805" t="s">
        <v>1724</v>
      </c>
      <c r="D1805">
        <v>50</v>
      </c>
      <c r="E1805">
        <v>50</v>
      </c>
      <c r="F1805">
        <v>1</v>
      </c>
      <c r="G1805">
        <v>0.99996099999999999</v>
      </c>
      <c r="H1805">
        <v>90.239062500000003</v>
      </c>
      <c r="J1805">
        <v>3831</v>
      </c>
      <c r="N1805" t="s">
        <v>198</v>
      </c>
      <c r="O1805">
        <f t="shared" si="84"/>
        <v>89.998439999999988</v>
      </c>
      <c r="P1805">
        <f t="shared" si="85"/>
        <v>0.30077812500001855</v>
      </c>
      <c r="Q1805">
        <f t="shared" si="86"/>
        <v>0.30077812500001855</v>
      </c>
      <c r="Y1805">
        <f>TREND(H1801:H1805,G1801:G1805,G1805)</f>
        <v>90.248560258014777</v>
      </c>
      <c r="Z1805">
        <f>ABS((Y1805-H1805)/80*100)</f>
        <v>1.1872197518467686E-2</v>
      </c>
      <c r="AH1805">
        <f>H1805-AG1766</f>
        <v>90.119242500000013</v>
      </c>
      <c r="AI1805">
        <f>100*(AH1805-O1805)/80</f>
        <v>0.15100312500003099</v>
      </c>
    </row>
    <row r="1806" spans="1:41" x14ac:dyDescent="0.35">
      <c r="A1806" t="s">
        <v>285</v>
      </c>
      <c r="B1806" t="s">
        <v>1111</v>
      </c>
      <c r="C1806" t="s">
        <v>1761</v>
      </c>
      <c r="D1806">
        <v>50</v>
      </c>
      <c r="E1806">
        <v>50</v>
      </c>
      <c r="F1806">
        <v>0</v>
      </c>
      <c r="G1806">
        <v>-4.0000000000000003E-5</v>
      </c>
      <c r="H1806">
        <v>50.143749999999997</v>
      </c>
      <c r="J1806">
        <v>3853</v>
      </c>
      <c r="N1806" t="s">
        <v>198</v>
      </c>
      <c r="O1806">
        <f t="shared" si="84"/>
        <v>49.998399999999997</v>
      </c>
      <c r="P1806">
        <f t="shared" si="85"/>
        <v>0.18168750000000067</v>
      </c>
      <c r="Q1806">
        <f t="shared" si="86"/>
        <v>0.18168750000000067</v>
      </c>
      <c r="Y1806">
        <f>TREND(H1801:H1805,G1801:G1805,G1806)</f>
        <v>50.192563517689948</v>
      </c>
      <c r="Z1806">
        <f>ABS((Y1806-H1806)/80*100)</f>
        <v>6.1016897112438066E-2</v>
      </c>
      <c r="AH1806">
        <f>H1806-AG1766</f>
        <v>50.02393</v>
      </c>
      <c r="AI1806">
        <f>100*(AH1806-O1806)/80</f>
        <v>3.1912500000004229E-2</v>
      </c>
    </row>
    <row r="1807" spans="1:41" x14ac:dyDescent="0.35">
      <c r="A1807" t="s">
        <v>285</v>
      </c>
      <c r="B1807" t="s">
        <v>1111</v>
      </c>
      <c r="C1807" t="s">
        <v>1798</v>
      </c>
      <c r="D1807">
        <v>50</v>
      </c>
      <c r="E1807">
        <v>50</v>
      </c>
      <c r="F1807">
        <v>-1</v>
      </c>
      <c r="G1807">
        <v>-1.0000800000000001</v>
      </c>
      <c r="H1807">
        <v>10.168749999999999</v>
      </c>
      <c r="J1807">
        <v>3866</v>
      </c>
      <c r="N1807" t="s">
        <v>198</v>
      </c>
      <c r="O1807">
        <f t="shared" si="84"/>
        <v>9.9967999999999968</v>
      </c>
      <c r="P1807">
        <f t="shared" si="85"/>
        <v>0.21493750000000311</v>
      </c>
      <c r="Q1807">
        <f t="shared" si="86"/>
        <v>0.21493750000000311</v>
      </c>
      <c r="Y1807">
        <f>TREND(H1801:H1805,G1801:G1805,G1807)</f>
        <v>10.135004595054426</v>
      </c>
      <c r="Z1807">
        <f>ABS((Y1807-H1807)/80*100)</f>
        <v>4.2181756181967067E-2</v>
      </c>
      <c r="AH1807">
        <f>H1807-AG1766</f>
        <v>10.048930000000002</v>
      </c>
      <c r="AI1807">
        <f>100*(AH1807-O1807)/80</f>
        <v>6.5162500000006673E-2</v>
      </c>
    </row>
    <row r="1808" spans="1:41" x14ac:dyDescent="0.35">
      <c r="A1808" t="s">
        <v>285</v>
      </c>
      <c r="B1808" t="s">
        <v>1111</v>
      </c>
      <c r="C1808" t="s">
        <v>1835</v>
      </c>
      <c r="D1808">
        <v>70</v>
      </c>
      <c r="E1808">
        <v>70</v>
      </c>
      <c r="F1808">
        <v>-1</v>
      </c>
      <c r="G1808">
        <v>-1.0002120000000001</v>
      </c>
      <c r="H1808">
        <v>10.223437499999999</v>
      </c>
      <c r="J1808">
        <v>11963</v>
      </c>
      <c r="N1808" t="s">
        <v>198</v>
      </c>
      <c r="O1808">
        <f t="shared" si="84"/>
        <v>9.991519999999996</v>
      </c>
      <c r="P1808">
        <f t="shared" si="85"/>
        <v>0.28989687500000416</v>
      </c>
      <c r="Q1808">
        <f t="shared" si="86"/>
        <v>0.28989687500000416</v>
      </c>
      <c r="S1808">
        <v>50.206249999999997</v>
      </c>
      <c r="T1808">
        <v>0.26416249999999586</v>
      </c>
      <c r="U1808">
        <v>90.270312500000003</v>
      </c>
      <c r="V1808">
        <v>0.33219062500000618</v>
      </c>
      <c r="W1808">
        <v>80.046871948242185</v>
      </c>
      <c r="X1808">
        <f>(W1808-80)/80*100</f>
        <v>5.8589935302730822E-2</v>
      </c>
      <c r="Y1808">
        <f>TREND(H1808:H1812,G1808:G1812,G1808)</f>
        <v>10.141741969655996</v>
      </c>
      <c r="Z1808">
        <f>ABS((Y1808-H1808)/80*100)</f>
        <v>0.10211941293000402</v>
      </c>
      <c r="AA1808">
        <f>MAX(Z1808:Z1812)</f>
        <v>0.1568828604120398</v>
      </c>
      <c r="AB1808">
        <f>IF(ABS(MAX(P1808:P1814)) &gt; ABS(MIN(P1808:P1814)),MAX(P1808:P1814), MIN(P1808:P1814))</f>
        <v>0.36106874999999761</v>
      </c>
      <c r="AC1808">
        <f>IF(ABS(AB1809)&gt;ABS(AB1808),AB1809,AB1808)</f>
        <v>0.36106874999999761</v>
      </c>
      <c r="AH1808">
        <f>H1808-AG1766</f>
        <v>10.103617500000002</v>
      </c>
      <c r="AI1808">
        <f>100*(AH1808-O1808)/80</f>
        <v>0.14012187500000772</v>
      </c>
      <c r="AJ1808">
        <v>50.08643</v>
      </c>
      <c r="AK1808">
        <v>0.11438749999999942</v>
      </c>
      <c r="AL1808">
        <v>90.150492500000013</v>
      </c>
      <c r="AM1808">
        <v>0.18241562500001862</v>
      </c>
      <c r="AN1808">
        <f>IF(ABS(MAX(AI1808:AI1814)) &gt; ABS(MIN(AI1808:AI1814)),MAX(AI1808:AI1814), MIN(AI1808:AI1814))</f>
        <v>0.21129375000001005</v>
      </c>
      <c r="AO1808">
        <f>IF(ABS(AN1809)&gt;ABS(AN1808),AN1809,AN1808)</f>
        <v>0.21129375000001005</v>
      </c>
    </row>
    <row r="1809" spans="1:41" x14ac:dyDescent="0.35">
      <c r="A1809" t="s">
        <v>285</v>
      </c>
      <c r="B1809" t="s">
        <v>1111</v>
      </c>
      <c r="C1809" t="s">
        <v>1872</v>
      </c>
      <c r="D1809">
        <v>70</v>
      </c>
      <c r="E1809">
        <v>70</v>
      </c>
      <c r="F1809">
        <v>-0.5</v>
      </c>
      <c r="G1809">
        <v>-0.50012199999999996</v>
      </c>
      <c r="H1809">
        <v>30.05</v>
      </c>
      <c r="J1809">
        <v>11993</v>
      </c>
      <c r="N1809" t="s">
        <v>198</v>
      </c>
      <c r="O1809">
        <f t="shared" si="84"/>
        <v>29.99512</v>
      </c>
      <c r="P1809">
        <f t="shared" si="85"/>
        <v>6.8600000000000882E-2</v>
      </c>
      <c r="Q1809">
        <f t="shared" si="86"/>
        <v>6.8600000000000882E-2</v>
      </c>
      <c r="Y1809">
        <f>TREND(H1808:H1812,G1808:G1812,G1809)</f>
        <v>30.175506288329633</v>
      </c>
      <c r="Z1809">
        <f>ABS((Y1809-H1809)/80*100)</f>
        <v>0.1568828604120398</v>
      </c>
      <c r="AB1809">
        <f>IF(ABS(T1808) &gt; ABS(V1808),T1808,V1808)</f>
        <v>0.33219062500000618</v>
      </c>
      <c r="AH1809">
        <f>H1809-AG1766</f>
        <v>29.930180000000004</v>
      </c>
      <c r="AI1809">
        <f>100*(AH1809-O1809)/80</f>
        <v>-8.1174999999995556E-2</v>
      </c>
      <c r="AN1809">
        <f>IF(ABS(AK1808) &gt; ABS(AM1808),AK1808,AM1808)</f>
        <v>0.18241562500001862</v>
      </c>
    </row>
    <row r="1810" spans="1:41" x14ac:dyDescent="0.35">
      <c r="A1810" t="s">
        <v>285</v>
      </c>
      <c r="B1810" t="s">
        <v>1111</v>
      </c>
      <c r="C1810" t="s">
        <v>1908</v>
      </c>
      <c r="D1810">
        <v>70</v>
      </c>
      <c r="E1810">
        <v>70</v>
      </c>
      <c r="F1810">
        <v>0</v>
      </c>
      <c r="G1810">
        <v>-1.27E-4</v>
      </c>
      <c r="H1810">
        <v>50.206249999999997</v>
      </c>
      <c r="J1810">
        <v>12004</v>
      </c>
      <c r="N1810" t="s">
        <v>198</v>
      </c>
      <c r="O1810">
        <f t="shared" si="84"/>
        <v>49.99492</v>
      </c>
      <c r="P1810">
        <f t="shared" si="85"/>
        <v>0.26416249999999586</v>
      </c>
      <c r="Q1810">
        <f t="shared" si="86"/>
        <v>0.26416249999999586</v>
      </c>
      <c r="Y1810">
        <f>TREND(H1808:H1812,G1808:G1812,G1810)</f>
        <v>50.20546487681414</v>
      </c>
      <c r="Z1810">
        <f>ABS((Y1810-H1810)/80*100)</f>
        <v>9.8140398232082759E-4</v>
      </c>
      <c r="AH1810">
        <f>H1810-AG1766</f>
        <v>50.08643</v>
      </c>
      <c r="AI1810">
        <f>100*(AH1810-O1810)/80</f>
        <v>0.11438749999999942</v>
      </c>
    </row>
    <row r="1811" spans="1:41" x14ac:dyDescent="0.35">
      <c r="A1811" t="s">
        <v>285</v>
      </c>
      <c r="B1811" t="s">
        <v>1111</v>
      </c>
      <c r="C1811" t="s">
        <v>1945</v>
      </c>
      <c r="D1811">
        <v>70</v>
      </c>
      <c r="E1811">
        <v>70</v>
      </c>
      <c r="F1811">
        <v>0.5</v>
      </c>
      <c r="G1811">
        <v>0.499888</v>
      </c>
      <c r="H1811">
        <v>70.284374999999997</v>
      </c>
      <c r="J1811">
        <v>12030</v>
      </c>
      <c r="N1811" t="s">
        <v>198</v>
      </c>
      <c r="O1811">
        <f t="shared" si="84"/>
        <v>69.995519999999999</v>
      </c>
      <c r="P1811">
        <f t="shared" si="85"/>
        <v>0.36106874999999761</v>
      </c>
      <c r="Q1811">
        <f t="shared" si="86"/>
        <v>0.36106874999999761</v>
      </c>
      <c r="Y1811">
        <f>TREND(H1808:H1812,G1808:G1812,G1811)</f>
        <v>70.236224671654256</v>
      </c>
      <c r="Z1811">
        <f>ABS((Y1811-H1811)/80*100)</f>
        <v>6.018791043217675E-2</v>
      </c>
      <c r="AH1811">
        <f>H1811-AG1766</f>
        <v>70.164555000000007</v>
      </c>
      <c r="AI1811">
        <f>100*(AH1811-O1811)/80</f>
        <v>0.21129375000001005</v>
      </c>
    </row>
    <row r="1812" spans="1:41" x14ac:dyDescent="0.35">
      <c r="A1812" t="s">
        <v>285</v>
      </c>
      <c r="B1812" t="s">
        <v>1111</v>
      </c>
      <c r="C1812" t="s">
        <v>1981</v>
      </c>
      <c r="D1812">
        <v>70</v>
      </c>
      <c r="E1812">
        <v>70</v>
      </c>
      <c r="F1812">
        <v>1</v>
      </c>
      <c r="G1812">
        <v>1.0001139999999999</v>
      </c>
      <c r="H1812">
        <v>90.270312500000003</v>
      </c>
      <c r="J1812">
        <v>12058</v>
      </c>
      <c r="N1812" t="s">
        <v>198</v>
      </c>
      <c r="O1812">
        <f t="shared" si="84"/>
        <v>90.004559999999998</v>
      </c>
      <c r="P1812">
        <f t="shared" si="85"/>
        <v>0.33219062500000618</v>
      </c>
      <c r="Q1812">
        <f t="shared" si="86"/>
        <v>0.33219062500000618</v>
      </c>
      <c r="Y1812">
        <f>TREND(H1808:H1812,G1808:G1812,G1812)</f>
        <v>90.275437193545969</v>
      </c>
      <c r="Z1812">
        <f>ABS((Y1812-H1812)/80*100)</f>
        <v>6.4058669324573714E-3</v>
      </c>
      <c r="AH1812">
        <f>H1812-AG1766</f>
        <v>90.150492500000013</v>
      </c>
      <c r="AI1812">
        <f>100*(AH1812-O1812)/80</f>
        <v>0.18241562500001862</v>
      </c>
    </row>
    <row r="1813" spans="1:41" x14ac:dyDescent="0.35">
      <c r="A1813" t="s">
        <v>285</v>
      </c>
      <c r="B1813" t="s">
        <v>1111</v>
      </c>
      <c r="C1813" t="s">
        <v>2017</v>
      </c>
      <c r="D1813">
        <v>70</v>
      </c>
      <c r="E1813">
        <v>70</v>
      </c>
      <c r="F1813">
        <v>0</v>
      </c>
      <c r="G1813">
        <v>-6.4999999999999994E-5</v>
      </c>
      <c r="H1813">
        <v>50.131250000000001</v>
      </c>
      <c r="J1813">
        <v>12073</v>
      </c>
      <c r="N1813" t="s">
        <v>198</v>
      </c>
      <c r="O1813">
        <f t="shared" si="84"/>
        <v>49.997399999999999</v>
      </c>
      <c r="P1813">
        <f t="shared" si="85"/>
        <v>0.16731250000000308</v>
      </c>
      <c r="Q1813">
        <f t="shared" si="86"/>
        <v>0.16731250000000308</v>
      </c>
      <c r="Y1813">
        <f>TREND(H1808:H1812,G1808:G1812,G1813)</f>
        <v>50.207948616516511</v>
      </c>
      <c r="Z1813">
        <f>ABS((Y1813-H1813)/80*100)</f>
        <v>9.5873270645636666E-2</v>
      </c>
      <c r="AH1813">
        <f>H1813-AG1766</f>
        <v>50.011430000000004</v>
      </c>
      <c r="AI1813">
        <f>100*(AH1813-O1813)/80</f>
        <v>1.7537500000006645E-2</v>
      </c>
    </row>
    <row r="1814" spans="1:41" x14ac:dyDescent="0.35">
      <c r="A1814" t="s">
        <v>285</v>
      </c>
      <c r="B1814" t="s">
        <v>1111</v>
      </c>
      <c r="C1814" t="s">
        <v>2054</v>
      </c>
      <c r="D1814">
        <v>70</v>
      </c>
      <c r="E1814">
        <v>70</v>
      </c>
      <c r="F1814">
        <v>-1</v>
      </c>
      <c r="G1814">
        <v>-1.0001070000000001</v>
      </c>
      <c r="H1814">
        <v>10.198437500000001</v>
      </c>
      <c r="J1814">
        <v>12090</v>
      </c>
      <c r="N1814" t="s">
        <v>198</v>
      </c>
      <c r="O1814">
        <f t="shared" si="84"/>
        <v>9.9957199999999968</v>
      </c>
      <c r="P1814">
        <f t="shared" si="85"/>
        <v>0.25339687500000485</v>
      </c>
      <c r="Q1814">
        <f t="shared" si="86"/>
        <v>0.25339687500000485</v>
      </c>
      <c r="Y1814">
        <f>TREND(H1808:H1812,G1808:G1812,G1814)</f>
        <v>10.145948303022912</v>
      </c>
      <c r="Z1814">
        <f>ABS((Y1814-H1814)/80*100)</f>
        <v>6.5611496221360532E-2</v>
      </c>
      <c r="AH1814">
        <f>H1814-AG1766</f>
        <v>10.078617500000004</v>
      </c>
      <c r="AI1814">
        <f>100*(AH1814-O1814)/80</f>
        <v>0.10362187500000841</v>
      </c>
    </row>
    <row r="1815" spans="1:41" x14ac:dyDescent="0.35">
      <c r="A1815" t="s">
        <v>285</v>
      </c>
      <c r="B1815" t="s">
        <v>1111</v>
      </c>
      <c r="C1815" t="s">
        <v>2090</v>
      </c>
      <c r="D1815">
        <v>85</v>
      </c>
      <c r="E1815">
        <v>85</v>
      </c>
      <c r="F1815">
        <v>-1</v>
      </c>
      <c r="G1815">
        <v>-1.000129</v>
      </c>
      <c r="H1815">
        <v>10.21875</v>
      </c>
      <c r="J1815">
        <v>18166</v>
      </c>
      <c r="N1815" t="s">
        <v>198</v>
      </c>
      <c r="O1815">
        <f t="shared" si="84"/>
        <v>9.9948399999999982</v>
      </c>
      <c r="P1815">
        <f t="shared" si="85"/>
        <v>0.27988750000000229</v>
      </c>
      <c r="Q1815">
        <f t="shared" si="86"/>
        <v>0.27988750000000229</v>
      </c>
      <c r="S1815">
        <v>50.198437499999997</v>
      </c>
      <c r="T1815">
        <v>0.25629687499999498</v>
      </c>
      <c r="U1815">
        <v>90.28125</v>
      </c>
      <c r="V1815">
        <v>0.35286250000000408</v>
      </c>
      <c r="W1815">
        <v>80.0625</v>
      </c>
      <c r="X1815">
        <f>(W1815-80)/80*100</f>
        <v>7.8125E-2</v>
      </c>
      <c r="Y1815">
        <f>TREND(H1815:H1819,G1815:G1819,G1815)</f>
        <v>10.175010352288687</v>
      </c>
      <c r="Z1815">
        <f>ABS((Y1815-H1815)/80*100)</f>
        <v>5.4674559639140689E-2</v>
      </c>
      <c r="AA1815">
        <f>MAX(Z1815:Z1819)</f>
        <v>6.8507932665262672E-2</v>
      </c>
      <c r="AB1815">
        <f>IF(ABS(MAX(P1815:P1821)) &gt; ABS(MIN(P1815:P1821)),MAX(P1815:P1821), MIN(P1815:P1821))</f>
        <v>0.39342187499999071</v>
      </c>
      <c r="AC1815">
        <f>IF(ABS(AB1816)&gt;ABS(AB1815),AB1816,AB1815)</f>
        <v>0.39342187499999071</v>
      </c>
      <c r="AH1815">
        <f>H1815-AG1766</f>
        <v>10.098930000000003</v>
      </c>
      <c r="AI1815">
        <f>100*(AH1815-O1815)/80</f>
        <v>0.13011250000000585</v>
      </c>
      <c r="AJ1815">
        <v>50.0786175</v>
      </c>
      <c r="AK1815">
        <v>0.10652187499999854</v>
      </c>
      <c r="AL1815">
        <v>90.161429999999996</v>
      </c>
      <c r="AM1815">
        <v>0.20308749999999876</v>
      </c>
      <c r="AN1815">
        <f>IF(ABS(MAX(AI1815:AI1821)) &gt; ABS(MIN(AI1815:AI1821)),MAX(AI1815:AI1821), MIN(AI1815:AI1821))</f>
        <v>0.24364687499998539</v>
      </c>
      <c r="AO1815">
        <f>IF(ABS(AN1816)&gt;ABS(AN1815),AN1816,AN1815)</f>
        <v>0.24364687499998539</v>
      </c>
    </row>
    <row r="1816" spans="1:41" x14ac:dyDescent="0.35">
      <c r="A1816" t="s">
        <v>285</v>
      </c>
      <c r="B1816" t="s">
        <v>1111</v>
      </c>
      <c r="C1816" t="s">
        <v>2126</v>
      </c>
      <c r="D1816">
        <v>85</v>
      </c>
      <c r="E1816">
        <v>85</v>
      </c>
      <c r="F1816">
        <v>-0.5</v>
      </c>
      <c r="G1816">
        <v>-0.50031400000000004</v>
      </c>
      <c r="H1816">
        <v>30.140625</v>
      </c>
      <c r="J1816">
        <v>18190</v>
      </c>
      <c r="N1816" t="s">
        <v>198</v>
      </c>
      <c r="O1816">
        <f t="shared" si="84"/>
        <v>29.987439999999999</v>
      </c>
      <c r="P1816">
        <f t="shared" si="85"/>
        <v>0.19148125000000071</v>
      </c>
      <c r="Q1816">
        <f t="shared" si="86"/>
        <v>0.19148125000000071</v>
      </c>
      <c r="Y1816">
        <f>TREND(H1815:H1819,G1815:G1819,G1816)</f>
        <v>30.19543134613221</v>
      </c>
      <c r="Z1816">
        <f>ABS((Y1816-H1816)/80*100)</f>
        <v>6.8507932665262672E-2</v>
      </c>
      <c r="AB1816">
        <f>IF(ABS(T1815) &gt; ABS(V1815),T1815,V1815)</f>
        <v>0.35286250000000408</v>
      </c>
      <c r="AH1816">
        <f>H1816-AG1766</f>
        <v>30.020805000000003</v>
      </c>
      <c r="AI1816">
        <f>100*(AH1816-O1816)/80</f>
        <v>4.1706250000004275E-2</v>
      </c>
      <c r="AN1816">
        <f>IF(ABS(AK1815) &gt; ABS(AM1815),AK1815,AM1815)</f>
        <v>0.20308749999999876</v>
      </c>
    </row>
    <row r="1817" spans="1:41" x14ac:dyDescent="0.35">
      <c r="A1817" t="s">
        <v>285</v>
      </c>
      <c r="B1817" t="s">
        <v>1111</v>
      </c>
      <c r="C1817" t="s">
        <v>2162</v>
      </c>
      <c r="D1817">
        <v>85</v>
      </c>
      <c r="E1817">
        <v>85</v>
      </c>
      <c r="F1817">
        <v>0</v>
      </c>
      <c r="G1817">
        <v>-1.65E-4</v>
      </c>
      <c r="H1817">
        <v>50.198437499999997</v>
      </c>
      <c r="J1817">
        <v>18209</v>
      </c>
      <c r="N1817" t="s">
        <v>198</v>
      </c>
      <c r="O1817">
        <f t="shared" si="84"/>
        <v>49.993400000000001</v>
      </c>
      <c r="P1817">
        <f t="shared" si="85"/>
        <v>0.25629687499999498</v>
      </c>
      <c r="Q1817">
        <f t="shared" si="86"/>
        <v>0.25629687499999498</v>
      </c>
      <c r="Y1817">
        <f>TREND(H1815:H1819,G1815:G1819,G1817)</f>
        <v>50.229230931278408</v>
      </c>
      <c r="Z1817">
        <f>ABS((Y1817-H1817)/80*100)</f>
        <v>3.8491789098014095E-2</v>
      </c>
      <c r="AH1817">
        <f>H1817-AG1766</f>
        <v>50.0786175</v>
      </c>
      <c r="AI1817">
        <f>100*(AH1817-O1817)/80</f>
        <v>0.10652187499999854</v>
      </c>
    </row>
    <row r="1818" spans="1:41" x14ac:dyDescent="0.35">
      <c r="A1818" t="s">
        <v>285</v>
      </c>
      <c r="B1818" t="s">
        <v>1111</v>
      </c>
      <c r="C1818" t="s">
        <v>2200</v>
      </c>
      <c r="D1818">
        <v>85</v>
      </c>
      <c r="E1818">
        <v>85</v>
      </c>
      <c r="F1818">
        <v>0.5</v>
      </c>
      <c r="G1818">
        <v>0.49990499999999999</v>
      </c>
      <c r="H1818">
        <v>70.310937499999994</v>
      </c>
      <c r="J1818">
        <v>18226</v>
      </c>
      <c r="N1818" t="s">
        <v>198</v>
      </c>
      <c r="O1818">
        <f t="shared" si="84"/>
        <v>69.996200000000002</v>
      </c>
      <c r="P1818">
        <f t="shared" si="85"/>
        <v>0.39342187499999071</v>
      </c>
      <c r="Q1818">
        <f t="shared" si="86"/>
        <v>0.39342187499999071</v>
      </c>
      <c r="Y1818">
        <f>TREND(H1815:H1819,G1815:G1819,G1818)</f>
        <v>70.259866119080556</v>
      </c>
      <c r="Z1818">
        <f>ABS((Y1818-H1818)/80*100)</f>
        <v>6.3839226149298156E-2</v>
      </c>
      <c r="AH1818">
        <f>H1818-AG1766</f>
        <v>70.19111749999999</v>
      </c>
      <c r="AI1818">
        <f>100*(AH1818-O1818)/80</f>
        <v>0.24364687499998539</v>
      </c>
    </row>
    <row r="1819" spans="1:41" x14ac:dyDescent="0.35">
      <c r="A1819" t="s">
        <v>285</v>
      </c>
      <c r="B1819" t="s">
        <v>1111</v>
      </c>
      <c r="C1819" t="s">
        <v>2236</v>
      </c>
      <c r="D1819">
        <v>85</v>
      </c>
      <c r="E1819">
        <v>85</v>
      </c>
      <c r="F1819">
        <v>1</v>
      </c>
      <c r="G1819">
        <v>0.99997400000000003</v>
      </c>
      <c r="H1819">
        <v>90.28125</v>
      </c>
      <c r="J1819">
        <v>18243</v>
      </c>
      <c r="N1819" t="s">
        <v>198</v>
      </c>
      <c r="O1819">
        <f t="shared" si="84"/>
        <v>89.998959999999997</v>
      </c>
      <c r="P1819">
        <f t="shared" si="85"/>
        <v>0.35286250000000408</v>
      </c>
      <c r="Q1819">
        <f t="shared" si="86"/>
        <v>0.35286250000000408</v>
      </c>
      <c r="Y1819">
        <f>TREND(H1815:H1819,G1815:G1819,G1819)</f>
        <v>90.290461251220123</v>
      </c>
      <c r="Z1819">
        <f>ABS((Y1819-H1819)/80*100)</f>
        <v>1.1514064025153203E-2</v>
      </c>
      <c r="AH1819">
        <f>H1819-AG1766</f>
        <v>90.161429999999996</v>
      </c>
      <c r="AI1819">
        <f>100*(AH1819-O1819)/80</f>
        <v>0.20308749999999876</v>
      </c>
    </row>
    <row r="1820" spans="1:41" x14ac:dyDescent="0.35">
      <c r="A1820" t="s">
        <v>285</v>
      </c>
      <c r="B1820" t="s">
        <v>1111</v>
      </c>
      <c r="C1820" t="s">
        <v>2272</v>
      </c>
      <c r="D1820">
        <v>85</v>
      </c>
      <c r="E1820">
        <v>85</v>
      </c>
      <c r="F1820">
        <v>0</v>
      </c>
      <c r="G1820">
        <v>2.3E-5</v>
      </c>
      <c r="H1820">
        <v>50.189062499999999</v>
      </c>
      <c r="J1820">
        <v>18263</v>
      </c>
      <c r="N1820" t="s">
        <v>198</v>
      </c>
      <c r="O1820">
        <f t="shared" si="84"/>
        <v>50.000920000000008</v>
      </c>
      <c r="P1820">
        <f t="shared" si="85"/>
        <v>0.23517812499998847</v>
      </c>
      <c r="Q1820">
        <f t="shared" si="86"/>
        <v>0.23517812499998847</v>
      </c>
      <c r="Y1820">
        <f>TREND(H1815:H1819,G1815:G1819,G1820)</f>
        <v>50.236761395843978</v>
      </c>
      <c r="Z1820">
        <f>ABS((Y1820-H1820)/80*100)</f>
        <v>5.9623619804973771E-2</v>
      </c>
      <c r="AH1820">
        <f>H1820-AG1766</f>
        <v>50.069242500000001</v>
      </c>
      <c r="AI1820">
        <f>100*(AH1820-O1820)/80</f>
        <v>8.5403124999992031E-2</v>
      </c>
    </row>
    <row r="1821" spans="1:41" x14ac:dyDescent="0.35">
      <c r="A1821" t="s">
        <v>285</v>
      </c>
      <c r="B1821" t="s">
        <v>1111</v>
      </c>
      <c r="C1821" t="s">
        <v>2310</v>
      </c>
      <c r="D1821">
        <v>85</v>
      </c>
      <c r="E1821">
        <v>85</v>
      </c>
      <c r="F1821">
        <v>-1</v>
      </c>
      <c r="G1821">
        <v>-1.0001249999999999</v>
      </c>
      <c r="H1821">
        <v>10.25625</v>
      </c>
      <c r="J1821">
        <v>18274</v>
      </c>
      <c r="N1821" t="s">
        <v>198</v>
      </c>
      <c r="O1821">
        <f t="shared" si="84"/>
        <v>9.9950000000000028</v>
      </c>
      <c r="P1821">
        <f t="shared" si="85"/>
        <v>0.32656249999999609</v>
      </c>
      <c r="Q1821">
        <f t="shared" si="86"/>
        <v>0.32656249999999609</v>
      </c>
      <c r="Y1821">
        <f>TREND(H1815:H1819,G1815:G1819,G1821)</f>
        <v>10.175170574939024</v>
      </c>
      <c r="Z1821">
        <f>ABS((Y1821-H1821)/80*100)</f>
        <v>0.10134928132621956</v>
      </c>
      <c r="AH1821">
        <f>H1821-AG1766</f>
        <v>10.136430000000002</v>
      </c>
      <c r="AI1821">
        <f>100*(AH1821-O1821)/80</f>
        <v>0.17678749999999965</v>
      </c>
    </row>
    <row r="1822" spans="1:41" x14ac:dyDescent="0.35">
      <c r="A1822" t="s">
        <v>285</v>
      </c>
      <c r="B1822" t="s">
        <v>1111</v>
      </c>
      <c r="C1822" t="s">
        <v>2347</v>
      </c>
      <c r="D1822">
        <v>25</v>
      </c>
      <c r="E1822">
        <v>25</v>
      </c>
      <c r="F1822">
        <v>-1</v>
      </c>
      <c r="G1822">
        <v>-1.000014</v>
      </c>
      <c r="H1822">
        <v>9.9437499999999996</v>
      </c>
      <c r="J1822">
        <v>-5730</v>
      </c>
      <c r="N1822" t="s">
        <v>198</v>
      </c>
      <c r="O1822">
        <f t="shared" si="84"/>
        <v>9.9994400000000017</v>
      </c>
      <c r="P1822">
        <f t="shared" si="85"/>
        <v>-6.961250000000252E-2</v>
      </c>
      <c r="Q1822">
        <f t="shared" si="86"/>
        <v>6.961250000000252E-2</v>
      </c>
      <c r="S1822">
        <v>50.018749999999997</v>
      </c>
      <c r="T1822">
        <v>2.198749999999805E-2</v>
      </c>
      <c r="U1822">
        <v>90.120312499999997</v>
      </c>
      <c r="V1822">
        <v>0.16889062499998886</v>
      </c>
      <c r="W1822">
        <v>80.176565551757818</v>
      </c>
      <c r="X1822">
        <f>(W1822-80)/80*100</f>
        <v>0.2207069396972727</v>
      </c>
      <c r="Y1822">
        <f>TREND(H1822:H1826,G1822:G1826,G1822)</f>
        <v>9.9111187405902683</v>
      </c>
      <c r="Z1822">
        <f>ABS((Y1822-H1822)/80*100)</f>
        <v>4.078907426216416E-2</v>
      </c>
      <c r="AA1822">
        <f>MAX(Z1822:Z1826)</f>
        <v>5.7209353059612937E-2</v>
      </c>
      <c r="AB1822">
        <f>IF(ABS(MAX(P1822:P1828)) &gt; ABS(MIN(P1822:P1828)),MAX(P1822:P1828), MIN(P1822:P1828))</f>
        <v>0.16889062499998886</v>
      </c>
      <c r="AC1822">
        <f>IF(ABS(AB1823)&gt;ABS(AB1822),AB1823,AB1822)</f>
        <v>0.16889062499998886</v>
      </c>
      <c r="AH1822">
        <f>H1822-AG1766</f>
        <v>9.8239300000000025</v>
      </c>
      <c r="AI1822">
        <f>100*(AH1822-O1822)/80</f>
        <v>-0.21938749999999896</v>
      </c>
      <c r="AJ1822">
        <v>49.89893</v>
      </c>
      <c r="AK1822">
        <v>-0.12778749999999839</v>
      </c>
      <c r="AL1822">
        <v>90.000492500000007</v>
      </c>
      <c r="AM1822">
        <v>1.9115625000001302E-2</v>
      </c>
      <c r="AN1822">
        <f>IF(ABS(MAX(AI1822:AI1828)) &gt; ABS(MIN(AI1822:AI1828)),MAX(AI1822:AI1828), MIN(AI1822:AI1828))</f>
        <v>-0.24790937500000165</v>
      </c>
      <c r="AO1822">
        <f>IF(ABS(AN1823)&gt;ABS(AN1822),AN1823,AN1822)</f>
        <v>-0.24790937500000165</v>
      </c>
    </row>
    <row r="1823" spans="1:41" x14ac:dyDescent="0.35">
      <c r="A1823" t="s">
        <v>285</v>
      </c>
      <c r="B1823" t="s">
        <v>1111</v>
      </c>
      <c r="C1823" t="s">
        <v>2383</v>
      </c>
      <c r="D1823">
        <v>25</v>
      </c>
      <c r="E1823">
        <v>25</v>
      </c>
      <c r="F1823">
        <v>-0.5</v>
      </c>
      <c r="G1823">
        <v>-0.50034199999999995</v>
      </c>
      <c r="H1823">
        <v>29.907812499999999</v>
      </c>
      <c r="J1823">
        <v>-5762</v>
      </c>
      <c r="N1823" t="s">
        <v>198</v>
      </c>
      <c r="O1823">
        <f t="shared" si="84"/>
        <v>29.986320000000003</v>
      </c>
      <c r="P1823">
        <f t="shared" si="85"/>
        <v>-9.8134375000005214E-2</v>
      </c>
      <c r="Q1823">
        <f t="shared" si="86"/>
        <v>9.8134375000005214E-2</v>
      </c>
      <c r="Y1823">
        <f>TREND(H1822:H1826,G1822:G1826,G1823)</f>
        <v>29.953579982447689</v>
      </c>
      <c r="Z1823">
        <f>ABS((Y1823-H1823)/80*100)</f>
        <v>5.7209353059612937E-2</v>
      </c>
      <c r="AB1823">
        <f>IF(ABS(T1822) &gt; ABS(V1822),T1822,V1822)</f>
        <v>0.16889062499998886</v>
      </c>
      <c r="AH1823">
        <f>H1823-AG1766</f>
        <v>29.787992500000001</v>
      </c>
      <c r="AI1823">
        <f>100*(AH1823-O1823)/80</f>
        <v>-0.24790937500000165</v>
      </c>
      <c r="AN1823">
        <f>IF(ABS(AK1822) &gt; ABS(AM1822),AK1822,AM1822)</f>
        <v>-0.12778749999999839</v>
      </c>
    </row>
    <row r="1824" spans="1:41" x14ac:dyDescent="0.35">
      <c r="A1824" t="s">
        <v>285</v>
      </c>
      <c r="B1824" t="s">
        <v>1111</v>
      </c>
      <c r="C1824" t="s">
        <v>2420</v>
      </c>
      <c r="D1824">
        <v>25</v>
      </c>
      <c r="E1824">
        <v>25</v>
      </c>
      <c r="F1824">
        <v>0</v>
      </c>
      <c r="G1824">
        <v>2.9E-5</v>
      </c>
      <c r="H1824">
        <v>50.018749999999997</v>
      </c>
      <c r="J1824">
        <v>-5791</v>
      </c>
      <c r="N1824" t="s">
        <v>198</v>
      </c>
      <c r="O1824">
        <f t="shared" si="84"/>
        <v>50.001159999999999</v>
      </c>
      <c r="P1824">
        <f t="shared" si="85"/>
        <v>2.198749999999805E-2</v>
      </c>
      <c r="Q1824">
        <f t="shared" si="86"/>
        <v>2.198749999999805E-2</v>
      </c>
      <c r="Y1824">
        <f>TREND(H1822:H1826,G1822:G1826,G1824)</f>
        <v>50.024078977887577</v>
      </c>
      <c r="Z1824">
        <f>ABS((Y1824-H1824)/80*100)</f>
        <v>6.661222359474194E-3</v>
      </c>
      <c r="AH1824">
        <f>H1824-AG1766</f>
        <v>49.89893</v>
      </c>
      <c r="AI1824">
        <f>100*(AH1824-O1824)/80</f>
        <v>-0.12778749999999839</v>
      </c>
    </row>
    <row r="1825" spans="1:41" x14ac:dyDescent="0.35">
      <c r="A1825" t="s">
        <v>285</v>
      </c>
      <c r="B1825" t="s">
        <v>1111</v>
      </c>
      <c r="C1825" t="s">
        <v>2456</v>
      </c>
      <c r="D1825">
        <v>25</v>
      </c>
      <c r="E1825">
        <v>25</v>
      </c>
      <c r="F1825">
        <v>0.5</v>
      </c>
      <c r="G1825">
        <v>0.499944</v>
      </c>
      <c r="H1825">
        <v>70.09375</v>
      </c>
      <c r="J1825">
        <v>-5825</v>
      </c>
      <c r="N1825" t="s">
        <v>198</v>
      </c>
      <c r="O1825">
        <f t="shared" si="84"/>
        <v>69.99776</v>
      </c>
      <c r="P1825">
        <f t="shared" si="85"/>
        <v>0.11998750000000058</v>
      </c>
      <c r="Q1825">
        <f t="shared" si="86"/>
        <v>0.11998750000000058</v>
      </c>
      <c r="Y1825">
        <f>TREND(H1822:H1826,G1822:G1826,G1825)</f>
        <v>70.076287249960359</v>
      </c>
      <c r="Z1825">
        <f>ABS((Y1825-H1825)/80*100)</f>
        <v>2.1828437549551438E-2</v>
      </c>
      <c r="AH1825">
        <f>H1825-AG1766</f>
        <v>69.973929999999996</v>
      </c>
      <c r="AI1825">
        <f>100*(AH1825-O1825)/80</f>
        <v>-2.9787500000004741E-2</v>
      </c>
    </row>
    <row r="1826" spans="1:41" x14ac:dyDescent="0.35">
      <c r="A1826" t="s">
        <v>285</v>
      </c>
      <c r="B1826" t="s">
        <v>1111</v>
      </c>
      <c r="C1826" t="s">
        <v>2494</v>
      </c>
      <c r="D1826">
        <v>25</v>
      </c>
      <c r="E1826">
        <v>25</v>
      </c>
      <c r="F1826">
        <v>1</v>
      </c>
      <c r="G1826">
        <v>0.99963000000000002</v>
      </c>
      <c r="H1826">
        <v>90.120312499999997</v>
      </c>
      <c r="J1826">
        <v>-5849</v>
      </c>
      <c r="N1826" t="s">
        <v>198</v>
      </c>
      <c r="O1826">
        <f t="shared" si="84"/>
        <v>89.985200000000006</v>
      </c>
      <c r="P1826">
        <f t="shared" si="85"/>
        <v>0.16889062499998886</v>
      </c>
      <c r="Q1826">
        <f t="shared" si="86"/>
        <v>0.16889062499998886</v>
      </c>
      <c r="Y1826">
        <f>TREND(H1822:H1826,G1822:G1826,G1826)</f>
        <v>90.119310049114148</v>
      </c>
      <c r="Z1826">
        <f>ABS((Y1826-H1826)/80*100)</f>
        <v>1.2530636073115886E-3</v>
      </c>
      <c r="AH1826">
        <f>H1826-AG1766</f>
        <v>90.000492500000007</v>
      </c>
      <c r="AI1826">
        <f>100*(AH1826-O1826)/80</f>
        <v>1.9115625000001302E-2</v>
      </c>
    </row>
    <row r="1827" spans="1:41" x14ac:dyDescent="0.35">
      <c r="A1827" t="s">
        <v>285</v>
      </c>
      <c r="B1827" t="s">
        <v>1111</v>
      </c>
      <c r="C1827" t="s">
        <v>2530</v>
      </c>
      <c r="D1827">
        <v>25</v>
      </c>
      <c r="E1827">
        <v>25</v>
      </c>
      <c r="F1827">
        <v>0</v>
      </c>
      <c r="G1827">
        <v>-7.3999999999999996E-5</v>
      </c>
      <c r="H1827">
        <v>50.003124999999997</v>
      </c>
      <c r="J1827">
        <v>-5877</v>
      </c>
      <c r="N1827" t="s">
        <v>198</v>
      </c>
      <c r="O1827">
        <f t="shared" si="84"/>
        <v>49.997039999999998</v>
      </c>
      <c r="P1827">
        <f t="shared" si="85"/>
        <v>7.6062499999984823E-3</v>
      </c>
      <c r="Q1827">
        <f t="shared" si="86"/>
        <v>7.6062499999984823E-3</v>
      </c>
      <c r="Y1827">
        <f>TREND(H1822:H1826,G1822:G1826,G1827)</f>
        <v>50.019947520635796</v>
      </c>
      <c r="Z1827">
        <f>ABS((Y1827-H1827)/80*100)</f>
        <v>2.1028150794748512E-2</v>
      </c>
      <c r="AH1827">
        <f>H1827-AG1766</f>
        <v>49.883305</v>
      </c>
      <c r="AI1827">
        <f>100*(AH1827-O1827)/80</f>
        <v>-0.14216874999999796</v>
      </c>
    </row>
    <row r="1828" spans="1:41" x14ac:dyDescent="0.35">
      <c r="A1828" t="s">
        <v>285</v>
      </c>
      <c r="B1828" t="s">
        <v>1111</v>
      </c>
      <c r="C1828" t="s">
        <v>2565</v>
      </c>
      <c r="D1828">
        <v>25</v>
      </c>
      <c r="E1828">
        <v>25</v>
      </c>
      <c r="F1828">
        <v>-1</v>
      </c>
      <c r="G1828">
        <v>-1.0000260000000001</v>
      </c>
      <c r="H1828">
        <v>9.9906249999999996</v>
      </c>
      <c r="J1828">
        <v>-5899</v>
      </c>
      <c r="N1828" t="s">
        <v>198</v>
      </c>
      <c r="O1828">
        <f t="shared" si="84"/>
        <v>9.9989599999999967</v>
      </c>
      <c r="P1828">
        <f t="shared" si="85"/>
        <v>-1.0418749999996368E-2</v>
      </c>
      <c r="Q1828">
        <f t="shared" si="86"/>
        <v>1.0418749999996368E-2</v>
      </c>
      <c r="Y1828">
        <f>TREND(H1822:H1826,G1822:G1826,G1828)</f>
        <v>9.9106374057648168</v>
      </c>
      <c r="Z1828">
        <f>ABS((Y1828-H1828)/80*100)</f>
        <v>9.9984492793978599E-2</v>
      </c>
      <c r="AH1828">
        <f>H1828-AG1766</f>
        <v>9.8708050000000025</v>
      </c>
      <c r="AI1828">
        <f>100*(AH1828-O1828)/80</f>
        <v>-0.16019374999999281</v>
      </c>
    </row>
    <row r="1829" spans="1:41" x14ac:dyDescent="0.35">
      <c r="A1829" t="s">
        <v>287</v>
      </c>
      <c r="B1829" t="s">
        <v>231</v>
      </c>
      <c r="C1829" t="s">
        <v>288</v>
      </c>
      <c r="D1829">
        <v>25</v>
      </c>
      <c r="E1829">
        <v>25</v>
      </c>
      <c r="F1829">
        <v>-1</v>
      </c>
      <c r="G1829">
        <v>-0.99994400000000006</v>
      </c>
      <c r="H1829">
        <v>10.010937500000001</v>
      </c>
      <c r="J1829">
        <v>-6136</v>
      </c>
      <c r="N1829" t="s">
        <v>199</v>
      </c>
      <c r="O1829">
        <f t="shared" si="84"/>
        <v>10.002239999999997</v>
      </c>
      <c r="P1829">
        <f t="shared" si="85"/>
        <v>1.0871875000004749E-2</v>
      </c>
      <c r="Q1829">
        <f t="shared" si="86"/>
        <v>1.0871875000004749E-2</v>
      </c>
      <c r="S1829">
        <v>50.189062499999999</v>
      </c>
      <c r="T1829">
        <v>0.2451281249999937</v>
      </c>
      <c r="U1829">
        <v>90.140625</v>
      </c>
      <c r="V1829">
        <v>0.18768124999999358</v>
      </c>
      <c r="W1829">
        <v>80.129687500000003</v>
      </c>
      <c r="X1829">
        <f>(W1829-80)/80*100</f>
        <v>0.16210937500000355</v>
      </c>
      <c r="Y1829">
        <f>TREND(H1829:H1833,G1829:G1833,G1829)</f>
        <v>10.019955613501665</v>
      </c>
      <c r="Z1829">
        <f>ABS((Y1829-H1829)/80*100)</f>
        <v>1.1272641877080325E-2</v>
      </c>
      <c r="AA1829">
        <f>MAX(Z1829:Z1833)</f>
        <v>0.11219105456520494</v>
      </c>
      <c r="AB1829">
        <f>IF(ABS(MAX(P1829:P1835)) &gt; ABS(MIN(P1829:P1835)),MAX(P1829:P1835), MIN(P1829:P1835))</f>
        <v>0.33902812499999158</v>
      </c>
      <c r="AC1829">
        <f>IF(ABS(AB1830)&gt;ABS(AB1829),AB1830,AB1829)</f>
        <v>0.33902812499999158</v>
      </c>
      <c r="AD1829">
        <f>MAX(AD1830:AD1831)</f>
        <v>7.8571874999999736E-2</v>
      </c>
      <c r="AE1829">
        <f>MAX(AE1830:AE1850)</f>
        <v>0.2888406249999953</v>
      </c>
      <c r="AF1829">
        <f>MAX(AD1829,AA1829)</f>
        <v>0.11219105456520494</v>
      </c>
      <c r="AG1829">
        <f>H1831-O1831</f>
        <v>0.19610249999999496</v>
      </c>
      <c r="AH1829">
        <f>H1829-AG1829</f>
        <v>9.8148350000000057</v>
      </c>
      <c r="AI1829">
        <f>100*(AH1829-O1829)/80</f>
        <v>-0.23425624999998895</v>
      </c>
      <c r="AJ1829">
        <v>49.992960000000004</v>
      </c>
      <c r="AK1829">
        <v>0</v>
      </c>
      <c r="AL1829">
        <v>89.944522500000005</v>
      </c>
      <c r="AM1829">
        <v>-5.7446875000000119E-2</v>
      </c>
      <c r="AN1829">
        <f>IF(ABS(MAX(AI1829:AI1835)) &gt; ABS(MIN(AI1829:AI1835)),MAX(AI1829:AI1835), MIN(AI1829:AI1835))</f>
        <v>-0.23515937499999362</v>
      </c>
      <c r="AO1829">
        <f>IF(ABS(AN1830)&gt;ABS(AN1829),AN1830,AN1829)</f>
        <v>-0.23515937499999362</v>
      </c>
    </row>
    <row r="1830" spans="1:41" x14ac:dyDescent="0.35">
      <c r="A1830" t="s">
        <v>287</v>
      </c>
      <c r="B1830" t="s">
        <v>231</v>
      </c>
      <c r="C1830" t="s">
        <v>334</v>
      </c>
      <c r="D1830">
        <v>25</v>
      </c>
      <c r="E1830">
        <v>25</v>
      </c>
      <c r="F1830">
        <v>-0.5</v>
      </c>
      <c r="G1830">
        <v>-0.50001099999999998</v>
      </c>
      <c r="H1830">
        <v>30.0078125</v>
      </c>
      <c r="J1830">
        <v>-6133</v>
      </c>
      <c r="N1830" t="s">
        <v>199</v>
      </c>
      <c r="O1830">
        <f t="shared" si="84"/>
        <v>29.999560000000002</v>
      </c>
      <c r="P1830">
        <f t="shared" si="85"/>
        <v>1.0315624999996942E-2</v>
      </c>
      <c r="Q1830">
        <f t="shared" si="86"/>
        <v>1.0315624999996942E-2</v>
      </c>
      <c r="Y1830">
        <f>TREND(H1829:H1833,G1829:G1833,G1830)</f>
        <v>30.071861531897021</v>
      </c>
      <c r="Z1830">
        <f>ABS((Y1830-H1830)/80*100)</f>
        <v>8.0061289871276031E-2</v>
      </c>
      <c r="AB1830">
        <f>IF(ABS(T1829) &gt; ABS(V1829),T1829,V1829)</f>
        <v>0.2451281249999937</v>
      </c>
      <c r="AD1830">
        <f>ABS(P1831-P1834)</f>
        <v>7.8571874999999736E-2</v>
      </c>
      <c r="AE1830">
        <f>ABS(P1857-P1829)</f>
        <v>0.13534062499999111</v>
      </c>
      <c r="AH1830">
        <f>H1830-AG1829</f>
        <v>29.811710000000005</v>
      </c>
      <c r="AI1830">
        <f>100*(AH1830-O1830)/80</f>
        <v>-0.23481249999999676</v>
      </c>
      <c r="AN1830">
        <f>IF(ABS(AK1829) &gt; ABS(AM1829),AK1829,AM1829)</f>
        <v>-5.7446875000000119E-2</v>
      </c>
    </row>
    <row r="1831" spans="1:41" x14ac:dyDescent="0.35">
      <c r="A1831" t="s">
        <v>287</v>
      </c>
      <c r="B1831" t="s">
        <v>231</v>
      </c>
      <c r="C1831" t="s">
        <v>371</v>
      </c>
      <c r="D1831">
        <v>25</v>
      </c>
      <c r="E1831">
        <v>25</v>
      </c>
      <c r="F1831">
        <v>0</v>
      </c>
      <c r="G1831">
        <v>-1.76E-4</v>
      </c>
      <c r="H1831">
        <v>50.189062499999999</v>
      </c>
      <c r="J1831">
        <v>-6138</v>
      </c>
      <c r="N1831" t="s">
        <v>199</v>
      </c>
      <c r="O1831">
        <f t="shared" si="84"/>
        <v>49.992960000000004</v>
      </c>
      <c r="P1831">
        <f t="shared" si="85"/>
        <v>0.2451281249999937</v>
      </c>
      <c r="Q1831">
        <f t="shared" si="86"/>
        <v>0.2451281249999937</v>
      </c>
      <c r="Y1831">
        <f>TREND(H1829:H1833,G1829:G1833,G1831)</f>
        <v>50.119836750018536</v>
      </c>
      <c r="Z1831">
        <f>ABS((Y1831-H1831)/80*100)</f>
        <v>8.6532187476828781E-2</v>
      </c>
      <c r="AD1831">
        <f>ABS(P1829-P1835)</f>
        <v>9.0312500000466756E-4</v>
      </c>
      <c r="AE1831">
        <f>ABS(P1858-P1830)</f>
        <v>0.14335937500000284</v>
      </c>
      <c r="AH1831">
        <f>H1831-AG1829</f>
        <v>49.992960000000004</v>
      </c>
      <c r="AI1831">
        <f>100*(AH1831-O1831)/80</f>
        <v>0</v>
      </c>
    </row>
    <row r="1832" spans="1:41" x14ac:dyDescent="0.35">
      <c r="A1832" t="s">
        <v>287</v>
      </c>
      <c r="B1832" t="s">
        <v>231</v>
      </c>
      <c r="C1832" t="s">
        <v>408</v>
      </c>
      <c r="D1832">
        <v>25</v>
      </c>
      <c r="E1832">
        <v>25</v>
      </c>
      <c r="F1832">
        <v>0.5</v>
      </c>
      <c r="G1832">
        <v>0.49982100000000002</v>
      </c>
      <c r="H1832">
        <v>70.264062499999994</v>
      </c>
      <c r="J1832">
        <v>-6138</v>
      </c>
      <c r="N1832" t="s">
        <v>199</v>
      </c>
      <c r="O1832">
        <f t="shared" si="84"/>
        <v>69.992840000000001</v>
      </c>
      <c r="P1832">
        <f t="shared" si="85"/>
        <v>0.33902812499999158</v>
      </c>
      <c r="Q1832">
        <f t="shared" si="86"/>
        <v>0.33902812499999158</v>
      </c>
      <c r="Y1832">
        <f>TREND(H1829:H1833,G1829:G1833,G1832)</f>
        <v>70.17430965634783</v>
      </c>
      <c r="Z1832">
        <f>ABS((Y1832-H1832)/80*100)</f>
        <v>0.11219105456520494</v>
      </c>
      <c r="AE1832">
        <f>ABS(P1859-P1831)</f>
        <v>7.5921875000011241E-2</v>
      </c>
      <c r="AH1832">
        <f>H1832-AG1829</f>
        <v>70.067959999999999</v>
      </c>
      <c r="AI1832">
        <f>100*(AH1832-O1832)/80</f>
        <v>9.3899999999997874E-2</v>
      </c>
    </row>
    <row r="1833" spans="1:41" x14ac:dyDescent="0.35">
      <c r="A1833" t="s">
        <v>287</v>
      </c>
      <c r="B1833" t="s">
        <v>231</v>
      </c>
      <c r="C1833" t="s">
        <v>445</v>
      </c>
      <c r="D1833">
        <v>25</v>
      </c>
      <c r="E1833">
        <v>25</v>
      </c>
      <c r="F1833">
        <v>1</v>
      </c>
      <c r="G1833">
        <v>0.99976200000000004</v>
      </c>
      <c r="H1833">
        <v>90.140625</v>
      </c>
      <c r="J1833">
        <v>-6133</v>
      </c>
      <c r="N1833" t="s">
        <v>199</v>
      </c>
      <c r="O1833">
        <f t="shared" si="84"/>
        <v>89.990480000000005</v>
      </c>
      <c r="P1833">
        <f t="shared" si="85"/>
        <v>0.18768124999999358</v>
      </c>
      <c r="Q1833">
        <f t="shared" si="86"/>
        <v>0.18768124999999358</v>
      </c>
      <c r="Y1833">
        <f>TREND(H1829:H1833,G1829:G1833,G1833)</f>
        <v>90.226536448234924</v>
      </c>
      <c r="Z1833">
        <f>ABS((Y1833-H1833)/80*100)</f>
        <v>0.10738931029365517</v>
      </c>
      <c r="AE1833">
        <f>ABS(P1860-P1832)</f>
        <v>8.0087500000001199E-2</v>
      </c>
      <c r="AH1833">
        <f>H1833-AG1829</f>
        <v>89.944522500000005</v>
      </c>
      <c r="AI1833">
        <f>100*(AH1833-O1833)/80</f>
        <v>-5.7446875000000119E-2</v>
      </c>
    </row>
    <row r="1834" spans="1:41" x14ac:dyDescent="0.35">
      <c r="A1834" t="s">
        <v>287</v>
      </c>
      <c r="B1834" t="s">
        <v>231</v>
      </c>
      <c r="C1834" t="s">
        <v>481</v>
      </c>
      <c r="D1834">
        <v>25</v>
      </c>
      <c r="E1834">
        <v>25</v>
      </c>
      <c r="F1834">
        <v>0</v>
      </c>
      <c r="G1834">
        <v>-1.2799999999999999E-4</v>
      </c>
      <c r="H1834">
        <v>50.128124999999997</v>
      </c>
      <c r="J1834">
        <v>-6136</v>
      </c>
      <c r="N1834" t="s">
        <v>199</v>
      </c>
      <c r="O1834">
        <f t="shared" si="84"/>
        <v>49.994880000000002</v>
      </c>
      <c r="P1834">
        <f t="shared" si="85"/>
        <v>0.16655624999999397</v>
      </c>
      <c r="Q1834">
        <f t="shared" si="86"/>
        <v>0.16655624999999397</v>
      </c>
      <c r="Y1834">
        <f>TREND(H1829:H1833,G1829:G1833,G1834)</f>
        <v>50.121761990968984</v>
      </c>
      <c r="Z1834">
        <f>ABS((Y1834-H1834)/80*100)</f>
        <v>7.9537612887659037E-3</v>
      </c>
      <c r="AE1834">
        <f>ABS(P1861-P1833)</f>
        <v>0.10723437499999378</v>
      </c>
      <c r="AH1834">
        <f>H1834-AG1829</f>
        <v>49.932022500000002</v>
      </c>
      <c r="AI1834">
        <f>100*(AH1834-O1834)/80</f>
        <v>-7.8571874999999736E-2</v>
      </c>
    </row>
    <row r="1835" spans="1:41" x14ac:dyDescent="0.35">
      <c r="A1835" t="s">
        <v>287</v>
      </c>
      <c r="B1835" t="s">
        <v>231</v>
      </c>
      <c r="C1835" t="s">
        <v>519</v>
      </c>
      <c r="D1835">
        <v>25</v>
      </c>
      <c r="E1835">
        <v>25</v>
      </c>
      <c r="F1835">
        <v>-1</v>
      </c>
      <c r="G1835">
        <v>-0.99996499999999999</v>
      </c>
      <c r="H1835">
        <v>10.009375</v>
      </c>
      <c r="J1835">
        <v>-6129</v>
      </c>
      <c r="N1835" t="s">
        <v>199</v>
      </c>
      <c r="O1835">
        <f t="shared" si="84"/>
        <v>10.0014</v>
      </c>
      <c r="P1835">
        <f t="shared" si="85"/>
        <v>9.9687500000000817E-3</v>
      </c>
      <c r="Q1835">
        <f t="shared" si="86"/>
        <v>9.9687500000000817E-3</v>
      </c>
      <c r="Y1835">
        <f>TREND(H1829:H1833,G1829:G1833,G1835)</f>
        <v>10.019113320585845</v>
      </c>
      <c r="Z1835">
        <f>ABS((Y1835-H1835)/80*100)</f>
        <v>1.2172900732305703E-2</v>
      </c>
      <c r="AE1835">
        <f>ABS(P1862-P1834)</f>
        <v>7.7828125000012349E-2</v>
      </c>
      <c r="AH1835">
        <f>H1835-AG1829</f>
        <v>9.8132725000000054</v>
      </c>
      <c r="AI1835">
        <f>100*(AH1835-O1835)/80</f>
        <v>-0.23515937499999362</v>
      </c>
    </row>
    <row r="1836" spans="1:41" x14ac:dyDescent="0.35">
      <c r="A1836" t="s">
        <v>287</v>
      </c>
      <c r="B1836" t="s">
        <v>231</v>
      </c>
      <c r="C1836" t="s">
        <v>556</v>
      </c>
      <c r="D1836">
        <v>-20</v>
      </c>
      <c r="E1836">
        <v>-20</v>
      </c>
      <c r="F1836">
        <v>-1</v>
      </c>
      <c r="G1836">
        <v>-0.99984300000000004</v>
      </c>
      <c r="H1836">
        <v>10.40625</v>
      </c>
      <c r="J1836">
        <v>-24571</v>
      </c>
      <c r="N1836" t="s">
        <v>199</v>
      </c>
      <c r="O1836">
        <f t="shared" si="84"/>
        <v>10.006279999999999</v>
      </c>
      <c r="P1836">
        <f t="shared" si="85"/>
        <v>0.49996250000000186</v>
      </c>
      <c r="Q1836">
        <f t="shared" si="86"/>
        <v>0.49996250000000186</v>
      </c>
      <c r="S1836">
        <v>50.764062500000001</v>
      </c>
      <c r="T1836">
        <v>0.9337781249999999</v>
      </c>
      <c r="U1836">
        <v>90.46875</v>
      </c>
      <c r="V1836">
        <v>0.59228749999999053</v>
      </c>
      <c r="W1836">
        <v>80.0625</v>
      </c>
      <c r="X1836">
        <f>(W1836-80)/80*100</f>
        <v>7.8125E-2</v>
      </c>
      <c r="Y1836">
        <f>TREND(H1836:H1840,G1836:G1840,G1836)</f>
        <v>10.530594923681214</v>
      </c>
      <c r="Z1836">
        <f>ABS((Y1836-H1836)/80*100)</f>
        <v>0.15543115460151746</v>
      </c>
      <c r="AA1836">
        <f>MAX(Z1836:Z1840)</f>
        <v>0.24032172782440853</v>
      </c>
      <c r="AB1836">
        <f>IF(ABS(MAX(P1836:P1842)) &gt; ABS(MIN(P1836:P1842)),MAX(P1836:P1842), MIN(P1836:P1842))</f>
        <v>0.97614374999999143</v>
      </c>
      <c r="AC1836">
        <f>IF(ABS(AB1837)&gt;ABS(AB1836),AB1837,AB1836)</f>
        <v>0.97614374999999143</v>
      </c>
      <c r="AE1836">
        <f>ABS(P1863-P1835)</f>
        <v>0.11048750000000052</v>
      </c>
      <c r="AH1836">
        <f>H1836-AG1829</f>
        <v>10.210147500000005</v>
      </c>
      <c r="AI1836">
        <f>100*(AH1836-O1836)/80</f>
        <v>0.25483437500000816</v>
      </c>
      <c r="AJ1836">
        <v>50.567960000000006</v>
      </c>
      <c r="AK1836">
        <v>0.6886500000000062</v>
      </c>
      <c r="AL1836">
        <v>90.272647500000005</v>
      </c>
      <c r="AM1836">
        <v>0.34715937499999683</v>
      </c>
      <c r="AN1836">
        <f>IF(ABS(MAX(AI1836:AI1842)) &gt; ABS(MIN(AI1836:AI1842)),MAX(AI1836:AI1842), MIN(AI1836:AI1842))</f>
        <v>0.73101562499999773</v>
      </c>
      <c r="AO1836">
        <f>IF(ABS(AN1837)&gt;ABS(AN1836),AN1837,AN1836)</f>
        <v>0.73101562499999773</v>
      </c>
    </row>
    <row r="1837" spans="1:41" x14ac:dyDescent="0.35">
      <c r="A1837" t="s">
        <v>287</v>
      </c>
      <c r="B1837" t="s">
        <v>231</v>
      </c>
      <c r="C1837" t="s">
        <v>593</v>
      </c>
      <c r="D1837">
        <v>-20</v>
      </c>
      <c r="E1837">
        <v>-20.100000000000001</v>
      </c>
      <c r="F1837">
        <v>-0.5</v>
      </c>
      <c r="G1837">
        <v>-0.50005999999999995</v>
      </c>
      <c r="H1837">
        <v>30.571874999999999</v>
      </c>
      <c r="J1837">
        <v>-24588</v>
      </c>
      <c r="N1837" t="s">
        <v>199</v>
      </c>
      <c r="O1837">
        <f t="shared" si="84"/>
        <v>29.997600000000002</v>
      </c>
      <c r="P1837">
        <f t="shared" si="85"/>
        <v>0.71784374999999567</v>
      </c>
      <c r="Q1837">
        <f t="shared" si="86"/>
        <v>0.71784374999999567</v>
      </c>
      <c r="Y1837">
        <f>TREND(H1836:H1840,G1836:G1840,G1837)</f>
        <v>30.557347687466496</v>
      </c>
      <c r="Z1837">
        <f>ABS((Y1837-H1837)/80*100)</f>
        <v>1.815914066687796E-2</v>
      </c>
      <c r="AB1837">
        <f>IF(ABS(T1836) &gt; ABS(V1836),T1836,V1836)</f>
        <v>0.9337781249999999</v>
      </c>
      <c r="AE1837">
        <f>ABS(P1885-P1829)</f>
        <v>0.14118125000000648</v>
      </c>
      <c r="AH1837">
        <f>H1837-AG1829</f>
        <v>30.375772500000004</v>
      </c>
      <c r="AI1837">
        <f>100*(AH1837-O1837)/80</f>
        <v>0.47271562500000197</v>
      </c>
      <c r="AN1837">
        <f>IF(ABS(AK1836) &gt; ABS(AM1836),AK1836,AM1836)</f>
        <v>0.6886500000000062</v>
      </c>
    </row>
    <row r="1838" spans="1:41" x14ac:dyDescent="0.35">
      <c r="A1838" t="s">
        <v>287</v>
      </c>
      <c r="B1838" t="s">
        <v>231</v>
      </c>
      <c r="C1838" t="s">
        <v>629</v>
      </c>
      <c r="D1838">
        <v>-20</v>
      </c>
      <c r="E1838">
        <v>-19.899999999999999</v>
      </c>
      <c r="F1838">
        <v>0</v>
      </c>
      <c r="G1838">
        <v>4.26E-4</v>
      </c>
      <c r="H1838">
        <v>50.764062500000001</v>
      </c>
      <c r="J1838">
        <v>-24597</v>
      </c>
      <c r="N1838" t="s">
        <v>199</v>
      </c>
      <c r="O1838">
        <f t="shared" si="84"/>
        <v>50.017040000000001</v>
      </c>
      <c r="P1838">
        <f t="shared" si="85"/>
        <v>0.9337781249999999</v>
      </c>
      <c r="Q1838">
        <f t="shared" si="86"/>
        <v>0.9337781249999999</v>
      </c>
      <c r="Y1838">
        <f>TREND(H1836:H1840,G1836:G1840,G1838)</f>
        <v>50.612270291348253</v>
      </c>
      <c r="Z1838">
        <f>ABS((Y1838-H1838)/80*100)</f>
        <v>0.18974026081468587</v>
      </c>
      <c r="AE1838">
        <f>ABS(P1886-P1830)</f>
        <v>2.0615625000002247E-2</v>
      </c>
      <c r="AH1838">
        <f>H1838-AG1829</f>
        <v>50.567960000000006</v>
      </c>
      <c r="AI1838">
        <f>100*(AH1838-O1838)/80</f>
        <v>0.6886500000000062</v>
      </c>
    </row>
    <row r="1839" spans="1:41" x14ac:dyDescent="0.35">
      <c r="A1839" t="s">
        <v>287</v>
      </c>
      <c r="B1839" t="s">
        <v>231</v>
      </c>
      <c r="C1839" t="s">
        <v>665</v>
      </c>
      <c r="D1839">
        <v>-20</v>
      </c>
      <c r="E1839">
        <v>-20</v>
      </c>
      <c r="F1839">
        <v>0.5</v>
      </c>
      <c r="G1839">
        <v>0.499774</v>
      </c>
      <c r="H1839">
        <v>70.771874999999994</v>
      </c>
      <c r="J1839">
        <v>-24616</v>
      </c>
      <c r="N1839" t="s">
        <v>199</v>
      </c>
      <c r="O1839">
        <f t="shared" si="84"/>
        <v>69.990960000000001</v>
      </c>
      <c r="P1839">
        <f t="shared" si="85"/>
        <v>0.97614374999999143</v>
      </c>
      <c r="Q1839">
        <f t="shared" si="86"/>
        <v>0.97614374999999143</v>
      </c>
      <c r="Y1839">
        <f>TREND(H1836:H1840,G1836:G1840,G1839)</f>
        <v>70.621592215244533</v>
      </c>
      <c r="Z1839">
        <f>ABS((Y1839-H1839)/80*100)</f>
        <v>0.18785348094432663</v>
      </c>
      <c r="AE1839">
        <f>ABS(P1887-P1831)</f>
        <v>0.21291874999998406</v>
      </c>
      <c r="AH1839">
        <f>H1839-AG1829</f>
        <v>70.575772499999999</v>
      </c>
      <c r="AI1839">
        <f>100*(AH1839-O1839)/80</f>
        <v>0.73101562499999773</v>
      </c>
    </row>
    <row r="1840" spans="1:41" x14ac:dyDescent="0.35">
      <c r="A1840" t="s">
        <v>287</v>
      </c>
      <c r="B1840" t="s">
        <v>231</v>
      </c>
      <c r="C1840" t="s">
        <v>701</v>
      </c>
      <c r="D1840">
        <v>-20</v>
      </c>
      <c r="E1840">
        <v>-20</v>
      </c>
      <c r="F1840">
        <v>1</v>
      </c>
      <c r="G1840">
        <v>0.99987300000000001</v>
      </c>
      <c r="H1840">
        <v>90.46875</v>
      </c>
      <c r="J1840">
        <v>-24627</v>
      </c>
      <c r="N1840" t="s">
        <v>199</v>
      </c>
      <c r="O1840">
        <f t="shared" si="84"/>
        <v>89.994920000000008</v>
      </c>
      <c r="P1840">
        <f t="shared" si="85"/>
        <v>0.59228749999999053</v>
      </c>
      <c r="Q1840">
        <f t="shared" si="86"/>
        <v>0.59228749999999053</v>
      </c>
      <c r="Y1840">
        <f>TREND(H1836:H1840,G1836:G1840,G1840)</f>
        <v>90.661007382259527</v>
      </c>
      <c r="Z1840">
        <f>ABS((Y1840-H1840)/80*100)</f>
        <v>0.24032172782440853</v>
      </c>
      <c r="AE1840">
        <f>ABS(P1888-P1832)</f>
        <v>7.6868749999974284E-2</v>
      </c>
      <c r="AH1840">
        <f>H1840-AG1829</f>
        <v>90.272647500000005</v>
      </c>
      <c r="AI1840">
        <f>100*(AH1840-O1840)/80</f>
        <v>0.34715937499999683</v>
      </c>
    </row>
    <row r="1841" spans="1:41" x14ac:dyDescent="0.35">
      <c r="A1841" t="s">
        <v>287</v>
      </c>
      <c r="B1841" t="s">
        <v>231</v>
      </c>
      <c r="C1841" t="s">
        <v>738</v>
      </c>
      <c r="D1841">
        <v>-20</v>
      </c>
      <c r="E1841">
        <v>-20</v>
      </c>
      <c r="F1841">
        <v>0</v>
      </c>
      <c r="G1841">
        <v>-7.7999999999999999E-5</v>
      </c>
      <c r="H1841">
        <v>50.692187500000003</v>
      </c>
      <c r="J1841">
        <v>-24638</v>
      </c>
      <c r="N1841" t="s">
        <v>199</v>
      </c>
      <c r="O1841">
        <f t="shared" si="84"/>
        <v>49.996879999999997</v>
      </c>
      <c r="P1841">
        <f t="shared" si="85"/>
        <v>0.8691343750000069</v>
      </c>
      <c r="Q1841">
        <f t="shared" si="86"/>
        <v>0.8691343750000069</v>
      </c>
      <c r="Y1841">
        <f>TREND(H1836:H1840,G1836:G1840,G1841)</f>
        <v>50.592074559614787</v>
      </c>
      <c r="Z1841">
        <f>ABS((Y1841-H1841)/80*100)</f>
        <v>0.12514117548152015</v>
      </c>
      <c r="AE1841">
        <f>ABS(P1889-P1833)</f>
        <v>3.1296875000013102E-2</v>
      </c>
      <c r="AH1841">
        <f>H1841-AG1829</f>
        <v>50.496085000000008</v>
      </c>
      <c r="AI1841">
        <f>100*(AH1841-O1841)/80</f>
        <v>0.6240062500000132</v>
      </c>
    </row>
    <row r="1842" spans="1:41" x14ac:dyDescent="0.35">
      <c r="A1842" t="s">
        <v>287</v>
      </c>
      <c r="B1842" t="s">
        <v>231</v>
      </c>
      <c r="C1842" t="s">
        <v>774</v>
      </c>
      <c r="D1842">
        <v>-20</v>
      </c>
      <c r="E1842">
        <v>-20.100000000000001</v>
      </c>
      <c r="F1842">
        <v>-1</v>
      </c>
      <c r="G1842">
        <v>-0.99999499999999997</v>
      </c>
      <c r="H1842">
        <v>10.385937500000001</v>
      </c>
      <c r="J1842">
        <v>-24636</v>
      </c>
      <c r="N1842" t="s">
        <v>199</v>
      </c>
      <c r="O1842">
        <f t="shared" si="84"/>
        <v>10.000200000000001</v>
      </c>
      <c r="P1842">
        <f t="shared" si="85"/>
        <v>0.48217187499999925</v>
      </c>
      <c r="Q1842">
        <f t="shared" si="86"/>
        <v>0.48217187499999925</v>
      </c>
      <c r="Y1842">
        <f>TREND(H1836:H1840,G1836:G1840,G1842)</f>
        <v>10.524504147444141</v>
      </c>
      <c r="Z1842">
        <f>ABS((Y1842-H1842)/80*100)</f>
        <v>0.17320830930517506</v>
      </c>
      <c r="AE1842">
        <f>ABS(P1890-P1834)</f>
        <v>0.10050624999999869</v>
      </c>
      <c r="AH1842">
        <f>H1842-AG1829</f>
        <v>10.189835000000006</v>
      </c>
      <c r="AI1842">
        <f>100*(AH1842-O1842)/80</f>
        <v>0.23704375000000555</v>
      </c>
    </row>
    <row r="1843" spans="1:41" x14ac:dyDescent="0.35">
      <c r="A1843" t="s">
        <v>287</v>
      </c>
      <c r="B1843" t="s">
        <v>231</v>
      </c>
      <c r="C1843" t="s">
        <v>811</v>
      </c>
      <c r="D1843">
        <v>0</v>
      </c>
      <c r="E1843">
        <v>-0.2</v>
      </c>
      <c r="F1843">
        <v>-1</v>
      </c>
      <c r="G1843">
        <v>-1.000777</v>
      </c>
      <c r="H1843">
        <v>10.301562499999999</v>
      </c>
      <c r="J1843">
        <v>-16833</v>
      </c>
      <c r="N1843" t="s">
        <v>199</v>
      </c>
      <c r="O1843">
        <f t="shared" si="84"/>
        <v>9.9689199999999989</v>
      </c>
      <c r="P1843">
        <f t="shared" si="85"/>
        <v>0.4158031250000005</v>
      </c>
      <c r="Q1843">
        <f t="shared" si="86"/>
        <v>0.4158031250000005</v>
      </c>
      <c r="S1843">
        <v>50.542187499999997</v>
      </c>
      <c r="T1843">
        <v>0.68443437499999149</v>
      </c>
      <c r="U1843">
        <v>90.309375000000003</v>
      </c>
      <c r="V1843">
        <v>0.36486875000001362</v>
      </c>
      <c r="W1843">
        <v>80.007809448242185</v>
      </c>
      <c r="X1843">
        <f>(W1843-80)/80*100</f>
        <v>9.7618103027308223E-3</v>
      </c>
      <c r="Y1843">
        <f>TREND(H1843:H1847,G1843:G1847,G1843)</f>
        <v>10.427952819866192</v>
      </c>
      <c r="Z1843">
        <f>ABS((Y1843-H1843)/80*100)</f>
        <v>0.15798789983274109</v>
      </c>
      <c r="AA1843">
        <f>MAX(Z1843:Z1847)</f>
        <v>0.1934390156877086</v>
      </c>
      <c r="AB1843">
        <f>IF(ABS(MAX(P1843:P1849)) &gt; ABS(MIN(P1843:P1849)),MAX(P1843:P1849), MIN(P1843:P1849))</f>
        <v>0.71410937500001381</v>
      </c>
      <c r="AC1843">
        <f>IF(ABS(AB1844)&gt;ABS(AB1843),AB1844,AB1843)</f>
        <v>0.71410937500001381</v>
      </c>
      <c r="AE1843">
        <f>ABS(P1891-P1835)</f>
        <v>0.11118124999999646</v>
      </c>
      <c r="AH1843">
        <f>H1843-AG1829</f>
        <v>10.105460000000004</v>
      </c>
      <c r="AI1843">
        <f>100*(AH1843-O1843)/80</f>
        <v>0.17067500000000679</v>
      </c>
      <c r="AJ1843">
        <v>50.346085000000002</v>
      </c>
      <c r="AK1843">
        <v>0.43930624999999779</v>
      </c>
      <c r="AL1843">
        <v>90.113272500000008</v>
      </c>
      <c r="AM1843">
        <v>0.11974062500001992</v>
      </c>
      <c r="AN1843">
        <f>IF(ABS(MAX(AI1843:AI1849)) &gt; ABS(MIN(AI1843:AI1849)),MAX(AI1843:AI1849), MIN(AI1843:AI1849))</f>
        <v>0.46898125000002011</v>
      </c>
      <c r="AO1843">
        <f>IF(ABS(AN1844)&gt;ABS(AN1843),AN1844,AN1843)</f>
        <v>0.46898125000002011</v>
      </c>
    </row>
    <row r="1844" spans="1:41" x14ac:dyDescent="0.35">
      <c r="A1844" t="s">
        <v>287</v>
      </c>
      <c r="B1844" t="s">
        <v>231</v>
      </c>
      <c r="C1844" t="s">
        <v>847</v>
      </c>
      <c r="D1844">
        <v>0</v>
      </c>
      <c r="E1844">
        <v>0.1</v>
      </c>
      <c r="F1844">
        <v>-0.5</v>
      </c>
      <c r="G1844">
        <v>-0.50016899999999997</v>
      </c>
      <c r="H1844">
        <v>30.514062500000001</v>
      </c>
      <c r="J1844">
        <v>-16822</v>
      </c>
      <c r="N1844" t="s">
        <v>199</v>
      </c>
      <c r="O1844">
        <f t="shared" si="84"/>
        <v>29.99324</v>
      </c>
      <c r="P1844">
        <f t="shared" si="85"/>
        <v>0.65102812500000162</v>
      </c>
      <c r="Q1844">
        <f t="shared" si="86"/>
        <v>0.65102812500000162</v>
      </c>
      <c r="Y1844">
        <f>TREND(H1843:H1847,G1843:G1847,G1844)</f>
        <v>30.449174283320247</v>
      </c>
      <c r="Z1844">
        <f>ABS((Y1844-H1844)/80*100)</f>
        <v>8.1110270849693578E-2</v>
      </c>
      <c r="AB1844">
        <f>IF(ABS(T1843) &gt; ABS(V1843),T1843,V1843)</f>
        <v>0.68443437499999149</v>
      </c>
      <c r="AE1844">
        <f>ABS(P1885-P1857)</f>
        <v>0.27652187499999759</v>
      </c>
      <c r="AH1844">
        <f>H1844-AG1829</f>
        <v>30.317960000000006</v>
      </c>
      <c r="AI1844">
        <f>100*(AH1844-O1844)/80</f>
        <v>0.40590000000000792</v>
      </c>
      <c r="AN1844">
        <f>IF(ABS(AK1843) &gt; ABS(AM1843),AK1843,AM1843)</f>
        <v>0.43930624999999779</v>
      </c>
    </row>
    <row r="1845" spans="1:41" x14ac:dyDescent="0.35">
      <c r="A1845" t="s">
        <v>287</v>
      </c>
      <c r="B1845" t="s">
        <v>231</v>
      </c>
      <c r="C1845" t="s">
        <v>883</v>
      </c>
      <c r="D1845">
        <v>0</v>
      </c>
      <c r="E1845">
        <v>0</v>
      </c>
      <c r="F1845">
        <v>0</v>
      </c>
      <c r="G1845">
        <v>-1.34E-4</v>
      </c>
      <c r="H1845">
        <v>50.542187499999997</v>
      </c>
      <c r="J1845">
        <v>-16798</v>
      </c>
      <c r="N1845" t="s">
        <v>199</v>
      </c>
      <c r="O1845">
        <f t="shared" si="84"/>
        <v>49.994640000000004</v>
      </c>
      <c r="P1845">
        <f t="shared" si="85"/>
        <v>0.68443437499999149</v>
      </c>
      <c r="Q1845">
        <f t="shared" si="86"/>
        <v>0.68443437499999149</v>
      </c>
      <c r="Y1845">
        <f>TREND(H1843:H1847,G1843:G1847,G1845)</f>
        <v>50.447479293384504</v>
      </c>
      <c r="Z1845">
        <f>ABS((Y1845-H1845)/80*100)</f>
        <v>0.11838525826936674</v>
      </c>
      <c r="AE1845">
        <f>ABS(P1886-P1858)</f>
        <v>0.1227437500000006</v>
      </c>
      <c r="AH1845">
        <f>H1845-AG1829</f>
        <v>50.346085000000002</v>
      </c>
      <c r="AI1845">
        <f>100*(AH1845-O1845)/80</f>
        <v>0.43930624999999779</v>
      </c>
    </row>
    <row r="1846" spans="1:41" x14ac:dyDescent="0.35">
      <c r="A1846" t="s">
        <v>287</v>
      </c>
      <c r="B1846" t="s">
        <v>231</v>
      </c>
      <c r="C1846" t="s">
        <v>920</v>
      </c>
      <c r="D1846">
        <v>0</v>
      </c>
      <c r="E1846">
        <v>0</v>
      </c>
      <c r="F1846">
        <v>0.5</v>
      </c>
      <c r="G1846">
        <v>0.50021000000000004</v>
      </c>
      <c r="H1846">
        <v>70.579687500000006</v>
      </c>
      <c r="J1846">
        <v>-16763</v>
      </c>
      <c r="N1846" t="s">
        <v>199</v>
      </c>
      <c r="O1846">
        <f t="shared" si="84"/>
        <v>70.008399999999995</v>
      </c>
      <c r="P1846">
        <f t="shared" si="85"/>
        <v>0.71410937500001381</v>
      </c>
      <c r="Q1846">
        <f t="shared" si="86"/>
        <v>0.71410937500001381</v>
      </c>
      <c r="Y1846">
        <f>TREND(H1843:H1847,G1843:G1847,G1846)</f>
        <v>70.458142390878862</v>
      </c>
      <c r="Z1846">
        <f>ABS((Y1846-H1846)/80*100)</f>
        <v>0.15193138640142934</v>
      </c>
      <c r="AE1846">
        <f>ABS(P1887-P1859)</f>
        <v>0.2888406249999953</v>
      </c>
      <c r="AH1846">
        <f>H1846-AG1829</f>
        <v>70.383585000000011</v>
      </c>
      <c r="AI1846">
        <f>100*(AH1846-O1846)/80</f>
        <v>0.46898125000002011</v>
      </c>
    </row>
    <row r="1847" spans="1:41" x14ac:dyDescent="0.35">
      <c r="A1847" t="s">
        <v>287</v>
      </c>
      <c r="B1847" t="s">
        <v>231</v>
      </c>
      <c r="C1847" t="s">
        <v>957</v>
      </c>
      <c r="D1847">
        <v>0</v>
      </c>
      <c r="E1847">
        <v>0.1</v>
      </c>
      <c r="F1847">
        <v>1</v>
      </c>
      <c r="G1847">
        <v>1.000437</v>
      </c>
      <c r="H1847">
        <v>90.309375000000003</v>
      </c>
      <c r="J1847">
        <v>-16737</v>
      </c>
      <c r="N1847" t="s">
        <v>199</v>
      </c>
      <c r="O1847">
        <f t="shared" si="84"/>
        <v>90.017479999999992</v>
      </c>
      <c r="P1847">
        <f t="shared" si="85"/>
        <v>0.36486875000001362</v>
      </c>
      <c r="Q1847">
        <f t="shared" si="86"/>
        <v>0.36486875000001362</v>
      </c>
      <c r="Y1847">
        <f>TREND(H1843:H1847,G1843:G1847,G1847)</f>
        <v>90.46412621255017</v>
      </c>
      <c r="Z1847">
        <f>ABS((Y1847-H1847)/80*100)</f>
        <v>0.1934390156877086</v>
      </c>
      <c r="AE1847">
        <f>ABS(P1888-P1860)</f>
        <v>0.15695624999997548</v>
      </c>
      <c r="AH1847">
        <f>H1847-AG1829</f>
        <v>90.113272500000008</v>
      </c>
      <c r="AI1847">
        <f>100*(AH1847-O1847)/80</f>
        <v>0.11974062500001992</v>
      </c>
    </row>
    <row r="1848" spans="1:41" x14ac:dyDescent="0.35">
      <c r="A1848" t="s">
        <v>287</v>
      </c>
      <c r="B1848" t="s">
        <v>231</v>
      </c>
      <c r="C1848" t="s">
        <v>993</v>
      </c>
      <c r="D1848">
        <v>0</v>
      </c>
      <c r="E1848">
        <v>0</v>
      </c>
      <c r="F1848">
        <v>0</v>
      </c>
      <c r="G1848">
        <v>-3.1E-4</v>
      </c>
      <c r="H1848">
        <v>50.484375</v>
      </c>
      <c r="J1848">
        <v>-16727</v>
      </c>
      <c r="N1848" t="s">
        <v>199</v>
      </c>
      <c r="O1848">
        <f t="shared" si="84"/>
        <v>49.9876</v>
      </c>
      <c r="P1848">
        <f t="shared" si="85"/>
        <v>0.6209687499999994</v>
      </c>
      <c r="Q1848">
        <f t="shared" si="86"/>
        <v>0.6209687499999994</v>
      </c>
      <c r="Y1848">
        <f>TREND(H1843:H1847,G1843:G1847,G1848)</f>
        <v>50.440440382744704</v>
      </c>
      <c r="Z1848">
        <f>ABS((Y1848-H1848)/80*100)</f>
        <v>5.4918271569119888E-2</v>
      </c>
      <c r="AE1848">
        <f>ABS(P1889-P1861)</f>
        <v>7.5937499999980673E-2</v>
      </c>
      <c r="AH1848">
        <f>H1848-AG1829</f>
        <v>50.288272500000005</v>
      </c>
      <c r="AI1848">
        <f>100*(AH1848-O1848)/80</f>
        <v>0.3758406250000057</v>
      </c>
    </row>
    <row r="1849" spans="1:41" x14ac:dyDescent="0.35">
      <c r="A1849" t="s">
        <v>287</v>
      </c>
      <c r="B1849" t="s">
        <v>231</v>
      </c>
      <c r="C1849" t="s">
        <v>1029</v>
      </c>
      <c r="D1849">
        <v>0</v>
      </c>
      <c r="E1849">
        <v>-0.1</v>
      </c>
      <c r="F1849">
        <v>-1</v>
      </c>
      <c r="G1849">
        <v>-0.99994899999999998</v>
      </c>
      <c r="H1849">
        <v>10.323437500000001</v>
      </c>
      <c r="J1849">
        <v>-16681</v>
      </c>
      <c r="N1849" t="s">
        <v>199</v>
      </c>
      <c r="O1849">
        <f t="shared" si="84"/>
        <v>10.002040000000001</v>
      </c>
      <c r="P1849">
        <f t="shared" si="85"/>
        <v>0.40174687499999973</v>
      </c>
      <c r="Q1849">
        <f t="shared" si="86"/>
        <v>0.40174687499999973</v>
      </c>
      <c r="Y1849">
        <f>TREND(H1843:H1847,G1843:G1847,G1849)</f>
        <v>10.46106769492161</v>
      </c>
      <c r="Z1849">
        <f>ABS((Y1849-H1849)/80*100)</f>
        <v>0.17203774365201152</v>
      </c>
      <c r="AE1849">
        <f>ABS(P1890-P1862)</f>
        <v>0.17833437500001104</v>
      </c>
      <c r="AH1849">
        <f>H1849-AG1829</f>
        <v>10.127335000000006</v>
      </c>
      <c r="AI1849">
        <f>100*(AH1849-O1849)/80</f>
        <v>0.15661875000000602</v>
      </c>
    </row>
    <row r="1850" spans="1:41" x14ac:dyDescent="0.35">
      <c r="A1850" t="s">
        <v>287</v>
      </c>
      <c r="B1850" t="s">
        <v>231</v>
      </c>
      <c r="C1850" t="s">
        <v>1065</v>
      </c>
      <c r="D1850">
        <v>10</v>
      </c>
      <c r="E1850">
        <v>10</v>
      </c>
      <c r="F1850">
        <v>-1</v>
      </c>
      <c r="G1850">
        <v>-0.99974700000000005</v>
      </c>
      <c r="H1850">
        <v>10.25625</v>
      </c>
      <c r="J1850">
        <v>-12380</v>
      </c>
      <c r="N1850" t="s">
        <v>199</v>
      </c>
      <c r="O1850">
        <f t="shared" si="84"/>
        <v>10.010119999999997</v>
      </c>
      <c r="P1850">
        <f t="shared" si="85"/>
        <v>0.30766250000000328</v>
      </c>
      <c r="Q1850">
        <f t="shared" si="86"/>
        <v>0.30766250000000328</v>
      </c>
      <c r="S1850">
        <v>50.3828125</v>
      </c>
      <c r="T1850">
        <v>0.47731562500000102</v>
      </c>
      <c r="U1850">
        <v>90.301562500000003</v>
      </c>
      <c r="V1850">
        <v>0.37525312499999686</v>
      </c>
      <c r="W1850">
        <v>80.045309448242193</v>
      </c>
      <c r="X1850">
        <f>(W1850-80)/80*100</f>
        <v>5.6636810302741473E-2</v>
      </c>
      <c r="Y1850">
        <f>TREND(H1850:H1854,G1850:G1854,G1850)</f>
        <v>10.290075952327498</v>
      </c>
      <c r="Z1850">
        <f>ABS((Y1850-H1850)/80*100)</f>
        <v>4.2282440409373567E-2</v>
      </c>
      <c r="AA1850">
        <f>MAX(Z1850:Z1854)</f>
        <v>0.12840692720166302</v>
      </c>
      <c r="AB1850">
        <f>IF(ABS(MAX(P1850:P1856)) &gt; ABS(MIN(P1850:P1856)),MAX(P1850:P1856), MIN(P1850:P1856))</f>
        <v>0.58597187499998427</v>
      </c>
      <c r="AC1850">
        <f>IF(ABS(AB1851)&gt;ABS(AB1850),AB1851,AB1850)</f>
        <v>0.58597187499998427</v>
      </c>
      <c r="AE1850">
        <f>ABS(P1891-P1863)</f>
        <v>0.22166874999999697</v>
      </c>
      <c r="AH1850">
        <f>H1850-AG1829</f>
        <v>10.060147500000005</v>
      </c>
      <c r="AI1850">
        <f>100*(AH1850-O1850)/80</f>
        <v>6.2534375000009579E-2</v>
      </c>
      <c r="AJ1850">
        <v>50.186710000000005</v>
      </c>
      <c r="AK1850">
        <v>0.23218750000000732</v>
      </c>
      <c r="AL1850">
        <v>90.105460000000008</v>
      </c>
      <c r="AM1850">
        <v>0.13012500000000315</v>
      </c>
      <c r="AN1850">
        <f>IF(ABS(MAX(AI1850:AI1856)) &gt; ABS(MIN(AI1850:AI1856)),MAX(AI1850:AI1856), MIN(AI1850:AI1856))</f>
        <v>0.34084374999999056</v>
      </c>
      <c r="AO1850">
        <f>IF(ABS(AN1851)&gt;ABS(AN1850),AN1851,AN1850)</f>
        <v>0.34084374999999056</v>
      </c>
    </row>
    <row r="1851" spans="1:41" x14ac:dyDescent="0.35">
      <c r="A1851" t="s">
        <v>287</v>
      </c>
      <c r="B1851" t="s">
        <v>231</v>
      </c>
      <c r="C1851" t="s">
        <v>1101</v>
      </c>
      <c r="D1851">
        <v>10</v>
      </c>
      <c r="E1851">
        <v>10</v>
      </c>
      <c r="F1851">
        <v>-0.5</v>
      </c>
      <c r="G1851">
        <v>-0.49997999999999998</v>
      </c>
      <c r="H1851">
        <v>30.290624999999999</v>
      </c>
      <c r="J1851">
        <v>-12372</v>
      </c>
      <c r="N1851" t="s">
        <v>199</v>
      </c>
      <c r="O1851">
        <f t="shared" si="84"/>
        <v>30.000800000000002</v>
      </c>
      <c r="P1851">
        <f t="shared" si="85"/>
        <v>0.36228124999999611</v>
      </c>
      <c r="Q1851">
        <f t="shared" si="86"/>
        <v>0.36228124999999611</v>
      </c>
      <c r="Y1851">
        <f>TREND(H1850:H1854,G1850:G1854,G1851)</f>
        <v>30.309449836420946</v>
      </c>
      <c r="Z1851">
        <f>ABS((Y1851-H1851)/80*100)</f>
        <v>2.3531045526183902E-2</v>
      </c>
      <c r="AB1851">
        <f>IF(ABS(T1850) &gt; ABS(V1850),T1850,V1850)</f>
        <v>0.47731562500000102</v>
      </c>
      <c r="AH1851">
        <f>H1851-AG1829</f>
        <v>30.094522500000004</v>
      </c>
      <c r="AI1851">
        <f>100*(AH1851-O1851)/80</f>
        <v>0.11715312500000241</v>
      </c>
      <c r="AN1851">
        <f>IF(ABS(AK1850) &gt; ABS(AM1850),AK1850,AM1850)</f>
        <v>0.23218750000000732</v>
      </c>
    </row>
    <row r="1852" spans="1:41" x14ac:dyDescent="0.35">
      <c r="A1852" t="s">
        <v>287</v>
      </c>
      <c r="B1852" t="s">
        <v>1111</v>
      </c>
      <c r="C1852" t="s">
        <v>1138</v>
      </c>
      <c r="D1852">
        <v>10</v>
      </c>
      <c r="E1852">
        <v>10</v>
      </c>
      <c r="F1852">
        <v>0</v>
      </c>
      <c r="G1852">
        <v>2.4000000000000001E-5</v>
      </c>
      <c r="H1852">
        <v>50.3828125</v>
      </c>
      <c r="J1852">
        <v>-12365</v>
      </c>
      <c r="N1852" t="s">
        <v>199</v>
      </c>
      <c r="O1852">
        <f t="shared" si="84"/>
        <v>50.000959999999999</v>
      </c>
      <c r="P1852">
        <f t="shared" si="85"/>
        <v>0.47731562500000102</v>
      </c>
      <c r="Q1852">
        <f t="shared" si="86"/>
        <v>0.47731562500000102</v>
      </c>
      <c r="Y1852">
        <f>TREND(H1850:H1854,G1850:G1854,G1852)</f>
        <v>50.338317327756428</v>
      </c>
      <c r="Z1852">
        <f>ABS((Y1852-H1852)/80*100)</f>
        <v>5.5618965304464758E-2</v>
      </c>
      <c r="AH1852">
        <f>H1852-AG1829</f>
        <v>50.186710000000005</v>
      </c>
      <c r="AI1852">
        <f>100*(AH1852-O1852)/80</f>
        <v>0.23218750000000732</v>
      </c>
    </row>
    <row r="1853" spans="1:41" x14ac:dyDescent="0.35">
      <c r="A1853" t="s">
        <v>287</v>
      </c>
      <c r="B1853" t="s">
        <v>1111</v>
      </c>
      <c r="C1853" t="s">
        <v>1175</v>
      </c>
      <c r="D1853">
        <v>10</v>
      </c>
      <c r="E1853">
        <v>10</v>
      </c>
      <c r="F1853">
        <v>0.5</v>
      </c>
      <c r="G1853">
        <v>0.49980400000000003</v>
      </c>
      <c r="H1853">
        <v>70.4609375</v>
      </c>
      <c r="J1853">
        <v>-12361</v>
      </c>
      <c r="N1853" t="s">
        <v>199</v>
      </c>
      <c r="O1853">
        <f t="shared" si="84"/>
        <v>69.992160000000013</v>
      </c>
      <c r="P1853">
        <f t="shared" si="85"/>
        <v>0.58597187499998427</v>
      </c>
      <c r="Q1853">
        <f t="shared" si="86"/>
        <v>0.58597187499998427</v>
      </c>
      <c r="Y1853">
        <f>TREND(H1850:H1854,G1850:G1854,G1853)</f>
        <v>70.35821195823867</v>
      </c>
      <c r="Z1853">
        <f>ABS((Y1853-H1853)/80*100)</f>
        <v>0.12840692720166302</v>
      </c>
      <c r="AH1853">
        <f>H1853-AG1829</f>
        <v>70.264835000000005</v>
      </c>
      <c r="AI1853">
        <f>100*(AH1853-O1853)/80</f>
        <v>0.34084374999999056</v>
      </c>
    </row>
    <row r="1854" spans="1:41" x14ac:dyDescent="0.35">
      <c r="A1854" t="s">
        <v>287</v>
      </c>
      <c r="B1854" t="s">
        <v>1111</v>
      </c>
      <c r="C1854" t="s">
        <v>1213</v>
      </c>
      <c r="D1854">
        <v>10</v>
      </c>
      <c r="E1854">
        <v>10</v>
      </c>
      <c r="F1854">
        <v>1</v>
      </c>
      <c r="G1854">
        <v>1.0000340000000001</v>
      </c>
      <c r="H1854">
        <v>90.301562500000003</v>
      </c>
      <c r="J1854">
        <v>-12354</v>
      </c>
      <c r="N1854" t="s">
        <v>199</v>
      </c>
      <c r="O1854">
        <f t="shared" si="84"/>
        <v>90.001360000000005</v>
      </c>
      <c r="P1854">
        <f t="shared" si="85"/>
        <v>0.37525312499999686</v>
      </c>
      <c r="Q1854">
        <f t="shared" si="86"/>
        <v>0.37525312499999686</v>
      </c>
      <c r="Y1854">
        <f>TREND(H1850:H1854,G1850:G1854,G1854)</f>
        <v>90.39613242525644</v>
      </c>
      <c r="Z1854">
        <f>ABS((Y1854-H1854)/80*100)</f>
        <v>0.11821240657054588</v>
      </c>
      <c r="AH1854">
        <f>H1854-AG1829</f>
        <v>90.105460000000008</v>
      </c>
      <c r="AI1854">
        <f>100*(AH1854-O1854)/80</f>
        <v>0.13012500000000315</v>
      </c>
    </row>
    <row r="1855" spans="1:41" x14ac:dyDescent="0.35">
      <c r="A1855" t="s">
        <v>287</v>
      </c>
      <c r="B1855" t="s">
        <v>1111</v>
      </c>
      <c r="C1855" t="s">
        <v>1249</v>
      </c>
      <c r="D1855">
        <v>10</v>
      </c>
      <c r="E1855">
        <v>10</v>
      </c>
      <c r="F1855">
        <v>0</v>
      </c>
      <c r="G1855">
        <v>1.0000000000000001E-5</v>
      </c>
      <c r="H1855">
        <v>50.362499999999997</v>
      </c>
      <c r="J1855">
        <v>-12343</v>
      </c>
      <c r="N1855" t="s">
        <v>199</v>
      </c>
      <c r="O1855">
        <f t="shared" si="84"/>
        <v>50.000399999999999</v>
      </c>
      <c r="P1855">
        <f t="shared" si="85"/>
        <v>0.45262499999999761</v>
      </c>
      <c r="Q1855">
        <f t="shared" si="86"/>
        <v>0.45262499999999761</v>
      </c>
      <c r="Y1855">
        <f>TREND(H1850:H1854,G1850:G1854,G1855)</f>
        <v>50.337756523953097</v>
      </c>
      <c r="Z1855">
        <f>ABS((Y1855-H1855)/80*100)</f>
        <v>3.0929345058625653E-2</v>
      </c>
      <c r="AH1855">
        <f>H1855-AG1829</f>
        <v>50.166397500000002</v>
      </c>
      <c r="AI1855">
        <f>100*(AH1855-O1855)/80</f>
        <v>0.20749687500000391</v>
      </c>
    </row>
    <row r="1856" spans="1:41" x14ac:dyDescent="0.35">
      <c r="A1856" t="s">
        <v>287</v>
      </c>
      <c r="B1856" t="s">
        <v>1111</v>
      </c>
      <c r="C1856" t="s">
        <v>1285</v>
      </c>
      <c r="D1856">
        <v>10</v>
      </c>
      <c r="E1856">
        <v>10</v>
      </c>
      <c r="F1856">
        <v>-1</v>
      </c>
      <c r="G1856">
        <v>-1.000707</v>
      </c>
      <c r="H1856">
        <v>10.1953125</v>
      </c>
      <c r="J1856">
        <v>-12339</v>
      </c>
      <c r="N1856" t="s">
        <v>199</v>
      </c>
      <c r="O1856">
        <f t="shared" si="84"/>
        <v>9.9717199999999995</v>
      </c>
      <c r="P1856">
        <f t="shared" si="85"/>
        <v>0.27949062500000066</v>
      </c>
      <c r="Q1856">
        <f t="shared" si="86"/>
        <v>0.27949062500000066</v>
      </c>
      <c r="Y1856">
        <f>TREND(H1850:H1854,G1850:G1854,G1856)</f>
        <v>10.251620834385079</v>
      </c>
      <c r="Z1856">
        <f>ABS((Y1856-H1856)/80*100)</f>
        <v>7.0385417981349008E-2</v>
      </c>
      <c r="AH1856">
        <f>H1856-AG1829</f>
        <v>9.999210000000005</v>
      </c>
      <c r="AI1856">
        <f>100*(AH1856-O1856)/80</f>
        <v>3.4362500000006957E-2</v>
      </c>
    </row>
    <row r="1857" spans="1:41" x14ac:dyDescent="0.35">
      <c r="A1857" t="s">
        <v>287</v>
      </c>
      <c r="B1857" t="s">
        <v>1111</v>
      </c>
      <c r="C1857" t="s">
        <v>1322</v>
      </c>
      <c r="D1857">
        <v>25</v>
      </c>
      <c r="E1857">
        <v>25</v>
      </c>
      <c r="F1857">
        <v>-1</v>
      </c>
      <c r="G1857">
        <v>-1.0002679999999999</v>
      </c>
      <c r="H1857">
        <v>10.106249999999999</v>
      </c>
      <c r="J1857">
        <v>-6331</v>
      </c>
      <c r="N1857" t="s">
        <v>199</v>
      </c>
      <c r="O1857">
        <f t="shared" si="84"/>
        <v>9.9892800000000026</v>
      </c>
      <c r="P1857">
        <f t="shared" si="85"/>
        <v>0.14621249999999586</v>
      </c>
      <c r="Q1857">
        <f t="shared" si="86"/>
        <v>0.14621249999999586</v>
      </c>
      <c r="S1857">
        <v>50.25</v>
      </c>
      <c r="T1857">
        <v>0.32105000000000494</v>
      </c>
      <c r="U1857">
        <v>90.232812499999994</v>
      </c>
      <c r="V1857">
        <v>0.29491562499998736</v>
      </c>
      <c r="W1857">
        <v>80.126560974121091</v>
      </c>
      <c r="X1857">
        <f>(W1857-80)/80*100</f>
        <v>0.15820121765136363</v>
      </c>
      <c r="Y1857">
        <f>TREND(H1857:H1861,G1857:G1861,G1857)</f>
        <v>10.112818202062094</v>
      </c>
      <c r="Z1857">
        <f>ABS((Y1857-H1857)/80*100)</f>
        <v>8.2102525776184265E-3</v>
      </c>
      <c r="AA1857">
        <f>MAX(Z1857:Z1861)</f>
        <v>9.583007294329704E-2</v>
      </c>
      <c r="AB1857">
        <f>IF(ABS(MAX(P1857:P1863)) &gt; ABS(MIN(P1857:P1863)),MAX(P1857:P1863), MIN(P1857:P1863))</f>
        <v>0.41911562499999278</v>
      </c>
      <c r="AC1857">
        <f>IF(ABS(AB1858)&gt;ABS(AB1857),AB1858,AB1857)</f>
        <v>0.41911562499999278</v>
      </c>
      <c r="AH1857">
        <f>H1857-AG1829</f>
        <v>9.9101475000000043</v>
      </c>
      <c r="AI1857">
        <f>100*(AH1857-O1857)/80</f>
        <v>-9.8915624999997842E-2</v>
      </c>
      <c r="AJ1857">
        <v>50.053897500000005</v>
      </c>
      <c r="AK1857">
        <v>7.5921875000011241E-2</v>
      </c>
      <c r="AL1857">
        <v>90.036709999999999</v>
      </c>
      <c r="AM1857">
        <v>4.9787499999993656E-2</v>
      </c>
      <c r="AN1857">
        <f>IF(ABS(MAX(AI1857:AI1863)) &gt; ABS(MIN(AI1857:AI1863)),MAX(AI1857:AI1863), MIN(AI1857:AI1863))</f>
        <v>0.17398749999999907</v>
      </c>
      <c r="AO1857">
        <f>IF(ABS(AN1858)&gt;ABS(AN1857),AN1858,AN1857)</f>
        <v>0.17398749999999907</v>
      </c>
    </row>
    <row r="1858" spans="1:41" x14ac:dyDescent="0.35">
      <c r="A1858" t="s">
        <v>287</v>
      </c>
      <c r="B1858" t="s">
        <v>1111</v>
      </c>
      <c r="C1858" t="s">
        <v>1358</v>
      </c>
      <c r="D1858">
        <v>25</v>
      </c>
      <c r="E1858">
        <v>25</v>
      </c>
      <c r="F1858">
        <v>-0.5</v>
      </c>
      <c r="G1858">
        <v>-0.50026099999999996</v>
      </c>
      <c r="H1858">
        <v>30.112500000000001</v>
      </c>
      <c r="J1858">
        <v>-6320</v>
      </c>
      <c r="N1858" t="s">
        <v>199</v>
      </c>
      <c r="O1858">
        <f t="shared" si="84"/>
        <v>29.989560000000001</v>
      </c>
      <c r="P1858">
        <f t="shared" si="85"/>
        <v>0.15367499999999978</v>
      </c>
      <c r="Q1858">
        <f t="shared" si="86"/>
        <v>0.15367499999999978</v>
      </c>
      <c r="Y1858">
        <f>TREND(H1857:H1861,G1857:G1861,G1858)</f>
        <v>30.158122728975936</v>
      </c>
      <c r="Z1858">
        <f>ABS((Y1858-H1858)/80*100)</f>
        <v>5.7028411219919306E-2</v>
      </c>
      <c r="AB1858">
        <f>IF(ABS(T1857) &gt; ABS(V1857),T1857,V1857)</f>
        <v>0.32105000000000494</v>
      </c>
      <c r="AH1858">
        <f>H1858-AG1829</f>
        <v>29.916397500000006</v>
      </c>
      <c r="AI1858">
        <f>100*(AH1858-O1858)/80</f>
        <v>-9.1453124999993918E-2</v>
      </c>
      <c r="AN1858">
        <f>IF(ABS(AK1857) &gt; ABS(AM1857),AK1857,AM1857)</f>
        <v>7.5921875000011241E-2</v>
      </c>
    </row>
    <row r="1859" spans="1:41" x14ac:dyDescent="0.35">
      <c r="A1859" t="s">
        <v>287</v>
      </c>
      <c r="B1859" t="s">
        <v>1111</v>
      </c>
      <c r="C1859" t="s">
        <v>1395</v>
      </c>
      <c r="D1859">
        <v>25</v>
      </c>
      <c r="E1859">
        <v>25</v>
      </c>
      <c r="F1859">
        <v>0</v>
      </c>
      <c r="G1859">
        <v>-1.7100000000000001E-4</v>
      </c>
      <c r="H1859">
        <v>50.25</v>
      </c>
      <c r="J1859">
        <v>-6313</v>
      </c>
      <c r="N1859" t="s">
        <v>199</v>
      </c>
      <c r="O1859">
        <f t="shared" si="84"/>
        <v>49.993159999999996</v>
      </c>
      <c r="P1859">
        <f t="shared" si="85"/>
        <v>0.32105000000000494</v>
      </c>
      <c r="Q1859">
        <f t="shared" si="86"/>
        <v>0.32105000000000494</v>
      </c>
      <c r="Y1859">
        <f>TREND(H1857:H1861,G1857:G1861,G1859)</f>
        <v>50.206754729856613</v>
      </c>
      <c r="Z1859">
        <f>ABS((Y1859-H1859)/80*100)</f>
        <v>5.4056587679234276E-2</v>
      </c>
      <c r="AH1859">
        <f>H1859-AG1829</f>
        <v>50.053897500000005</v>
      </c>
      <c r="AI1859">
        <f>100*(AH1859-O1859)/80</f>
        <v>7.5921875000011241E-2</v>
      </c>
    </row>
    <row r="1860" spans="1:41" x14ac:dyDescent="0.35">
      <c r="A1860" t="s">
        <v>287</v>
      </c>
      <c r="B1860" t="s">
        <v>1111</v>
      </c>
      <c r="C1860" t="s">
        <v>1432</v>
      </c>
      <c r="D1860">
        <v>25</v>
      </c>
      <c r="E1860">
        <v>25</v>
      </c>
      <c r="F1860">
        <v>0.5</v>
      </c>
      <c r="G1860">
        <v>0.49993799999999999</v>
      </c>
      <c r="H1860">
        <v>70.332812500000003</v>
      </c>
      <c r="J1860">
        <v>-6296</v>
      </c>
      <c r="N1860" t="s">
        <v>199</v>
      </c>
      <c r="O1860">
        <f t="shared" si="84"/>
        <v>69.997520000000009</v>
      </c>
      <c r="P1860">
        <f t="shared" si="85"/>
        <v>0.41911562499999278</v>
      </c>
      <c r="Q1860">
        <f t="shared" si="86"/>
        <v>0.41911562499999278</v>
      </c>
      <c r="Y1860">
        <f>TREND(H1857:H1861,G1857:G1861,G1860)</f>
        <v>70.256148441645365</v>
      </c>
      <c r="Z1860">
        <f>ABS((Y1860-H1860)/80*100)</f>
        <v>9.583007294329704E-2</v>
      </c>
      <c r="AH1860">
        <f>H1860-AG1829</f>
        <v>70.136710000000008</v>
      </c>
      <c r="AI1860">
        <f>100*(AH1860-O1860)/80</f>
        <v>0.17398749999999907</v>
      </c>
    </row>
    <row r="1861" spans="1:41" x14ac:dyDescent="0.35">
      <c r="A1861" t="s">
        <v>287</v>
      </c>
      <c r="B1861" t="s">
        <v>1111</v>
      </c>
      <c r="C1861" t="s">
        <v>1468</v>
      </c>
      <c r="D1861">
        <v>25</v>
      </c>
      <c r="E1861">
        <v>25</v>
      </c>
      <c r="F1861">
        <v>1</v>
      </c>
      <c r="G1861">
        <v>0.99992199999999998</v>
      </c>
      <c r="H1861">
        <v>90.232812499999994</v>
      </c>
      <c r="J1861">
        <v>-6294</v>
      </c>
      <c r="N1861" t="s">
        <v>199</v>
      </c>
      <c r="O1861">
        <f t="shared" si="84"/>
        <v>89.996880000000004</v>
      </c>
      <c r="P1861">
        <f t="shared" si="85"/>
        <v>0.29491562499998736</v>
      </c>
      <c r="Q1861">
        <f t="shared" si="86"/>
        <v>0.29491562499998736</v>
      </c>
      <c r="Y1861">
        <f>TREND(H1857:H1861,G1857:G1861,G1861)</f>
        <v>90.300530897459964</v>
      </c>
      <c r="Z1861">
        <f>ABS((Y1861-H1861)/80*100)</f>
        <v>8.464799682496249E-2</v>
      </c>
      <c r="AH1861">
        <f>H1861-AG1829</f>
        <v>90.036709999999999</v>
      </c>
      <c r="AI1861">
        <f>100*(AH1861-O1861)/80</f>
        <v>4.9787499999993656E-2</v>
      </c>
    </row>
    <row r="1862" spans="1:41" x14ac:dyDescent="0.35">
      <c r="A1862" t="s">
        <v>287</v>
      </c>
      <c r="B1862" t="s">
        <v>1111</v>
      </c>
      <c r="C1862" t="s">
        <v>1505</v>
      </c>
      <c r="D1862">
        <v>25</v>
      </c>
      <c r="E1862">
        <v>25</v>
      </c>
      <c r="F1862">
        <v>0</v>
      </c>
      <c r="G1862">
        <v>-8.2999999999999998E-5</v>
      </c>
      <c r="H1862">
        <v>50.192187500000003</v>
      </c>
      <c r="J1862">
        <v>-6285</v>
      </c>
      <c r="N1862" t="s">
        <v>199</v>
      </c>
      <c r="O1862">
        <f t="shared" si="84"/>
        <v>49.996679999999998</v>
      </c>
      <c r="P1862">
        <f t="shared" si="85"/>
        <v>0.24438437500000632</v>
      </c>
      <c r="Q1862">
        <f t="shared" si="86"/>
        <v>0.24438437500000632</v>
      </c>
      <c r="Y1862">
        <f>TREND(H1857:H1861,G1857:G1861,G1862)</f>
        <v>50.210282654062411</v>
      </c>
      <c r="Z1862">
        <f>ABS((Y1862-H1862)/80*100)</f>
        <v>2.2618942578009893E-2</v>
      </c>
      <c r="AH1862">
        <f>H1862-AG1829</f>
        <v>49.996085000000008</v>
      </c>
      <c r="AI1862">
        <f>100*(AH1862-O1862)/80</f>
        <v>-7.4374999998738645E-4</v>
      </c>
    </row>
    <row r="1863" spans="1:41" x14ac:dyDescent="0.35">
      <c r="A1863" t="s">
        <v>287</v>
      </c>
      <c r="B1863" t="s">
        <v>1111</v>
      </c>
      <c r="C1863" t="s">
        <v>1542</v>
      </c>
      <c r="D1863">
        <v>25</v>
      </c>
      <c r="E1863">
        <v>25</v>
      </c>
      <c r="F1863">
        <v>-1</v>
      </c>
      <c r="G1863">
        <v>-1.000456</v>
      </c>
      <c r="H1863">
        <v>10.078125</v>
      </c>
      <c r="J1863">
        <v>-6274</v>
      </c>
      <c r="N1863" t="s">
        <v>199</v>
      </c>
      <c r="O1863">
        <f t="shared" si="84"/>
        <v>9.9817599999999995</v>
      </c>
      <c r="P1863">
        <f t="shared" si="85"/>
        <v>0.1204562500000006</v>
      </c>
      <c r="Q1863">
        <f t="shared" si="86"/>
        <v>0.1204562500000006</v>
      </c>
      <c r="Y1863">
        <f>TREND(H1857:H1861,G1857:G1861,G1863)</f>
        <v>10.105281273076976</v>
      </c>
      <c r="Z1863">
        <f>ABS((Y1863-H1863)/80*100)</f>
        <v>3.3945341346219848E-2</v>
      </c>
      <c r="AH1863">
        <f>H1863-AG1829</f>
        <v>9.882022500000005</v>
      </c>
      <c r="AI1863">
        <f>100*(AH1863-O1863)/80</f>
        <v>-0.1246718749999931</v>
      </c>
    </row>
    <row r="1864" spans="1:41" x14ac:dyDescent="0.35">
      <c r="A1864" t="s">
        <v>287</v>
      </c>
      <c r="B1864" t="s">
        <v>1111</v>
      </c>
      <c r="C1864" t="s">
        <v>1578</v>
      </c>
      <c r="D1864">
        <v>50</v>
      </c>
      <c r="E1864">
        <v>50</v>
      </c>
      <c r="F1864">
        <v>-1</v>
      </c>
      <c r="G1864">
        <v>-1.0002599999999999</v>
      </c>
      <c r="H1864">
        <v>10.11875</v>
      </c>
      <c r="J1864">
        <v>3730</v>
      </c>
      <c r="N1864" t="s">
        <v>199</v>
      </c>
      <c r="O1864">
        <f t="shared" si="84"/>
        <v>9.9896000000000029</v>
      </c>
      <c r="P1864">
        <f t="shared" si="85"/>
        <v>0.16143749999999679</v>
      </c>
      <c r="Q1864">
        <f t="shared" si="86"/>
        <v>0.16143749999999679</v>
      </c>
      <c r="S1864">
        <v>50.081249999999997</v>
      </c>
      <c r="T1864">
        <v>0.11446249999999658</v>
      </c>
      <c r="U1864">
        <v>90.248437499999994</v>
      </c>
      <c r="V1864">
        <v>0.31099687499999362</v>
      </c>
      <c r="W1864">
        <v>80.129685974121088</v>
      </c>
      <c r="X1864">
        <f>(W1864-80)/80*100</f>
        <v>0.16210746765136008</v>
      </c>
      <c r="Y1864">
        <f>TREND(H1864:H1868,G1864:G1868,G1864)</f>
        <v>10.026339523348419</v>
      </c>
      <c r="Z1864">
        <f>ABS((Y1864-H1864)/80*100)</f>
        <v>0.11551309581447679</v>
      </c>
      <c r="AA1864">
        <f>MAX(Z1864:Z1868)</f>
        <v>0.14218984902177656</v>
      </c>
      <c r="AB1864">
        <f>IF(ABS(MAX(P1864:P1870)) &gt; ABS(MIN(P1864:P1870)),MAX(P1864:P1870), MIN(P1864:P1870))</f>
        <v>0.34376875000001306</v>
      </c>
      <c r="AC1864">
        <f>IF(ABS(AB1865)&gt;ABS(AB1864),AB1865,AB1864)</f>
        <v>0.34376875000001306</v>
      </c>
      <c r="AH1864">
        <f>H1864-AG1829</f>
        <v>9.9226475000000054</v>
      </c>
      <c r="AI1864">
        <f>100*(AH1864-O1864)/80</f>
        <v>-8.369062499999691E-2</v>
      </c>
      <c r="AJ1864">
        <v>49.885147500000002</v>
      </c>
      <c r="AK1864">
        <v>-0.13066562499999712</v>
      </c>
      <c r="AL1864">
        <v>90.052334999999999</v>
      </c>
      <c r="AM1864">
        <v>6.586874999999992E-2</v>
      </c>
      <c r="AN1864">
        <f>IF(ABS(MAX(AI1864:AI1870)) &gt; ABS(MIN(AI1864:AI1870)),MAX(AI1864:AI1870), MIN(AI1864:AI1870))</f>
        <v>-0.27417812499999084</v>
      </c>
      <c r="AO1864">
        <f>IF(ABS(AN1865)&gt;ABS(AN1864),AN1865,AN1864)</f>
        <v>-0.27417812499999084</v>
      </c>
    </row>
    <row r="1865" spans="1:41" x14ac:dyDescent="0.35">
      <c r="A1865" t="s">
        <v>287</v>
      </c>
      <c r="B1865" t="s">
        <v>1111</v>
      </c>
      <c r="C1865" t="s">
        <v>1614</v>
      </c>
      <c r="D1865">
        <v>50</v>
      </c>
      <c r="E1865">
        <v>50</v>
      </c>
      <c r="F1865">
        <v>-0.5</v>
      </c>
      <c r="G1865">
        <v>-0.50004400000000004</v>
      </c>
      <c r="H1865">
        <v>29.975000000000001</v>
      </c>
      <c r="J1865">
        <v>3749</v>
      </c>
      <c r="N1865" t="s">
        <v>199</v>
      </c>
      <c r="O1865">
        <f t="shared" ref="O1865:O1928" si="87">(((G1865--1)*(40))+10)</f>
        <v>29.998239999999999</v>
      </c>
      <c r="P1865">
        <f t="shared" ref="P1865:P1928" si="88">100*(H1865-O1865)/80</f>
        <v>-2.9049999999997134E-2</v>
      </c>
      <c r="Q1865">
        <f t="shared" ref="Q1865:Q1928" si="89">ABS(P1865)</f>
        <v>2.9049999999997134E-2</v>
      </c>
      <c r="Y1865">
        <f>TREND(H1864:H1868,G1864:G1868,G1865)</f>
        <v>30.088751879217423</v>
      </c>
      <c r="Z1865">
        <f>ABS((Y1865-H1865)/80*100)</f>
        <v>0.14218984902177656</v>
      </c>
      <c r="AB1865">
        <f>IF(ABS(T1864) &gt; ABS(V1864),T1864,V1864)</f>
        <v>0.31099687499999362</v>
      </c>
      <c r="AH1865">
        <f>H1865-AG1829</f>
        <v>29.778897500000006</v>
      </c>
      <c r="AI1865">
        <f>100*(AH1865-O1865)/80</f>
        <v>-0.27417812499999084</v>
      </c>
      <c r="AN1865">
        <f>IF(ABS(AK1864) &gt; ABS(AM1864),AK1864,AM1864)</f>
        <v>-0.13066562499999712</v>
      </c>
    </row>
    <row r="1866" spans="1:41" x14ac:dyDescent="0.35">
      <c r="A1866" t="s">
        <v>287</v>
      </c>
      <c r="B1866" t="s">
        <v>1111</v>
      </c>
      <c r="C1866" t="s">
        <v>1652</v>
      </c>
      <c r="D1866">
        <v>50</v>
      </c>
      <c r="E1866">
        <v>50</v>
      </c>
      <c r="F1866">
        <v>0</v>
      </c>
      <c r="G1866">
        <v>-2.5799999999999998E-4</v>
      </c>
      <c r="H1866">
        <v>50.081249999999997</v>
      </c>
      <c r="J1866">
        <v>3773</v>
      </c>
      <c r="N1866" t="s">
        <v>199</v>
      </c>
      <c r="O1866">
        <f t="shared" si="87"/>
        <v>49.98968</v>
      </c>
      <c r="P1866">
        <f t="shared" si="88"/>
        <v>0.11446249999999658</v>
      </c>
      <c r="Q1866">
        <f t="shared" si="89"/>
        <v>0.11446249999999658</v>
      </c>
      <c r="Y1866">
        <f>TREND(H1864:H1868,G1864:G1868,G1866)</f>
        <v>50.133918010829262</v>
      </c>
      <c r="Z1866">
        <f>ABS((Y1866-H1866)/80*100)</f>
        <v>6.5835013536581499E-2</v>
      </c>
      <c r="AH1866">
        <f>H1866-AG1829</f>
        <v>49.885147500000002</v>
      </c>
      <c r="AI1866">
        <f>100*(AH1866-O1866)/80</f>
        <v>-0.13066562499999712</v>
      </c>
    </row>
    <row r="1867" spans="1:41" x14ac:dyDescent="0.35">
      <c r="A1867" t="s">
        <v>287</v>
      </c>
      <c r="B1867" t="s">
        <v>1111</v>
      </c>
      <c r="C1867" t="s">
        <v>1688</v>
      </c>
      <c r="D1867">
        <v>50</v>
      </c>
      <c r="E1867">
        <v>50</v>
      </c>
      <c r="F1867">
        <v>0.5</v>
      </c>
      <c r="G1867">
        <v>0.50023399999999996</v>
      </c>
      <c r="H1867">
        <v>70.284374999999997</v>
      </c>
      <c r="J1867">
        <v>3799</v>
      </c>
      <c r="N1867" t="s">
        <v>199</v>
      </c>
      <c r="O1867">
        <f t="shared" si="87"/>
        <v>70.009359999999987</v>
      </c>
      <c r="P1867">
        <f t="shared" si="88"/>
        <v>0.34376875000001306</v>
      </c>
      <c r="Q1867">
        <f t="shared" si="89"/>
        <v>0.34376875000001306</v>
      </c>
      <c r="Y1867">
        <f>TREND(H1864:H1868,G1864:G1868,G1867)</f>
        <v>70.207400036221472</v>
      </c>
      <c r="Z1867">
        <f>ABS((Y1867-H1867)/80*100)</f>
        <v>9.6218704723156634E-2</v>
      </c>
      <c r="AH1867">
        <f>H1867-AG1829</f>
        <v>70.088272500000002</v>
      </c>
      <c r="AI1867">
        <f>100*(AH1867-O1867)/80</f>
        <v>9.8640625000019355E-2</v>
      </c>
    </row>
    <row r="1868" spans="1:41" x14ac:dyDescent="0.35">
      <c r="A1868" t="s">
        <v>287</v>
      </c>
      <c r="B1868" t="s">
        <v>1111</v>
      </c>
      <c r="C1868" t="s">
        <v>1725</v>
      </c>
      <c r="D1868">
        <v>50</v>
      </c>
      <c r="E1868">
        <v>50</v>
      </c>
      <c r="F1868">
        <v>1</v>
      </c>
      <c r="G1868">
        <v>0.99999099999999996</v>
      </c>
      <c r="H1868">
        <v>90.248437499999994</v>
      </c>
      <c r="J1868">
        <v>3827</v>
      </c>
      <c r="N1868" t="s">
        <v>199</v>
      </c>
      <c r="O1868">
        <f t="shared" si="87"/>
        <v>89.999639999999999</v>
      </c>
      <c r="P1868">
        <f t="shared" si="88"/>
        <v>0.31099687499999362</v>
      </c>
      <c r="Q1868">
        <f t="shared" si="89"/>
        <v>0.31099687499999362</v>
      </c>
      <c r="Y1868">
        <f>TREND(H1864:H1868,G1864:G1868,G1868)</f>
        <v>90.251403050383402</v>
      </c>
      <c r="Z1868">
        <f>ABS((Y1868-H1868)/80*100)</f>
        <v>3.7069379792598052E-3</v>
      </c>
      <c r="AH1868">
        <f>H1868-AG1829</f>
        <v>90.052334999999999</v>
      </c>
      <c r="AI1868">
        <f>100*(AH1868-O1868)/80</f>
        <v>6.586874999999992E-2</v>
      </c>
    </row>
    <row r="1869" spans="1:41" x14ac:dyDescent="0.35">
      <c r="A1869" t="s">
        <v>287</v>
      </c>
      <c r="B1869" t="s">
        <v>1111</v>
      </c>
      <c r="C1869" t="s">
        <v>1762</v>
      </c>
      <c r="D1869">
        <v>50</v>
      </c>
      <c r="E1869">
        <v>50</v>
      </c>
      <c r="F1869">
        <v>0</v>
      </c>
      <c r="G1869">
        <v>-1.2E-5</v>
      </c>
      <c r="H1869">
        <v>50.114062500000003</v>
      </c>
      <c r="J1869">
        <v>3834</v>
      </c>
      <c r="N1869" t="s">
        <v>199</v>
      </c>
      <c r="O1869">
        <f t="shared" si="87"/>
        <v>49.999519999999997</v>
      </c>
      <c r="P1869">
        <f t="shared" si="88"/>
        <v>0.14317812500000748</v>
      </c>
      <c r="Q1869">
        <f t="shared" si="89"/>
        <v>0.14317812500000748</v>
      </c>
      <c r="Y1869">
        <f>TREND(H1864:H1868,G1864:G1868,G1869)</f>
        <v>50.143784455404294</v>
      </c>
      <c r="Z1869">
        <f>ABS((Y1869-H1869)/80*100)</f>
        <v>3.7152444255363903E-2</v>
      </c>
      <c r="AH1869">
        <f>H1869-AG1829</f>
        <v>49.917960000000008</v>
      </c>
      <c r="AI1869">
        <f>100*(AH1869-O1869)/80</f>
        <v>-0.10194999999998622</v>
      </c>
    </row>
    <row r="1870" spans="1:41" x14ac:dyDescent="0.35">
      <c r="A1870" t="s">
        <v>287</v>
      </c>
      <c r="B1870" t="s">
        <v>1111</v>
      </c>
      <c r="C1870" t="s">
        <v>1798</v>
      </c>
      <c r="D1870">
        <v>50</v>
      </c>
      <c r="E1870">
        <v>50</v>
      </c>
      <c r="F1870">
        <v>-1</v>
      </c>
      <c r="G1870">
        <v>-1.0000610000000001</v>
      </c>
      <c r="H1870">
        <v>10.1234375</v>
      </c>
      <c r="J1870">
        <v>3851</v>
      </c>
      <c r="N1870" t="s">
        <v>199</v>
      </c>
      <c r="O1870">
        <f t="shared" si="87"/>
        <v>9.9975599999999964</v>
      </c>
      <c r="P1870">
        <f t="shared" si="88"/>
        <v>0.15734687500000399</v>
      </c>
      <c r="Q1870">
        <f t="shared" si="89"/>
        <v>0.15734687500000399</v>
      </c>
      <c r="Y1870">
        <f>TREND(H1864:H1868,G1864:G1868,G1870)</f>
        <v>10.034320915504637</v>
      </c>
      <c r="Z1870">
        <f>ABS((Y1870-H1870)/80*100)</f>
        <v>0.1113957306192037</v>
      </c>
      <c r="AH1870">
        <f>H1870-AG1829</f>
        <v>9.9273350000000047</v>
      </c>
      <c r="AI1870">
        <f>100*(AH1870-O1870)/80</f>
        <v>-8.7781249999989708E-2</v>
      </c>
    </row>
    <row r="1871" spans="1:41" x14ac:dyDescent="0.35">
      <c r="A1871" t="s">
        <v>287</v>
      </c>
      <c r="B1871" t="s">
        <v>1111</v>
      </c>
      <c r="C1871" t="s">
        <v>1836</v>
      </c>
      <c r="D1871">
        <v>70</v>
      </c>
      <c r="E1871">
        <v>70</v>
      </c>
      <c r="F1871">
        <v>-1</v>
      </c>
      <c r="G1871">
        <v>-1.000151</v>
      </c>
      <c r="H1871">
        <v>10.184374999999999</v>
      </c>
      <c r="J1871">
        <v>11935</v>
      </c>
      <c r="N1871" t="s">
        <v>199</v>
      </c>
      <c r="O1871">
        <f t="shared" si="87"/>
        <v>9.9939599999999995</v>
      </c>
      <c r="P1871">
        <f t="shared" si="88"/>
        <v>0.23801874999999972</v>
      </c>
      <c r="Q1871">
        <f t="shared" si="89"/>
        <v>0.23801874999999972</v>
      </c>
      <c r="S1871">
        <v>50.114062500000003</v>
      </c>
      <c r="T1871">
        <v>0.14367812499999744</v>
      </c>
      <c r="U1871">
        <v>90.337500000000006</v>
      </c>
      <c r="V1871">
        <v>0.41737499999999983</v>
      </c>
      <c r="W1871">
        <v>80.153126525878903</v>
      </c>
      <c r="X1871">
        <f>(W1871-80)/80*100</f>
        <v>0.19140815734862926</v>
      </c>
      <c r="Y1871">
        <f>TREND(H1871:H1875,G1871:G1875,G1871)</f>
        <v>10.083422179888395</v>
      </c>
      <c r="Z1871">
        <f>ABS((Y1871-H1871)/80*100)</f>
        <v>0.12619102513950597</v>
      </c>
      <c r="AA1871">
        <f>MAX(Z1871:Z1875)</f>
        <v>0.12619102513950597</v>
      </c>
      <c r="AB1871">
        <f>IF(ABS(MAX(P1871:P1877)) &gt; ABS(MIN(P1871:P1877)),MAX(P1871:P1877), MIN(P1871:P1877))</f>
        <v>0.41737499999999983</v>
      </c>
      <c r="AC1871">
        <f>IF(ABS(AB1872)&gt;ABS(AB1871),AB1872,AB1871)</f>
        <v>0.41737499999999983</v>
      </c>
      <c r="AH1871">
        <f>H1871-AG1829</f>
        <v>9.9882725000000043</v>
      </c>
      <c r="AI1871">
        <f>100*(AH1871-O1871)/80</f>
        <v>-7.1093749999939782E-3</v>
      </c>
      <c r="AJ1871">
        <v>49.917960000000008</v>
      </c>
      <c r="AK1871">
        <v>-0.10144999999999627</v>
      </c>
      <c r="AL1871">
        <v>90.141397500000011</v>
      </c>
      <c r="AM1871">
        <v>0.17224687500000613</v>
      </c>
      <c r="AN1871">
        <f>IF(ABS(MAX(AI1871:AI1877)) &gt; ABS(MIN(AI1871:AI1877)),MAX(AI1871:AI1877), MIN(AI1871:AI1877))</f>
        <v>-0.18574999999999342</v>
      </c>
      <c r="AO1871">
        <f>IF(ABS(AN1872)&gt;ABS(AN1871),AN1872,AN1871)</f>
        <v>-0.18574999999999342</v>
      </c>
    </row>
    <row r="1872" spans="1:41" x14ac:dyDescent="0.35">
      <c r="A1872" t="s">
        <v>287</v>
      </c>
      <c r="B1872" t="s">
        <v>1111</v>
      </c>
      <c r="C1872" t="s">
        <v>1873</v>
      </c>
      <c r="D1872">
        <v>70</v>
      </c>
      <c r="E1872">
        <v>70</v>
      </c>
      <c r="F1872">
        <v>-0.5</v>
      </c>
      <c r="G1872">
        <v>-0.50021099999999996</v>
      </c>
      <c r="H1872">
        <v>30.0390625</v>
      </c>
      <c r="J1872">
        <v>11961</v>
      </c>
      <c r="N1872" t="s">
        <v>199</v>
      </c>
      <c r="O1872">
        <f t="shared" si="87"/>
        <v>29.99156</v>
      </c>
      <c r="P1872">
        <f t="shared" si="88"/>
        <v>5.9378125000000281E-2</v>
      </c>
      <c r="Q1872">
        <f t="shared" si="89"/>
        <v>5.9378125000000281E-2</v>
      </c>
      <c r="Y1872">
        <f>TREND(H1871:H1875,G1871:G1875,G1872)</f>
        <v>30.134419492298075</v>
      </c>
      <c r="Z1872">
        <f>ABS((Y1872-H1872)/80*100)</f>
        <v>0.11919624037259435</v>
      </c>
      <c r="AB1872">
        <f>IF(ABS(T1871) &gt; ABS(V1871),T1871,V1871)</f>
        <v>0.41737499999999983</v>
      </c>
      <c r="AH1872">
        <f>H1872-AG1829</f>
        <v>29.842960000000005</v>
      </c>
      <c r="AI1872">
        <f>100*(AH1872-O1872)/80</f>
        <v>-0.18574999999999342</v>
      </c>
      <c r="AN1872">
        <f>IF(ABS(AK1871) &gt; ABS(AM1871),AK1871,AM1871)</f>
        <v>0.17224687500000613</v>
      </c>
    </row>
    <row r="1873" spans="1:41" x14ac:dyDescent="0.35">
      <c r="A1873" t="s">
        <v>287</v>
      </c>
      <c r="B1873" t="s">
        <v>1111</v>
      </c>
      <c r="C1873" t="s">
        <v>1909</v>
      </c>
      <c r="D1873">
        <v>70</v>
      </c>
      <c r="E1873">
        <v>70</v>
      </c>
      <c r="F1873">
        <v>0</v>
      </c>
      <c r="G1873">
        <v>-2.1999999999999999E-5</v>
      </c>
      <c r="H1873">
        <v>50.114062500000003</v>
      </c>
      <c r="J1873">
        <v>11985</v>
      </c>
      <c r="N1873" t="s">
        <v>199</v>
      </c>
      <c r="O1873">
        <f t="shared" si="87"/>
        <v>49.999120000000005</v>
      </c>
      <c r="P1873">
        <f t="shared" si="88"/>
        <v>0.14367812499999744</v>
      </c>
      <c r="Q1873">
        <f t="shared" si="89"/>
        <v>0.14367812499999744</v>
      </c>
      <c r="Y1873">
        <f>TREND(H1871:H1875,G1871:G1875,G1873)</f>
        <v>50.195403399760735</v>
      </c>
      <c r="Z1873">
        <f>ABS((Y1873-H1873)/80*100)</f>
        <v>0.10167612470091569</v>
      </c>
      <c r="AH1873">
        <f>H1873-AG1829</f>
        <v>49.917960000000008</v>
      </c>
      <c r="AI1873">
        <f>100*(AH1873-O1873)/80</f>
        <v>-0.10144999999999627</v>
      </c>
    </row>
    <row r="1874" spans="1:41" x14ac:dyDescent="0.35">
      <c r="A1874" t="s">
        <v>287</v>
      </c>
      <c r="B1874" t="s">
        <v>1111</v>
      </c>
      <c r="C1874" t="s">
        <v>1946</v>
      </c>
      <c r="D1874">
        <v>70</v>
      </c>
      <c r="E1874">
        <v>70</v>
      </c>
      <c r="F1874">
        <v>0.5</v>
      </c>
      <c r="G1874">
        <v>0.499861</v>
      </c>
      <c r="H1874">
        <v>70.2890625</v>
      </c>
      <c r="J1874">
        <v>12005</v>
      </c>
      <c r="N1874" t="s">
        <v>199</v>
      </c>
      <c r="O1874">
        <f t="shared" si="87"/>
        <v>69.994439999999997</v>
      </c>
      <c r="P1874">
        <f t="shared" si="88"/>
        <v>0.36827812500000334</v>
      </c>
      <c r="Q1874">
        <f t="shared" si="89"/>
        <v>0.36827812500000334</v>
      </c>
      <c r="Y1874">
        <f>TREND(H1871:H1875,G1871:G1875,G1874)</f>
        <v>70.244114624146235</v>
      </c>
      <c r="Z1874">
        <f>ABS((Y1874-H1874)/80*100)</f>
        <v>5.6184844817206425E-2</v>
      </c>
      <c r="AH1874">
        <f>H1874-AG1829</f>
        <v>70.092960000000005</v>
      </c>
      <c r="AI1874">
        <f>100*(AH1874-O1874)/80</f>
        <v>0.12315000000000964</v>
      </c>
    </row>
    <row r="1875" spans="1:41" x14ac:dyDescent="0.35">
      <c r="A1875" t="s">
        <v>287</v>
      </c>
      <c r="B1875" t="s">
        <v>1111</v>
      </c>
      <c r="C1875" t="s">
        <v>1982</v>
      </c>
      <c r="D1875">
        <v>70</v>
      </c>
      <c r="E1875">
        <v>70</v>
      </c>
      <c r="F1875">
        <v>1</v>
      </c>
      <c r="G1875">
        <v>1.0000899999999999</v>
      </c>
      <c r="H1875">
        <v>90.337500000000006</v>
      </c>
      <c r="J1875">
        <v>12022</v>
      </c>
      <c r="N1875" t="s">
        <v>199</v>
      </c>
      <c r="O1875">
        <f t="shared" si="87"/>
        <v>90.003600000000006</v>
      </c>
      <c r="P1875">
        <f t="shared" si="88"/>
        <v>0.41737499999999983</v>
      </c>
      <c r="Q1875">
        <f t="shared" si="89"/>
        <v>0.41737499999999983</v>
      </c>
      <c r="Y1875">
        <f>TREND(H1871:H1875,G1871:G1875,G1875)</f>
        <v>90.306702803906575</v>
      </c>
      <c r="Z1875">
        <f>ABS((Y1875-H1875)/80*100)</f>
        <v>3.8496495116788765E-2</v>
      </c>
      <c r="AH1875">
        <f>H1875-AG1829</f>
        <v>90.141397500000011</v>
      </c>
      <c r="AI1875">
        <f>100*(AH1875-O1875)/80</f>
        <v>0.17224687500000613</v>
      </c>
    </row>
    <row r="1876" spans="1:41" x14ac:dyDescent="0.35">
      <c r="A1876" t="s">
        <v>287</v>
      </c>
      <c r="B1876" t="s">
        <v>1111</v>
      </c>
      <c r="C1876" t="s">
        <v>2018</v>
      </c>
      <c r="D1876">
        <v>70</v>
      </c>
      <c r="E1876">
        <v>70</v>
      </c>
      <c r="F1876">
        <v>0</v>
      </c>
      <c r="G1876">
        <v>-8.5000000000000006E-5</v>
      </c>
      <c r="H1876">
        <v>50.129687500000003</v>
      </c>
      <c r="J1876">
        <v>12035</v>
      </c>
      <c r="N1876" t="s">
        <v>199</v>
      </c>
      <c r="O1876">
        <f t="shared" si="87"/>
        <v>49.996600000000001</v>
      </c>
      <c r="P1876">
        <f t="shared" si="88"/>
        <v>0.16635937500000253</v>
      </c>
      <c r="Q1876">
        <f t="shared" si="89"/>
        <v>0.16635937500000253</v>
      </c>
      <c r="Y1876">
        <f>TREND(H1871:H1875,G1871:G1875,G1876)</f>
        <v>50.192876670891913</v>
      </c>
      <c r="Z1876">
        <f>ABS((Y1876-H1876)/80*100)</f>
        <v>7.898646361488737E-2</v>
      </c>
      <c r="AH1876">
        <f>H1876-AG1829</f>
        <v>49.933585000000008</v>
      </c>
      <c r="AI1876">
        <f>100*(AH1876-O1876)/80</f>
        <v>-7.8768749999991172E-2</v>
      </c>
    </row>
    <row r="1877" spans="1:41" x14ac:dyDescent="0.35">
      <c r="A1877" t="s">
        <v>287</v>
      </c>
      <c r="B1877" t="s">
        <v>1111</v>
      </c>
      <c r="C1877" t="s">
        <v>2055</v>
      </c>
      <c r="D1877">
        <v>70</v>
      </c>
      <c r="E1877">
        <v>70</v>
      </c>
      <c r="F1877">
        <v>-1</v>
      </c>
      <c r="G1877">
        <v>-1.000078</v>
      </c>
      <c r="H1877">
        <v>10.203125</v>
      </c>
      <c r="J1877">
        <v>12059</v>
      </c>
      <c r="N1877" t="s">
        <v>199</v>
      </c>
      <c r="O1877">
        <f t="shared" si="87"/>
        <v>9.9968799999999991</v>
      </c>
      <c r="P1877">
        <f t="shared" si="88"/>
        <v>0.25780625000000112</v>
      </c>
      <c r="Q1877">
        <f t="shared" si="89"/>
        <v>0.25780625000000112</v>
      </c>
      <c r="Y1877">
        <f>TREND(H1871:H1875,G1871:G1875,G1877)</f>
        <v>10.086349976831642</v>
      </c>
      <c r="Z1877">
        <f>ABS((Y1877-H1877)/80*100)</f>
        <v>0.14596877896044802</v>
      </c>
      <c r="AH1877">
        <f>H1877-AG1829</f>
        <v>10.007022500000005</v>
      </c>
      <c r="AI1877">
        <f>100*(AH1877-O1877)/80</f>
        <v>1.2678125000007423E-2</v>
      </c>
    </row>
    <row r="1878" spans="1:41" x14ac:dyDescent="0.35">
      <c r="A1878" t="s">
        <v>287</v>
      </c>
      <c r="B1878" t="s">
        <v>1111</v>
      </c>
      <c r="C1878" t="s">
        <v>2091</v>
      </c>
      <c r="D1878">
        <v>85</v>
      </c>
      <c r="E1878">
        <v>85</v>
      </c>
      <c r="F1878">
        <v>-1</v>
      </c>
      <c r="G1878">
        <v>-1.000194</v>
      </c>
      <c r="H1878">
        <v>10.2734375</v>
      </c>
      <c r="J1878">
        <v>18126</v>
      </c>
      <c r="N1878" t="s">
        <v>199</v>
      </c>
      <c r="O1878">
        <f t="shared" si="87"/>
        <v>9.9922399999999989</v>
      </c>
      <c r="P1878">
        <f t="shared" si="88"/>
        <v>0.35149687500000137</v>
      </c>
      <c r="Q1878">
        <f t="shared" si="89"/>
        <v>0.35149687500000137</v>
      </c>
      <c r="S1878">
        <v>50.123437500000001</v>
      </c>
      <c r="T1878">
        <v>0.162346874999999</v>
      </c>
      <c r="U1878">
        <v>90.489062500000003</v>
      </c>
      <c r="V1878">
        <v>0.61317812499998681</v>
      </c>
      <c r="W1878">
        <v>80.215621948242188</v>
      </c>
      <c r="X1878">
        <f>(W1878-80)/80*100</f>
        <v>0.26952743530273438</v>
      </c>
      <c r="Y1878">
        <f>TREND(H1878:H1882,G1878:G1882,G1878)</f>
        <v>10.145469592511937</v>
      </c>
      <c r="Z1878">
        <f>ABS((Y1878-H1878)/80*100)</f>
        <v>0.15995988436007913</v>
      </c>
      <c r="AA1878">
        <f>MAX(Z1878:Z1882)</f>
        <v>0.17932696507914514</v>
      </c>
      <c r="AB1878">
        <f>IF(ABS(MAX(P1878:P1884)) &gt; ABS(MIN(P1878:P1884)),MAX(P1878:P1884), MIN(P1878:P1884))</f>
        <v>0.61317812499998681</v>
      </c>
      <c r="AC1878">
        <f>IF(ABS(AB1879)&gt;ABS(AB1878),AB1879,AB1878)</f>
        <v>0.61317812499998681</v>
      </c>
      <c r="AH1878">
        <f>H1878-AG1829</f>
        <v>10.077335000000005</v>
      </c>
      <c r="AI1878">
        <f>100*(AH1878-O1878)/80</f>
        <v>0.10636875000000767</v>
      </c>
      <c r="AJ1878">
        <v>49.927335000000006</v>
      </c>
      <c r="AK1878">
        <v>-8.2781249999994699E-2</v>
      </c>
      <c r="AL1878">
        <v>90.292960000000008</v>
      </c>
      <c r="AM1878">
        <v>0.3680499999999931</v>
      </c>
      <c r="AN1878">
        <f>IF(ABS(MAX(AI1878:AI1884)) &gt; ABS(MIN(AI1878:AI1884)),MAX(AI1878:AI1884), MIN(AI1878:AI1884))</f>
        <v>0.3680499999999931</v>
      </c>
      <c r="AO1878">
        <f>IF(ABS(AN1879)&gt;ABS(AN1878),AN1879,AN1878)</f>
        <v>0.3680499999999931</v>
      </c>
    </row>
    <row r="1879" spans="1:41" x14ac:dyDescent="0.35">
      <c r="A1879" t="s">
        <v>287</v>
      </c>
      <c r="B1879" t="s">
        <v>1111</v>
      </c>
      <c r="C1879" t="s">
        <v>2127</v>
      </c>
      <c r="D1879">
        <v>85</v>
      </c>
      <c r="E1879">
        <v>85</v>
      </c>
      <c r="F1879">
        <v>-0.5</v>
      </c>
      <c r="G1879">
        <v>-0.50029800000000002</v>
      </c>
      <c r="H1879">
        <v>30.129687499999999</v>
      </c>
      <c r="J1879">
        <v>18150</v>
      </c>
      <c r="N1879" t="s">
        <v>199</v>
      </c>
      <c r="O1879">
        <f t="shared" si="87"/>
        <v>29.98808</v>
      </c>
      <c r="P1879">
        <f t="shared" si="88"/>
        <v>0.17700937499999903</v>
      </c>
      <c r="Q1879">
        <f t="shared" si="89"/>
        <v>0.17700937499999903</v>
      </c>
      <c r="Y1879">
        <f>TREND(H1878:H1882,G1878:G1882,G1879)</f>
        <v>30.201349859572939</v>
      </c>
      <c r="Z1879">
        <f>ABS((Y1879-H1879)/80*100)</f>
        <v>8.9577949466175255E-2</v>
      </c>
      <c r="AB1879">
        <f>IF(ABS(T1878) &gt; ABS(V1878),T1878,V1878)</f>
        <v>0.61317812499998681</v>
      </c>
      <c r="AH1879">
        <f>H1879-AG1829</f>
        <v>29.933585000000004</v>
      </c>
      <c r="AI1879">
        <f>100*(AH1879-O1879)/80</f>
        <v>-6.8118749999994677E-2</v>
      </c>
      <c r="AN1879">
        <f>IF(ABS(AK1878) &gt; ABS(AM1878),AK1878,AM1878)</f>
        <v>0.3680499999999931</v>
      </c>
    </row>
    <row r="1880" spans="1:41" x14ac:dyDescent="0.35">
      <c r="A1880" t="s">
        <v>287</v>
      </c>
      <c r="B1880" t="s">
        <v>1111</v>
      </c>
      <c r="C1880" t="s">
        <v>2163</v>
      </c>
      <c r="D1880">
        <v>85</v>
      </c>
      <c r="E1880">
        <v>85</v>
      </c>
      <c r="F1880">
        <v>0</v>
      </c>
      <c r="G1880">
        <v>-1.6100000000000001E-4</v>
      </c>
      <c r="H1880">
        <v>50.123437500000001</v>
      </c>
      <c r="J1880">
        <v>18165</v>
      </c>
      <c r="N1880" t="s">
        <v>199</v>
      </c>
      <c r="O1880">
        <f t="shared" si="87"/>
        <v>49.993560000000002</v>
      </c>
      <c r="P1880">
        <f t="shared" si="88"/>
        <v>0.162346874999999</v>
      </c>
      <c r="Q1880">
        <f t="shared" si="89"/>
        <v>0.162346874999999</v>
      </c>
      <c r="Y1880">
        <f>TREND(H1878:H1882,G1878:G1882,G1880)</f>
        <v>50.266899072063318</v>
      </c>
      <c r="Z1880">
        <f>ABS((Y1880-H1880)/80*100)</f>
        <v>0.17932696507914514</v>
      </c>
      <c r="AH1880">
        <f>H1880-AG1829</f>
        <v>49.927335000000006</v>
      </c>
      <c r="AI1880">
        <f>100*(AH1880-O1880)/80</f>
        <v>-8.2781249999994699E-2</v>
      </c>
    </row>
    <row r="1881" spans="1:41" x14ac:dyDescent="0.35">
      <c r="A1881" t="s">
        <v>287</v>
      </c>
      <c r="B1881" t="s">
        <v>1111</v>
      </c>
      <c r="C1881" t="s">
        <v>2201</v>
      </c>
      <c r="D1881">
        <v>85</v>
      </c>
      <c r="E1881">
        <v>85</v>
      </c>
      <c r="F1881">
        <v>0.5</v>
      </c>
      <c r="G1881">
        <v>0.49988199999999999</v>
      </c>
      <c r="H1881">
        <v>70.318749999999994</v>
      </c>
      <c r="J1881">
        <v>18182</v>
      </c>
      <c r="N1881" t="s">
        <v>199</v>
      </c>
      <c r="O1881">
        <f t="shared" si="87"/>
        <v>69.995279999999994</v>
      </c>
      <c r="P1881">
        <f t="shared" si="88"/>
        <v>0.40433750000000046</v>
      </c>
      <c r="Q1881">
        <f t="shared" si="89"/>
        <v>0.40433750000000046</v>
      </c>
      <c r="Y1881">
        <f>TREND(H1878:H1882,G1878:G1882,G1881)</f>
        <v>70.328676994635188</v>
      </c>
      <c r="Z1881">
        <f>ABS((Y1881-H1881)/80*100)</f>
        <v>1.240874329399233E-2</v>
      </c>
      <c r="AH1881">
        <f>H1881-AG1829</f>
        <v>70.122647499999999</v>
      </c>
      <c r="AI1881">
        <f>100*(AH1881-O1881)/80</f>
        <v>0.15920937500000676</v>
      </c>
    </row>
    <row r="1882" spans="1:41" x14ac:dyDescent="0.35">
      <c r="A1882" t="s">
        <v>287</v>
      </c>
      <c r="B1882" t="s">
        <v>1111</v>
      </c>
      <c r="C1882" t="s">
        <v>2237</v>
      </c>
      <c r="D1882">
        <v>85</v>
      </c>
      <c r="E1882">
        <v>85</v>
      </c>
      <c r="F1882">
        <v>1</v>
      </c>
      <c r="G1882">
        <v>0.99996300000000005</v>
      </c>
      <c r="H1882">
        <v>90.489062500000003</v>
      </c>
      <c r="J1882">
        <v>18200</v>
      </c>
      <c r="N1882" t="s">
        <v>199</v>
      </c>
      <c r="O1882">
        <f t="shared" si="87"/>
        <v>89.998520000000013</v>
      </c>
      <c r="P1882">
        <f t="shared" si="88"/>
        <v>0.61317812499998681</v>
      </c>
      <c r="Q1882">
        <f t="shared" si="89"/>
        <v>0.61317812499998681</v>
      </c>
      <c r="Y1882">
        <f>TREND(H1878:H1882,G1878:G1882,G1882)</f>
        <v>90.391979481216666</v>
      </c>
      <c r="Z1882">
        <f>ABS((Y1882-H1882)/80*100)</f>
        <v>0.12135377347917142</v>
      </c>
      <c r="AH1882">
        <f>H1882-AG1829</f>
        <v>90.292960000000008</v>
      </c>
      <c r="AI1882">
        <f>100*(AH1882-O1882)/80</f>
        <v>0.3680499999999931</v>
      </c>
    </row>
    <row r="1883" spans="1:41" x14ac:dyDescent="0.35">
      <c r="A1883" t="s">
        <v>287</v>
      </c>
      <c r="B1883" t="s">
        <v>1111</v>
      </c>
      <c r="C1883" t="s">
        <v>2273</v>
      </c>
      <c r="D1883">
        <v>85</v>
      </c>
      <c r="E1883">
        <v>85</v>
      </c>
      <c r="F1883">
        <v>0</v>
      </c>
      <c r="G1883">
        <v>4.5000000000000003E-5</v>
      </c>
      <c r="H1883">
        <v>50.123437500000001</v>
      </c>
      <c r="J1883">
        <v>18215</v>
      </c>
      <c r="N1883" t="s">
        <v>199</v>
      </c>
      <c r="O1883">
        <f t="shared" si="87"/>
        <v>50.001800000000003</v>
      </c>
      <c r="P1883">
        <f t="shared" si="88"/>
        <v>0.15204687499999814</v>
      </c>
      <c r="Q1883">
        <f t="shared" si="89"/>
        <v>0.15204687499999814</v>
      </c>
      <c r="Y1883">
        <f>TREND(H1878:H1882,G1878:G1882,G1883)</f>
        <v>50.27516381379963</v>
      </c>
      <c r="Z1883">
        <f>ABS((Y1883-H1883)/80*100)</f>
        <v>0.18965789224953511</v>
      </c>
      <c r="AH1883">
        <f>H1883-AG1829</f>
        <v>49.927335000000006</v>
      </c>
      <c r="AI1883">
        <f>100*(AH1883-O1883)/80</f>
        <v>-9.3081249999995563E-2</v>
      </c>
    </row>
    <row r="1884" spans="1:41" x14ac:dyDescent="0.35">
      <c r="A1884" t="s">
        <v>287</v>
      </c>
      <c r="B1884" t="s">
        <v>1111</v>
      </c>
      <c r="C1884" t="s">
        <v>2310</v>
      </c>
      <c r="D1884">
        <v>85</v>
      </c>
      <c r="E1884">
        <v>85</v>
      </c>
      <c r="F1884">
        <v>-1</v>
      </c>
      <c r="G1884">
        <v>-1.0000610000000001</v>
      </c>
      <c r="H1884">
        <v>10.3125</v>
      </c>
      <c r="J1884">
        <v>18223</v>
      </c>
      <c r="N1884" t="s">
        <v>199</v>
      </c>
      <c r="O1884">
        <f t="shared" si="87"/>
        <v>9.9975599999999964</v>
      </c>
      <c r="P1884">
        <f t="shared" si="88"/>
        <v>0.39367500000000444</v>
      </c>
      <c r="Q1884">
        <f t="shared" si="89"/>
        <v>0.39367500000000444</v>
      </c>
      <c r="Y1884">
        <f>TREND(H1878:H1882,G1878:G1882,G1884)</f>
        <v>10.150805566545571</v>
      </c>
      <c r="Z1884">
        <f>ABS((Y1884-H1884)/80*100)</f>
        <v>0.20211804181803572</v>
      </c>
      <c r="AH1884">
        <f>H1884-AG1829</f>
        <v>10.116397500000005</v>
      </c>
      <c r="AI1884">
        <f>100*(AH1884-O1884)/80</f>
        <v>0.14854687500001074</v>
      </c>
    </row>
    <row r="1885" spans="1:41" x14ac:dyDescent="0.35">
      <c r="A1885" t="s">
        <v>287</v>
      </c>
      <c r="B1885" t="s">
        <v>1111</v>
      </c>
      <c r="C1885" t="s">
        <v>2348</v>
      </c>
      <c r="D1885">
        <v>25</v>
      </c>
      <c r="E1885">
        <v>25</v>
      </c>
      <c r="F1885">
        <v>-1</v>
      </c>
      <c r="G1885">
        <v>-1.000011</v>
      </c>
      <c r="H1885">
        <v>9.8953124999999993</v>
      </c>
      <c r="J1885">
        <v>-5713</v>
      </c>
      <c r="N1885" t="s">
        <v>199</v>
      </c>
      <c r="O1885">
        <f t="shared" si="87"/>
        <v>9.9995600000000007</v>
      </c>
      <c r="P1885">
        <f t="shared" si="88"/>
        <v>-0.13030937500000173</v>
      </c>
      <c r="Q1885">
        <f t="shared" si="89"/>
        <v>0.13030937500000173</v>
      </c>
      <c r="S1885">
        <v>50.029687500000001</v>
      </c>
      <c r="T1885">
        <v>3.2209375000009643E-2</v>
      </c>
      <c r="U1885">
        <v>90.1640625</v>
      </c>
      <c r="V1885">
        <v>0.21897812500000668</v>
      </c>
      <c r="W1885">
        <v>80.268749999999997</v>
      </c>
      <c r="X1885">
        <f>(W1885-80)/80*100</f>
        <v>0.33593749999999645</v>
      </c>
      <c r="Y1885">
        <f>TREND(H1885:H1889,G1885:G1889,G1885)</f>
        <v>9.9170317764004565</v>
      </c>
      <c r="Z1885">
        <f>ABS((Y1885-H1885)/80*100)</f>
        <v>2.7149095500571541E-2</v>
      </c>
      <c r="AA1885">
        <f>MAX(Z1885:Z1889)</f>
        <v>8.6382659138131146E-2</v>
      </c>
      <c r="AB1885">
        <f>IF(ABS(MAX(P1885:P1891)) &gt; ABS(MIN(P1885:P1891)),MAX(P1885:P1891), MIN(P1885:P1891))</f>
        <v>0.26215937500001729</v>
      </c>
      <c r="AC1885">
        <f>IF(ABS(AB1886)&gt;ABS(AB1885),AB1886,AB1885)</f>
        <v>0.26215937500001729</v>
      </c>
      <c r="AH1885">
        <f>H1885-AG1829</f>
        <v>9.6992100000000043</v>
      </c>
      <c r="AI1885">
        <f>100*(AH1885-O1885)/80</f>
        <v>-0.37543749999999543</v>
      </c>
      <c r="AJ1885">
        <v>49.833585000000006</v>
      </c>
      <c r="AK1885">
        <v>-0.21291874999998406</v>
      </c>
      <c r="AL1885">
        <v>89.967960000000005</v>
      </c>
      <c r="AM1885">
        <v>-2.6149999999987017E-2</v>
      </c>
      <c r="AN1885">
        <f>IF(ABS(MAX(AI1885:AI1891)) &gt; ABS(MIN(AI1885:AI1891)),MAX(AI1885:AI1891), MIN(AI1885:AI1891))</f>
        <v>-0.37543749999999543</v>
      </c>
      <c r="AO1885">
        <f>IF(ABS(AN1886)&gt;ABS(AN1885),AN1886,AN1885)</f>
        <v>-0.37543749999999543</v>
      </c>
    </row>
    <row r="1886" spans="1:41" x14ac:dyDescent="0.35">
      <c r="A1886" t="s">
        <v>287</v>
      </c>
      <c r="B1886" t="s">
        <v>1111</v>
      </c>
      <c r="C1886" t="s">
        <v>2384</v>
      </c>
      <c r="D1886">
        <v>25</v>
      </c>
      <c r="E1886">
        <v>25</v>
      </c>
      <c r="F1886">
        <v>-0.5</v>
      </c>
      <c r="G1886">
        <v>-0.50022800000000001</v>
      </c>
      <c r="H1886">
        <v>30.015625</v>
      </c>
      <c r="J1886">
        <v>-5752</v>
      </c>
      <c r="N1886" t="s">
        <v>199</v>
      </c>
      <c r="O1886">
        <f t="shared" si="87"/>
        <v>29.990880000000001</v>
      </c>
      <c r="P1886">
        <f t="shared" si="88"/>
        <v>3.0931249999999189E-2</v>
      </c>
      <c r="Q1886">
        <f t="shared" si="89"/>
        <v>3.0931249999999189E-2</v>
      </c>
      <c r="Y1886">
        <f>TREND(H1885:H1889,G1885:G1889,G1886)</f>
        <v>29.982708393529187</v>
      </c>
      <c r="Z1886">
        <f>ABS((Y1886-H1886)/80*100)</f>
        <v>4.1145758088516615E-2</v>
      </c>
      <c r="AB1886">
        <f>IF(ABS(T1885) &gt; ABS(V1885),T1885,V1885)</f>
        <v>0.21897812500000668</v>
      </c>
      <c r="AH1886">
        <f>H1886-AG1829</f>
        <v>29.819522500000005</v>
      </c>
      <c r="AI1886">
        <f>100*(AH1886-O1886)/80</f>
        <v>-0.21419687499999451</v>
      </c>
      <c r="AN1886">
        <f>IF(ABS(AK1885) &gt; ABS(AM1885),AK1885,AM1885)</f>
        <v>-0.21291874999998406</v>
      </c>
    </row>
    <row r="1887" spans="1:41" x14ac:dyDescent="0.35">
      <c r="A1887" t="s">
        <v>287</v>
      </c>
      <c r="B1887" t="s">
        <v>1111</v>
      </c>
      <c r="C1887" t="s">
        <v>2421</v>
      </c>
      <c r="D1887">
        <v>25</v>
      </c>
      <c r="E1887">
        <v>25</v>
      </c>
      <c r="F1887">
        <v>0</v>
      </c>
      <c r="G1887">
        <v>9.7999999999999997E-5</v>
      </c>
      <c r="H1887">
        <v>50.029687500000001</v>
      </c>
      <c r="J1887">
        <v>-5778</v>
      </c>
      <c r="N1887" t="s">
        <v>199</v>
      </c>
      <c r="O1887">
        <f t="shared" si="87"/>
        <v>50.003919999999994</v>
      </c>
      <c r="P1887">
        <f t="shared" si="88"/>
        <v>3.2209375000009643E-2</v>
      </c>
      <c r="Q1887">
        <f t="shared" si="89"/>
        <v>3.2209375000009643E-2</v>
      </c>
      <c r="Y1887">
        <f>TREND(H1885:H1889,G1885:G1889,G1887)</f>
        <v>50.070185797005394</v>
      </c>
      <c r="Z1887">
        <f>ABS((Y1887-H1887)/80*100)</f>
        <v>5.0622871256740247E-2</v>
      </c>
      <c r="AH1887">
        <f>H1887-AG1829</f>
        <v>49.833585000000006</v>
      </c>
      <c r="AI1887">
        <f>100*(AH1887-O1887)/80</f>
        <v>-0.21291874999998406</v>
      </c>
    </row>
    <row r="1888" spans="1:41" x14ac:dyDescent="0.35">
      <c r="A1888" t="s">
        <v>287</v>
      </c>
      <c r="B1888" t="s">
        <v>1111</v>
      </c>
      <c r="C1888" t="s">
        <v>2457</v>
      </c>
      <c r="D1888">
        <v>25</v>
      </c>
      <c r="E1888">
        <v>25</v>
      </c>
      <c r="F1888">
        <v>0.5</v>
      </c>
      <c r="G1888">
        <v>0.49987399999999999</v>
      </c>
      <c r="H1888">
        <v>70.204687500000006</v>
      </c>
      <c r="J1888">
        <v>-5811</v>
      </c>
      <c r="N1888" t="s">
        <v>199</v>
      </c>
      <c r="O1888">
        <f t="shared" si="87"/>
        <v>69.994959999999992</v>
      </c>
      <c r="P1888">
        <f t="shared" si="88"/>
        <v>0.26215937500001729</v>
      </c>
      <c r="Q1888">
        <f t="shared" si="89"/>
        <v>0.26215937500001729</v>
      </c>
      <c r="Y1888">
        <f>TREND(H1885:H1889,G1885:G1889,G1888)</f>
        <v>70.135581372689501</v>
      </c>
      <c r="Z1888">
        <f>ABS((Y1888-H1888)/80*100)</f>
        <v>8.6382659138131146E-2</v>
      </c>
      <c r="AH1888">
        <f>H1888-AG1829</f>
        <v>70.008585000000011</v>
      </c>
      <c r="AI1888">
        <f>100*(AH1888-O1888)/80</f>
        <v>1.703125000002359E-2</v>
      </c>
    </row>
    <row r="1889" spans="1:41" x14ac:dyDescent="0.35">
      <c r="A1889" t="s">
        <v>287</v>
      </c>
      <c r="B1889" t="s">
        <v>1111</v>
      </c>
      <c r="C1889" t="s">
        <v>2495</v>
      </c>
      <c r="D1889">
        <v>25</v>
      </c>
      <c r="E1889">
        <v>25</v>
      </c>
      <c r="F1889">
        <v>1</v>
      </c>
      <c r="G1889">
        <v>0.999722</v>
      </c>
      <c r="H1889">
        <v>90.1640625</v>
      </c>
      <c r="J1889">
        <v>-5837</v>
      </c>
      <c r="N1889" t="s">
        <v>199</v>
      </c>
      <c r="O1889">
        <f t="shared" si="87"/>
        <v>89.988879999999995</v>
      </c>
      <c r="P1889">
        <f t="shared" si="88"/>
        <v>0.21897812500000668</v>
      </c>
      <c r="Q1889">
        <f t="shared" si="89"/>
        <v>0.21897812500000668</v>
      </c>
      <c r="Y1889">
        <f>TREND(H1885:H1889,G1885:G1889,G1889)</f>
        <v>90.203867660375479</v>
      </c>
      <c r="Z1889">
        <f>ABS((Y1889-H1889)/80*100)</f>
        <v>4.9756450469349289E-2</v>
      </c>
      <c r="AH1889">
        <f>H1889-AG1829</f>
        <v>89.967960000000005</v>
      </c>
      <c r="AI1889">
        <f>100*(AH1889-O1889)/80</f>
        <v>-2.6149999999987017E-2</v>
      </c>
    </row>
    <row r="1890" spans="1:41" x14ac:dyDescent="0.35">
      <c r="A1890" t="s">
        <v>287</v>
      </c>
      <c r="B1890" t="s">
        <v>1111</v>
      </c>
      <c r="C1890" t="s">
        <v>2531</v>
      </c>
      <c r="D1890">
        <v>25</v>
      </c>
      <c r="E1890">
        <v>25</v>
      </c>
      <c r="F1890">
        <v>0</v>
      </c>
      <c r="G1890">
        <v>-7.1000000000000005E-5</v>
      </c>
      <c r="H1890">
        <v>50.05</v>
      </c>
      <c r="J1890">
        <v>-5860</v>
      </c>
      <c r="N1890" t="s">
        <v>199</v>
      </c>
      <c r="O1890">
        <f t="shared" si="87"/>
        <v>49.997160000000001</v>
      </c>
      <c r="P1890">
        <f t="shared" si="88"/>
        <v>6.6049999999995279E-2</v>
      </c>
      <c r="Q1890">
        <f t="shared" si="89"/>
        <v>6.6049999999995279E-2</v>
      </c>
      <c r="Y1890">
        <f>TREND(H1885:H1889,G1885:G1889,G1890)</f>
        <v>50.063400653556549</v>
      </c>
      <c r="Z1890">
        <f>ABS((Y1890-H1890)/80*100)</f>
        <v>1.6750816945689806E-2</v>
      </c>
      <c r="AH1890">
        <f>H1890-AG1829</f>
        <v>49.853897500000002</v>
      </c>
      <c r="AI1890">
        <f>100*(AH1890-O1890)/80</f>
        <v>-0.17907812499999842</v>
      </c>
    </row>
    <row r="1891" spans="1:41" x14ac:dyDescent="0.35">
      <c r="A1891" t="s">
        <v>287</v>
      </c>
      <c r="B1891" t="s">
        <v>1111</v>
      </c>
      <c r="C1891" t="s">
        <v>2566</v>
      </c>
      <c r="D1891">
        <v>25</v>
      </c>
      <c r="E1891">
        <v>25</v>
      </c>
      <c r="F1891">
        <v>-1</v>
      </c>
      <c r="G1891">
        <v>-1.0000070000000001</v>
      </c>
      <c r="H1891">
        <v>9.9187499999999993</v>
      </c>
      <c r="J1891">
        <v>-5878</v>
      </c>
      <c r="N1891" t="s">
        <v>199</v>
      </c>
      <c r="O1891">
        <f t="shared" si="87"/>
        <v>9.9997199999999964</v>
      </c>
      <c r="P1891">
        <f t="shared" si="88"/>
        <v>-0.10121249999999637</v>
      </c>
      <c r="Q1891">
        <f t="shared" si="89"/>
        <v>0.10121249999999637</v>
      </c>
      <c r="Y1891">
        <f>TREND(H1885:H1889,G1885:G1889,G1891)</f>
        <v>9.9171923715116677</v>
      </c>
      <c r="Z1891">
        <f>ABS((Y1891-H1891)/80*100)</f>
        <v>1.9470356104145379E-3</v>
      </c>
      <c r="AH1891">
        <f>H1891-AG1829</f>
        <v>9.7226475000000043</v>
      </c>
      <c r="AI1891">
        <f>100*(AH1891-O1891)/80</f>
        <v>-0.34634062499999008</v>
      </c>
    </row>
    <row r="1892" spans="1:41" x14ac:dyDescent="0.35">
      <c r="A1892" t="s">
        <v>289</v>
      </c>
      <c r="B1892" t="s">
        <v>231</v>
      </c>
      <c r="C1892" t="s">
        <v>290</v>
      </c>
      <c r="D1892">
        <v>25</v>
      </c>
      <c r="E1892">
        <v>25</v>
      </c>
      <c r="F1892">
        <v>-1</v>
      </c>
      <c r="G1892">
        <v>-1.000011</v>
      </c>
      <c r="H1892">
        <v>10.270312499999999</v>
      </c>
      <c r="J1892">
        <v>-6187</v>
      </c>
      <c r="N1892" t="s">
        <v>200</v>
      </c>
      <c r="O1892">
        <f t="shared" si="87"/>
        <v>9.9995600000000007</v>
      </c>
      <c r="P1892">
        <f t="shared" si="88"/>
        <v>0.33844062499999827</v>
      </c>
      <c r="Q1892">
        <f t="shared" si="89"/>
        <v>0.33844062499999827</v>
      </c>
      <c r="S1892">
        <v>50.162500000000001</v>
      </c>
      <c r="T1892">
        <v>0.20717499999999944</v>
      </c>
      <c r="U1892">
        <v>90.409374999999997</v>
      </c>
      <c r="V1892">
        <v>0.52421874999998508</v>
      </c>
      <c r="W1892">
        <v>80.13906555175781</v>
      </c>
      <c r="X1892">
        <f>(W1892-80)/80*100</f>
        <v>0.17383193969726207</v>
      </c>
      <c r="Y1892">
        <f>TREND(H1892:H1896,G1892:G1896,G1892)</f>
        <v>10.186429479809036</v>
      </c>
      <c r="Z1892">
        <f>ABS((Y1892-H1892)/80*100)</f>
        <v>0.10485377523870465</v>
      </c>
      <c r="AA1892">
        <f>MAX(Z1892:Z1896)</f>
        <v>0.14655641637350669</v>
      </c>
      <c r="AB1892">
        <f>IF(ABS(MAX(P1892:P1898)) &gt; ABS(MIN(P1892:P1898)),MAX(P1892:P1898), MIN(P1892:P1898))</f>
        <v>0.52421874999998508</v>
      </c>
      <c r="AC1892">
        <f>IF(ABS(AB1893)&gt;ABS(AB1892),AB1893,AB1892)</f>
        <v>0.52421874999998508</v>
      </c>
      <c r="AD1892">
        <f>MAX(AD1893:AD1894)</f>
        <v>9.1343749999996948E-2</v>
      </c>
      <c r="AE1892">
        <f>MAX(AE1893:AE1913)</f>
        <v>0.36929687500000252</v>
      </c>
      <c r="AF1892">
        <f>MAX(AD1892,AA1892)</f>
        <v>0.14655641637350669</v>
      </c>
      <c r="AG1892">
        <f>H1894-O1894</f>
        <v>0.16573999999999955</v>
      </c>
      <c r="AH1892">
        <f>H1892-AG1892</f>
        <v>10.1045725</v>
      </c>
      <c r="AI1892">
        <f>100*(AH1892-O1892)/80</f>
        <v>0.13126562499999883</v>
      </c>
      <c r="AJ1892">
        <v>49.996760000000002</v>
      </c>
      <c r="AK1892">
        <v>0</v>
      </c>
      <c r="AL1892">
        <v>90.243634999999998</v>
      </c>
      <c r="AM1892">
        <v>0.31704374999998564</v>
      </c>
      <c r="AN1892">
        <f>IF(ABS(MAX(AI1892:AI1898)) &gt; ABS(MIN(AI1892:AI1898)),MAX(AI1892:AI1898), MIN(AI1892:AI1898))</f>
        <v>0.31704374999998564</v>
      </c>
      <c r="AO1892">
        <f>IF(ABS(AN1893)&gt;ABS(AN1892),AN1893,AN1892)</f>
        <v>0.31704374999998564</v>
      </c>
    </row>
    <row r="1893" spans="1:41" x14ac:dyDescent="0.35">
      <c r="A1893" t="s">
        <v>289</v>
      </c>
      <c r="B1893" t="s">
        <v>231</v>
      </c>
      <c r="C1893" t="s">
        <v>335</v>
      </c>
      <c r="D1893">
        <v>25</v>
      </c>
      <c r="E1893">
        <v>25</v>
      </c>
      <c r="F1893">
        <v>-0.5</v>
      </c>
      <c r="G1893">
        <v>-0.50004800000000005</v>
      </c>
      <c r="H1893">
        <v>30.185937500000001</v>
      </c>
      <c r="J1893">
        <v>-6187</v>
      </c>
      <c r="N1893" t="s">
        <v>200</v>
      </c>
      <c r="O1893">
        <f t="shared" si="87"/>
        <v>29.998079999999998</v>
      </c>
      <c r="P1893">
        <f t="shared" si="88"/>
        <v>0.23482187500000418</v>
      </c>
      <c r="Q1893">
        <f t="shared" si="89"/>
        <v>0.23482187500000418</v>
      </c>
      <c r="Y1893">
        <f>TREND(H1892:H1896,G1892:G1896,G1893)</f>
        <v>30.233007114209158</v>
      </c>
      <c r="Z1893">
        <f>ABS((Y1893-H1893)/80*100)</f>
        <v>5.883701776144612E-2</v>
      </c>
      <c r="AB1893">
        <f>IF(ABS(T1892) &gt; ABS(V1892),T1892,V1892)</f>
        <v>0.52421874999998508</v>
      </c>
      <c r="AD1893">
        <f>ABS(P1894-P1897)</f>
        <v>4.3065625000000551E-2</v>
      </c>
      <c r="AE1893">
        <f>ABS(P1920-P1892)</f>
        <v>0.29836250000000231</v>
      </c>
      <c r="AH1893">
        <f>H1893-AG1892</f>
        <v>30.020197500000002</v>
      </c>
      <c r="AI1893">
        <f>100*(AH1893-O1893)/80</f>
        <v>2.7646875000004734E-2</v>
      </c>
      <c r="AN1893">
        <f>IF(ABS(AK1892) &gt; ABS(AM1892),AK1892,AM1892)</f>
        <v>0.31704374999998564</v>
      </c>
    </row>
    <row r="1894" spans="1:41" x14ac:dyDescent="0.35">
      <c r="A1894" t="s">
        <v>289</v>
      </c>
      <c r="B1894" t="s">
        <v>231</v>
      </c>
      <c r="C1894" t="s">
        <v>372</v>
      </c>
      <c r="D1894">
        <v>25</v>
      </c>
      <c r="E1894">
        <v>25</v>
      </c>
      <c r="F1894">
        <v>0</v>
      </c>
      <c r="G1894">
        <v>-8.1000000000000004E-5</v>
      </c>
      <c r="H1894">
        <v>50.162500000000001</v>
      </c>
      <c r="J1894">
        <v>-6187</v>
      </c>
      <c r="N1894" t="s">
        <v>200</v>
      </c>
      <c r="O1894">
        <f t="shared" si="87"/>
        <v>49.996760000000002</v>
      </c>
      <c r="P1894">
        <f t="shared" si="88"/>
        <v>0.20717499999999944</v>
      </c>
      <c r="Q1894">
        <f t="shared" si="89"/>
        <v>0.20717499999999944</v>
      </c>
      <c r="Y1894">
        <f>TREND(H1892:H1896,G1892:G1896,G1894)</f>
        <v>50.279745133098807</v>
      </c>
      <c r="Z1894">
        <f>ABS((Y1894-H1894)/80*100)</f>
        <v>0.14655641637350669</v>
      </c>
      <c r="AD1894">
        <f>ABS(P1892-P1898)</f>
        <v>9.1343749999996948E-2</v>
      </c>
      <c r="AE1894">
        <f>ABS(P1921-P1893)</f>
        <v>0.25979374999999916</v>
      </c>
      <c r="AH1894">
        <f>H1894-AG1892</f>
        <v>49.996760000000002</v>
      </c>
      <c r="AI1894">
        <f>100*(AH1894-O1894)/80</f>
        <v>0</v>
      </c>
    </row>
    <row r="1895" spans="1:41" x14ac:dyDescent="0.35">
      <c r="A1895" t="s">
        <v>289</v>
      </c>
      <c r="B1895" t="s">
        <v>231</v>
      </c>
      <c r="C1895" t="s">
        <v>409</v>
      </c>
      <c r="D1895">
        <v>25</v>
      </c>
      <c r="E1895">
        <v>25</v>
      </c>
      <c r="F1895">
        <v>0.5</v>
      </c>
      <c r="G1895">
        <v>0.49974400000000002</v>
      </c>
      <c r="H1895">
        <v>70.360937500000006</v>
      </c>
      <c r="J1895">
        <v>-6179</v>
      </c>
      <c r="N1895" t="s">
        <v>200</v>
      </c>
      <c r="O1895">
        <f t="shared" si="87"/>
        <v>69.98975999999999</v>
      </c>
      <c r="P1895">
        <f t="shared" si="88"/>
        <v>0.46397187500001991</v>
      </c>
      <c r="Q1895">
        <f t="shared" si="89"/>
        <v>0.46397187500001991</v>
      </c>
      <c r="Y1895">
        <f>TREND(H1892:H1896,G1892:G1896,G1895)</f>
        <v>70.320789502610239</v>
      </c>
      <c r="Z1895">
        <f>ABS((Y1895-H1895)/80*100)</f>
        <v>5.0184996737208103E-2</v>
      </c>
      <c r="AE1895">
        <f>ABS(P1922-P1894)</f>
        <v>0.30774062499999921</v>
      </c>
      <c r="AH1895">
        <f>H1895-AG1892</f>
        <v>70.195197500000006</v>
      </c>
      <c r="AI1895">
        <f>100*(AH1895-O1895)/80</f>
        <v>0.25679687500002046</v>
      </c>
    </row>
    <row r="1896" spans="1:41" x14ac:dyDescent="0.35">
      <c r="A1896" t="s">
        <v>289</v>
      </c>
      <c r="B1896" t="s">
        <v>231</v>
      </c>
      <c r="C1896" t="s">
        <v>446</v>
      </c>
      <c r="D1896">
        <v>25</v>
      </c>
      <c r="E1896">
        <v>25</v>
      </c>
      <c r="F1896">
        <v>1</v>
      </c>
      <c r="G1896">
        <v>0.99975000000000003</v>
      </c>
      <c r="H1896">
        <v>90.409374999999997</v>
      </c>
      <c r="J1896">
        <v>-6181</v>
      </c>
      <c r="N1896" t="s">
        <v>200</v>
      </c>
      <c r="O1896">
        <f t="shared" si="87"/>
        <v>89.990000000000009</v>
      </c>
      <c r="P1896">
        <f t="shared" si="88"/>
        <v>0.52421874999998508</v>
      </c>
      <c r="Q1896">
        <f t="shared" si="89"/>
        <v>0.52421874999998508</v>
      </c>
      <c r="Y1896">
        <f>TREND(H1892:H1896,G1892:G1896,G1896)</f>
        <v>90.369091270272776</v>
      </c>
      <c r="Z1896">
        <f>ABS((Y1896-H1896)/80*100)</f>
        <v>5.0354662159026731E-2</v>
      </c>
      <c r="AE1896">
        <f>ABS(P1923-P1895)</f>
        <v>0.13678437499997642</v>
      </c>
      <c r="AH1896">
        <f>H1896-AG1892</f>
        <v>90.243634999999998</v>
      </c>
      <c r="AI1896">
        <f>100*(AH1896-O1896)/80</f>
        <v>0.31704374999998564</v>
      </c>
    </row>
    <row r="1897" spans="1:41" x14ac:dyDescent="0.35">
      <c r="A1897" t="s">
        <v>289</v>
      </c>
      <c r="B1897" t="s">
        <v>231</v>
      </c>
      <c r="C1897" t="s">
        <v>482</v>
      </c>
      <c r="D1897">
        <v>25</v>
      </c>
      <c r="E1897">
        <v>25</v>
      </c>
      <c r="F1897">
        <v>0</v>
      </c>
      <c r="G1897">
        <v>-1.22E-4</v>
      </c>
      <c r="H1897">
        <v>50.1953125</v>
      </c>
      <c r="J1897">
        <v>-6179</v>
      </c>
      <c r="N1897" t="s">
        <v>200</v>
      </c>
      <c r="O1897">
        <f t="shared" si="87"/>
        <v>49.99512</v>
      </c>
      <c r="P1897">
        <f t="shared" si="88"/>
        <v>0.25024062499999999</v>
      </c>
      <c r="Q1897">
        <f t="shared" si="89"/>
        <v>0.25024062499999999</v>
      </c>
      <c r="Y1897">
        <f>TREND(H1892:H1896,G1892:G1896,G1897)</f>
        <v>50.278101192081152</v>
      </c>
      <c r="Z1897">
        <f>ABS((Y1897-H1897)/80*100)</f>
        <v>0.1034858651014403</v>
      </c>
      <c r="AE1897">
        <f>ABS(P1924-P1896)</f>
        <v>0.12112187500001426</v>
      </c>
      <c r="AH1897">
        <f>H1897-AG1892</f>
        <v>50.0295725</v>
      </c>
      <c r="AI1897">
        <f>100*(AH1897-O1897)/80</f>
        <v>4.3065625000000551E-2</v>
      </c>
    </row>
    <row r="1898" spans="1:41" x14ac:dyDescent="0.35">
      <c r="A1898" t="s">
        <v>289</v>
      </c>
      <c r="B1898" t="s">
        <v>231</v>
      </c>
      <c r="C1898" t="s">
        <v>520</v>
      </c>
      <c r="D1898">
        <v>25</v>
      </c>
      <c r="E1898">
        <v>25</v>
      </c>
      <c r="F1898">
        <v>-1</v>
      </c>
      <c r="G1898">
        <v>-0.99998100000000001</v>
      </c>
      <c r="H1898">
        <v>10.198437500000001</v>
      </c>
      <c r="J1898">
        <v>-6179</v>
      </c>
      <c r="N1898" t="s">
        <v>200</v>
      </c>
      <c r="O1898">
        <f t="shared" si="87"/>
        <v>10.00076</v>
      </c>
      <c r="P1898">
        <f t="shared" si="88"/>
        <v>0.24709687500000133</v>
      </c>
      <c r="Q1898">
        <f t="shared" si="89"/>
        <v>0.24709687500000133</v>
      </c>
      <c r="Y1898">
        <f>TREND(H1892:H1896,G1892:G1896,G1898)</f>
        <v>10.187632363480489</v>
      </c>
      <c r="Z1898">
        <f>ABS((Y1898-H1898)/80*100)</f>
        <v>1.3506420649389561E-2</v>
      </c>
      <c r="AE1898">
        <f>ABS(P1925-P1897)</f>
        <v>0.33649062500000326</v>
      </c>
      <c r="AH1898">
        <f>H1898-AG1892</f>
        <v>10.032697500000001</v>
      </c>
      <c r="AI1898">
        <f>100*(AH1898-O1898)/80</f>
        <v>3.9921875000001883E-2</v>
      </c>
    </row>
    <row r="1899" spans="1:41" x14ac:dyDescent="0.35">
      <c r="A1899" t="s">
        <v>289</v>
      </c>
      <c r="B1899" t="s">
        <v>231</v>
      </c>
      <c r="C1899" t="s">
        <v>557</v>
      </c>
      <c r="D1899">
        <v>-20</v>
      </c>
      <c r="E1899">
        <v>-20</v>
      </c>
      <c r="F1899">
        <v>-1</v>
      </c>
      <c r="G1899">
        <v>-0.99986900000000001</v>
      </c>
      <c r="H1899">
        <v>9.7546874999999993</v>
      </c>
      <c r="J1899">
        <v>-24688</v>
      </c>
      <c r="N1899" t="s">
        <v>200</v>
      </c>
      <c r="O1899">
        <f t="shared" si="87"/>
        <v>10.005240000000001</v>
      </c>
      <c r="P1899">
        <f t="shared" si="88"/>
        <v>-0.31319062500000161</v>
      </c>
      <c r="Q1899">
        <f t="shared" si="89"/>
        <v>0.31319062500000161</v>
      </c>
      <c r="S1899">
        <v>49.859375</v>
      </c>
      <c r="T1899">
        <v>-0.18963125000000858</v>
      </c>
      <c r="U1899">
        <v>90.428124999999994</v>
      </c>
      <c r="V1899">
        <v>0.54275624999998939</v>
      </c>
      <c r="W1899">
        <v>80.673435974121091</v>
      </c>
      <c r="X1899">
        <f>(W1899-80)/80*100</f>
        <v>0.84179496765136363</v>
      </c>
      <c r="Y1899">
        <f>TREND(H1899:H1903,G1899:G1903,G1899)</f>
        <v>9.661849673755988</v>
      </c>
      <c r="Z1899">
        <f>ABS((Y1899-H1899)/80*100)</f>
        <v>0.11604728280501408</v>
      </c>
      <c r="AA1899">
        <f>MAX(Z1899:Z1903)</f>
        <v>0.19544517362305669</v>
      </c>
      <c r="AB1899">
        <f>IF(ABS(MAX(P1899:P1905)) &gt; ABS(MIN(P1899:P1905)),MAX(P1899:P1905), MIN(P1899:P1905))</f>
        <v>0.54275624999998939</v>
      </c>
      <c r="AC1899">
        <f>IF(ABS(AB1900)&gt;ABS(AB1899),AB1900,AB1899)</f>
        <v>0.54275624999998939</v>
      </c>
      <c r="AE1899">
        <f>ABS(P1926-P1898)</f>
        <v>0.36929687500000252</v>
      </c>
      <c r="AH1899">
        <f>H1899-AG1892</f>
        <v>9.5889474999999997</v>
      </c>
      <c r="AI1899">
        <f>100*(AH1899-O1899)/80</f>
        <v>-0.52036562500000105</v>
      </c>
      <c r="AJ1899">
        <v>49.693635</v>
      </c>
      <c r="AK1899">
        <v>-0.39680625000000802</v>
      </c>
      <c r="AL1899">
        <v>90.262384999999995</v>
      </c>
      <c r="AM1899">
        <v>0.33558124999998995</v>
      </c>
      <c r="AN1899">
        <f>IF(ABS(MAX(AI1899:AI1905)) &gt; ABS(MIN(AI1899:AI1905)),MAX(AI1899:AI1905), MIN(AI1899:AI1905))</f>
        <v>-0.55217500000000141</v>
      </c>
      <c r="AO1899">
        <f>IF(ABS(AN1900)&gt;ABS(AN1899),AN1900,AN1899)</f>
        <v>-0.55217500000000141</v>
      </c>
    </row>
    <row r="1900" spans="1:41" x14ac:dyDescent="0.35">
      <c r="A1900" t="s">
        <v>289</v>
      </c>
      <c r="B1900" t="s">
        <v>231</v>
      </c>
      <c r="C1900" t="s">
        <v>594</v>
      </c>
      <c r="D1900">
        <v>-20</v>
      </c>
      <c r="E1900">
        <v>-20.100000000000001</v>
      </c>
      <c r="F1900">
        <v>-0.5</v>
      </c>
      <c r="G1900">
        <v>-0.500139</v>
      </c>
      <c r="H1900">
        <v>29.8046875</v>
      </c>
      <c r="J1900">
        <v>-24701</v>
      </c>
      <c r="N1900" t="s">
        <v>200</v>
      </c>
      <c r="O1900">
        <f t="shared" si="87"/>
        <v>29.994440000000001</v>
      </c>
      <c r="P1900">
        <f t="shared" si="88"/>
        <v>-0.2371906250000011</v>
      </c>
      <c r="Q1900">
        <f t="shared" si="89"/>
        <v>0.2371906250000011</v>
      </c>
      <c r="Y1900">
        <f>TREND(H1899:H1903,G1899:G1903,G1900)</f>
        <v>29.824951045531346</v>
      </c>
      <c r="Z1900">
        <f>ABS((Y1900-H1900)/80*100)</f>
        <v>2.5329431914182798E-2</v>
      </c>
      <c r="AB1900">
        <f>IF(ABS(T1899) &gt; ABS(V1899),T1899,V1899)</f>
        <v>0.54275624999998939</v>
      </c>
      <c r="AE1900">
        <f>ABS(P1948-P1892)</f>
        <v>4.0671874999993474E-2</v>
      </c>
      <c r="AH1900">
        <f>H1900-AG1892</f>
        <v>29.6389475</v>
      </c>
      <c r="AI1900">
        <f>100*(AH1900-O1900)/80</f>
        <v>-0.44436562500000054</v>
      </c>
      <c r="AN1900">
        <f>IF(ABS(AK1899) &gt; ABS(AM1899),AK1899,AM1899)</f>
        <v>-0.39680625000000802</v>
      </c>
    </row>
    <row r="1901" spans="1:41" x14ac:dyDescent="0.35">
      <c r="A1901" t="s">
        <v>289</v>
      </c>
      <c r="B1901" t="s">
        <v>231</v>
      </c>
      <c r="C1901" t="s">
        <v>630</v>
      </c>
      <c r="D1901">
        <v>-20</v>
      </c>
      <c r="E1901">
        <v>-19.899999999999999</v>
      </c>
      <c r="F1901">
        <v>0</v>
      </c>
      <c r="G1901">
        <v>2.7700000000000001E-4</v>
      </c>
      <c r="H1901">
        <v>49.859375</v>
      </c>
      <c r="J1901">
        <v>-24717</v>
      </c>
      <c r="N1901" t="s">
        <v>200</v>
      </c>
      <c r="O1901">
        <f t="shared" si="87"/>
        <v>50.011080000000007</v>
      </c>
      <c r="P1901">
        <f t="shared" si="88"/>
        <v>-0.18963125000000858</v>
      </c>
      <c r="Q1901">
        <f t="shared" si="89"/>
        <v>0.18963125000000858</v>
      </c>
      <c r="Y1901">
        <f>TREND(H1899:H1903,G1899:G1903,G1901)</f>
        <v>50.015731138898445</v>
      </c>
      <c r="Z1901">
        <f>ABS((Y1901-H1901)/80*100)</f>
        <v>0.19544517362305669</v>
      </c>
      <c r="AE1901">
        <f>ABS(P1949-P1893)</f>
        <v>0.13281249999999911</v>
      </c>
      <c r="AH1901">
        <f>H1901-AG1892</f>
        <v>49.693635</v>
      </c>
      <c r="AI1901">
        <f>100*(AH1901-O1901)/80</f>
        <v>-0.39680625000000802</v>
      </c>
    </row>
    <row r="1902" spans="1:41" x14ac:dyDescent="0.35">
      <c r="A1902" t="s">
        <v>289</v>
      </c>
      <c r="B1902" t="s">
        <v>231</v>
      </c>
      <c r="C1902" t="s">
        <v>666</v>
      </c>
      <c r="D1902">
        <v>-20</v>
      </c>
      <c r="E1902">
        <v>-20</v>
      </c>
      <c r="F1902">
        <v>0.5</v>
      </c>
      <c r="G1902">
        <v>0.49982199999999999</v>
      </c>
      <c r="H1902">
        <v>70.173437500000006</v>
      </c>
      <c r="J1902">
        <v>-24732</v>
      </c>
      <c r="N1902" t="s">
        <v>200</v>
      </c>
      <c r="O1902">
        <f t="shared" si="87"/>
        <v>69.99288</v>
      </c>
      <c r="P1902">
        <f t="shared" si="88"/>
        <v>0.22569687500000768</v>
      </c>
      <c r="Q1902">
        <f t="shared" si="89"/>
        <v>0.22569687500000768</v>
      </c>
      <c r="Y1902">
        <f>TREND(H1899:H1903,G1899:G1903,G1902)</f>
        <v>70.17136813240198</v>
      </c>
      <c r="Z1902">
        <f>ABS((Y1902-H1902)/80*100)</f>
        <v>2.5867094975318139E-3</v>
      </c>
      <c r="AE1902">
        <f>ABS(P1950-P1894)</f>
        <v>1.9596875000003067E-2</v>
      </c>
      <c r="AH1902">
        <f>H1902-AG1892</f>
        <v>70.007697500000006</v>
      </c>
      <c r="AI1902">
        <f>100*(AH1902-O1902)/80</f>
        <v>1.8521875000008237E-2</v>
      </c>
    </row>
    <row r="1903" spans="1:41" x14ac:dyDescent="0.35">
      <c r="A1903" t="s">
        <v>289</v>
      </c>
      <c r="B1903" t="s">
        <v>231</v>
      </c>
      <c r="C1903" t="s">
        <v>702</v>
      </c>
      <c r="D1903">
        <v>-20</v>
      </c>
      <c r="E1903">
        <v>-20</v>
      </c>
      <c r="F1903">
        <v>1</v>
      </c>
      <c r="G1903">
        <v>0.99984799999999996</v>
      </c>
      <c r="H1903">
        <v>90.428124999999994</v>
      </c>
      <c r="J1903">
        <v>-24732</v>
      </c>
      <c r="N1903" t="s">
        <v>200</v>
      </c>
      <c r="O1903">
        <f t="shared" si="87"/>
        <v>89.993920000000003</v>
      </c>
      <c r="P1903">
        <f t="shared" si="88"/>
        <v>0.54275624999998939</v>
      </c>
      <c r="Q1903">
        <f t="shared" si="89"/>
        <v>0.54275624999998939</v>
      </c>
      <c r="Y1903">
        <f>TREND(H1899:H1903,G1899:G1903,G1903)</f>
        <v>90.346412509412261</v>
      </c>
      <c r="Z1903">
        <f>ABS((Y1903-H1903)/80*100)</f>
        <v>0.10214061323466696</v>
      </c>
      <c r="AE1903">
        <f>ABS(P1951-P1895)</f>
        <v>4.3781249999970129E-2</v>
      </c>
      <c r="AH1903">
        <f>H1903-AG1892</f>
        <v>90.262384999999995</v>
      </c>
      <c r="AI1903">
        <f>100*(AH1903-O1903)/80</f>
        <v>0.33558124999998995</v>
      </c>
    </row>
    <row r="1904" spans="1:41" x14ac:dyDescent="0.35">
      <c r="A1904" t="s">
        <v>289</v>
      </c>
      <c r="B1904" t="s">
        <v>231</v>
      </c>
      <c r="C1904" t="s">
        <v>739</v>
      </c>
      <c r="D1904">
        <v>-20</v>
      </c>
      <c r="E1904">
        <v>-20</v>
      </c>
      <c r="F1904">
        <v>0</v>
      </c>
      <c r="G1904">
        <v>-3.4099999999999999E-4</v>
      </c>
      <c r="H1904">
        <v>49.904687500000001</v>
      </c>
      <c r="J1904">
        <v>-24739</v>
      </c>
      <c r="N1904" t="s">
        <v>200</v>
      </c>
      <c r="O1904">
        <f t="shared" si="87"/>
        <v>49.986359999999998</v>
      </c>
      <c r="P1904">
        <f t="shared" si="88"/>
        <v>-0.10209062499999533</v>
      </c>
      <c r="Q1904">
        <f t="shared" si="89"/>
        <v>0.10209062499999533</v>
      </c>
      <c r="Y1904">
        <f>TREND(H1899:H1903,G1899:G1903,G1904)</f>
        <v>49.990796080671487</v>
      </c>
      <c r="Z1904">
        <f>ABS((Y1904-H1904)/80*100)</f>
        <v>0.10763572583935677</v>
      </c>
      <c r="AE1904">
        <f>ABS(P1952-P1896)</f>
        <v>4.2159374999979349E-2</v>
      </c>
      <c r="AH1904">
        <f>H1904-AG1892</f>
        <v>49.738947500000002</v>
      </c>
      <c r="AI1904">
        <f>100*(AH1904-O1904)/80</f>
        <v>-0.30926562499999477</v>
      </c>
    </row>
    <row r="1905" spans="1:41" x14ac:dyDescent="0.35">
      <c r="A1905" t="s">
        <v>289</v>
      </c>
      <c r="B1905" t="s">
        <v>231</v>
      </c>
      <c r="C1905" t="s">
        <v>775</v>
      </c>
      <c r="D1905">
        <v>-20</v>
      </c>
      <c r="E1905">
        <v>-20.100000000000001</v>
      </c>
      <c r="F1905">
        <v>-1</v>
      </c>
      <c r="G1905">
        <v>-0.99997499999999995</v>
      </c>
      <c r="H1905">
        <v>9.7249999999999996</v>
      </c>
      <c r="J1905">
        <v>-24736</v>
      </c>
      <c r="N1905" t="s">
        <v>200</v>
      </c>
      <c r="O1905">
        <f t="shared" si="87"/>
        <v>10.001000000000001</v>
      </c>
      <c r="P1905">
        <f t="shared" si="88"/>
        <v>-0.34500000000000197</v>
      </c>
      <c r="Q1905">
        <f t="shared" si="89"/>
        <v>0.34500000000000197</v>
      </c>
      <c r="Y1905">
        <f>TREND(H1899:H1903,G1899:G1903,G1905)</f>
        <v>9.6575727867461865</v>
      </c>
      <c r="Z1905">
        <f>ABS((Y1905-H1905)/80*100)</f>
        <v>8.4284016567266473E-2</v>
      </c>
      <c r="AE1905">
        <f>ABS(P1953-P1897)</f>
        <v>3.4959375000003234E-2</v>
      </c>
      <c r="AH1905">
        <f>H1905-AG1892</f>
        <v>9.5592600000000001</v>
      </c>
      <c r="AI1905">
        <f>100*(AH1905-O1905)/80</f>
        <v>-0.55217500000000141</v>
      </c>
    </row>
    <row r="1906" spans="1:41" x14ac:dyDescent="0.35">
      <c r="A1906" t="s">
        <v>289</v>
      </c>
      <c r="B1906" t="s">
        <v>231</v>
      </c>
      <c r="C1906" t="s">
        <v>812</v>
      </c>
      <c r="D1906">
        <v>0</v>
      </c>
      <c r="E1906">
        <v>-0.2</v>
      </c>
      <c r="F1906">
        <v>-1</v>
      </c>
      <c r="G1906">
        <v>-1.0008189999999999</v>
      </c>
      <c r="H1906">
        <v>10.309374999999999</v>
      </c>
      <c r="J1906">
        <v>-16896</v>
      </c>
      <c r="N1906" t="s">
        <v>200</v>
      </c>
      <c r="O1906">
        <f t="shared" si="87"/>
        <v>9.9672400000000039</v>
      </c>
      <c r="P1906">
        <f t="shared" si="88"/>
        <v>0.42766874999999427</v>
      </c>
      <c r="Q1906">
        <f t="shared" si="89"/>
        <v>0.42766874999999427</v>
      </c>
      <c r="S1906">
        <v>50.270312500000003</v>
      </c>
      <c r="T1906">
        <v>0.3433906250000085</v>
      </c>
      <c r="U1906">
        <v>90.4296875</v>
      </c>
      <c r="V1906">
        <v>0.52055937500000482</v>
      </c>
      <c r="W1906">
        <v>80.120312499999997</v>
      </c>
      <c r="X1906">
        <f>(W1906-80)/80*100</f>
        <v>0.15039062499999645</v>
      </c>
      <c r="Y1906">
        <f>TREND(H1906:H1910,G1906:G1910,G1906)</f>
        <v>10.245096242744495</v>
      </c>
      <c r="Z1906">
        <f>ABS((Y1906-H1906)/80*100)</f>
        <v>8.0348446569380449E-2</v>
      </c>
      <c r="AA1906">
        <f>MAX(Z1906:Z1910)</f>
        <v>8.9643321202865778E-2</v>
      </c>
      <c r="AB1906">
        <f>IF(ABS(MAX(P1906:P1912)) &gt; ABS(MIN(P1906:P1912)),MAX(P1906:P1912), MIN(P1906:P1912))</f>
        <v>0.55816249999999457</v>
      </c>
      <c r="AC1906">
        <f>IF(ABS(AB1907)&gt;ABS(AB1906),AB1907,AB1906)</f>
        <v>0.55816249999999457</v>
      </c>
      <c r="AE1906">
        <f>ABS(P1954-P1898)</f>
        <v>0.10976875000000108</v>
      </c>
      <c r="AH1906">
        <f>H1906-AG1892</f>
        <v>10.143635</v>
      </c>
      <c r="AI1906">
        <f>100*(AH1906-O1906)/80</f>
        <v>0.22049374999999483</v>
      </c>
      <c r="AJ1906">
        <v>50.104572500000003</v>
      </c>
      <c r="AK1906">
        <v>0.13621562500000906</v>
      </c>
      <c r="AL1906">
        <v>90.2639475</v>
      </c>
      <c r="AM1906">
        <v>0.31338437500000538</v>
      </c>
      <c r="AN1906">
        <f>IF(ABS(MAX(AI1906:AI1912)) &gt; ABS(MIN(AI1906:AI1912)),MAX(AI1906:AI1912), MIN(AI1906:AI1912))</f>
        <v>0.35098749999999512</v>
      </c>
      <c r="AO1906">
        <f>IF(ABS(AN1907)&gt;ABS(AN1906),AN1907,AN1906)</f>
        <v>0.35098749999999512</v>
      </c>
    </row>
    <row r="1907" spans="1:41" x14ac:dyDescent="0.35">
      <c r="A1907" t="s">
        <v>289</v>
      </c>
      <c r="B1907" t="s">
        <v>231</v>
      </c>
      <c r="C1907" t="s">
        <v>848</v>
      </c>
      <c r="D1907">
        <v>0</v>
      </c>
      <c r="E1907">
        <v>0.1</v>
      </c>
      <c r="F1907">
        <v>-0.5</v>
      </c>
      <c r="G1907">
        <v>-0.50009700000000001</v>
      </c>
      <c r="H1907">
        <v>30.248437500000001</v>
      </c>
      <c r="J1907">
        <v>-16876</v>
      </c>
      <c r="N1907" t="s">
        <v>200</v>
      </c>
      <c r="O1907">
        <f t="shared" si="87"/>
        <v>29.996119999999998</v>
      </c>
      <c r="P1907">
        <f t="shared" si="88"/>
        <v>0.31539687500000468</v>
      </c>
      <c r="Q1907">
        <f t="shared" si="89"/>
        <v>0.31539687500000468</v>
      </c>
      <c r="Y1907">
        <f>TREND(H1906:H1910,G1906:G1910,G1907)</f>
        <v>30.308286881810361</v>
      </c>
      <c r="Z1907">
        <f>ABS((Y1907-H1907)/80*100)</f>
        <v>7.4811727262948935E-2</v>
      </c>
      <c r="AB1907">
        <f>IF(ABS(T1906) &gt; ABS(V1906),T1906,V1906)</f>
        <v>0.52055937500000482</v>
      </c>
      <c r="AE1907">
        <f>ABS(P1948-P1920)</f>
        <v>0.33903437499999578</v>
      </c>
      <c r="AH1907">
        <f>H1907-AG1892</f>
        <v>30.082697500000002</v>
      </c>
      <c r="AI1907">
        <f>100*(AH1907-O1907)/80</f>
        <v>0.10822187500000524</v>
      </c>
      <c r="AN1907">
        <f>IF(ABS(AK1906) &gt; ABS(AM1906),AK1906,AM1906)</f>
        <v>0.31338437500000538</v>
      </c>
    </row>
    <row r="1908" spans="1:41" x14ac:dyDescent="0.35">
      <c r="A1908" t="s">
        <v>289</v>
      </c>
      <c r="B1908" t="s">
        <v>231</v>
      </c>
      <c r="C1908" t="s">
        <v>884</v>
      </c>
      <c r="D1908">
        <v>0</v>
      </c>
      <c r="E1908">
        <v>0</v>
      </c>
      <c r="F1908">
        <v>0</v>
      </c>
      <c r="G1908">
        <v>-1.1E-4</v>
      </c>
      <c r="H1908">
        <v>50.270312500000003</v>
      </c>
      <c r="J1908">
        <v>-16841</v>
      </c>
      <c r="N1908" t="s">
        <v>200</v>
      </c>
      <c r="O1908">
        <f t="shared" si="87"/>
        <v>49.995599999999996</v>
      </c>
      <c r="P1908">
        <f t="shared" si="88"/>
        <v>0.3433906250000085</v>
      </c>
      <c r="Q1908">
        <f t="shared" si="89"/>
        <v>0.3433906250000085</v>
      </c>
      <c r="Y1908">
        <f>TREND(H1906:H1910,G1906:G1910,G1908)</f>
        <v>50.342027156962295</v>
      </c>
      <c r="Z1908">
        <f>ABS((Y1908-H1908)/80*100)</f>
        <v>8.9643321202865778E-2</v>
      </c>
      <c r="AE1908">
        <f>ABS(P1949-P1921)</f>
        <v>0.12698125000000005</v>
      </c>
      <c r="AH1908">
        <f>H1908-AG1892</f>
        <v>50.104572500000003</v>
      </c>
      <c r="AI1908">
        <f>100*(AH1908-O1908)/80</f>
        <v>0.13621562500000906</v>
      </c>
    </row>
    <row r="1909" spans="1:41" x14ac:dyDescent="0.35">
      <c r="A1909" t="s">
        <v>289</v>
      </c>
      <c r="B1909" t="s">
        <v>231</v>
      </c>
      <c r="C1909" t="s">
        <v>921</v>
      </c>
      <c r="D1909">
        <v>0</v>
      </c>
      <c r="E1909">
        <v>0</v>
      </c>
      <c r="F1909">
        <v>0.5</v>
      </c>
      <c r="G1909">
        <v>0.50024299999999999</v>
      </c>
      <c r="H1909">
        <v>70.456249999999997</v>
      </c>
      <c r="J1909">
        <v>-16820</v>
      </c>
      <c r="N1909" t="s">
        <v>200</v>
      </c>
      <c r="O1909">
        <f t="shared" si="87"/>
        <v>70.009720000000002</v>
      </c>
      <c r="P1909">
        <f t="shared" si="88"/>
        <v>0.55816249999999457</v>
      </c>
      <c r="Q1909">
        <f t="shared" si="89"/>
        <v>0.55816249999999457</v>
      </c>
      <c r="Y1909">
        <f>TREND(H1906:H1910,G1906:G1910,G1909)</f>
        <v>70.390432511287699</v>
      </c>
      <c r="Z1909">
        <f>ABS((Y1909-H1909)/80*100)</f>
        <v>8.227186089037275E-2</v>
      </c>
      <c r="AE1909">
        <f>ABS(P1950-P1922)</f>
        <v>0.28814374999999615</v>
      </c>
      <c r="AH1909">
        <f>H1909-AG1892</f>
        <v>70.290509999999998</v>
      </c>
      <c r="AI1909">
        <f>100*(AH1909-O1909)/80</f>
        <v>0.35098749999999512</v>
      </c>
    </row>
    <row r="1910" spans="1:41" x14ac:dyDescent="0.35">
      <c r="A1910" t="s">
        <v>289</v>
      </c>
      <c r="B1910" t="s">
        <v>231</v>
      </c>
      <c r="C1910" t="s">
        <v>958</v>
      </c>
      <c r="D1910">
        <v>0</v>
      </c>
      <c r="E1910">
        <v>0.1</v>
      </c>
      <c r="F1910">
        <v>1</v>
      </c>
      <c r="G1910">
        <v>1.0003310000000001</v>
      </c>
      <c r="H1910">
        <v>90.4296875</v>
      </c>
      <c r="J1910">
        <v>-16807</v>
      </c>
      <c r="N1910" t="s">
        <v>200</v>
      </c>
      <c r="O1910">
        <f t="shared" si="87"/>
        <v>90.013239999999996</v>
      </c>
      <c r="P1910">
        <f t="shared" si="88"/>
        <v>0.52055937500000482</v>
      </c>
      <c r="Q1910">
        <f t="shared" si="89"/>
        <v>0.52055937500000482</v>
      </c>
      <c r="Y1910">
        <f>TREND(H1906:H1910,G1906:G1910,G1910)</f>
        <v>90.428219707195154</v>
      </c>
      <c r="Z1910">
        <f>ABS((Y1910-H1910)/80*100)</f>
        <v>1.8347410060570724E-3</v>
      </c>
      <c r="AE1910">
        <f>ABS(P1951-P1923)</f>
        <v>9.3003125000006293E-2</v>
      </c>
      <c r="AH1910">
        <f>H1910-AG1892</f>
        <v>90.2639475</v>
      </c>
      <c r="AI1910">
        <f>100*(AH1910-O1910)/80</f>
        <v>0.31338437500000538</v>
      </c>
    </row>
    <row r="1911" spans="1:41" x14ac:dyDescent="0.35">
      <c r="A1911" t="s">
        <v>289</v>
      </c>
      <c r="B1911" t="s">
        <v>231</v>
      </c>
      <c r="C1911" t="s">
        <v>994</v>
      </c>
      <c r="D1911">
        <v>0</v>
      </c>
      <c r="E1911">
        <v>0</v>
      </c>
      <c r="F1911">
        <v>0</v>
      </c>
      <c r="G1911">
        <v>-5.4299999999999997E-4</v>
      </c>
      <c r="H1911">
        <v>50.287500000000001</v>
      </c>
      <c r="J1911">
        <v>-16776</v>
      </c>
      <c r="N1911" t="s">
        <v>200</v>
      </c>
      <c r="O1911">
        <f t="shared" si="87"/>
        <v>49.978279999999998</v>
      </c>
      <c r="P1911">
        <f t="shared" si="88"/>
        <v>0.38652500000000423</v>
      </c>
      <c r="Q1911">
        <f t="shared" si="89"/>
        <v>0.38652500000000423</v>
      </c>
      <c r="Y1911">
        <f>TREND(H1906:H1910,G1906:G1910,G1911)</f>
        <v>50.324677486792588</v>
      </c>
      <c r="Z1911">
        <f>ABS((Y1911-H1911)/80*100)</f>
        <v>4.6471858490733098E-2</v>
      </c>
      <c r="AE1911">
        <f>ABS(P1952-P1924)</f>
        <v>0.16328124999999361</v>
      </c>
      <c r="AH1911">
        <f>H1911-AG1892</f>
        <v>50.121760000000002</v>
      </c>
      <c r="AI1911">
        <f>100*(AH1911-O1911)/80</f>
        <v>0.17935000000000478</v>
      </c>
    </row>
    <row r="1912" spans="1:41" x14ac:dyDescent="0.35">
      <c r="A1912" t="s">
        <v>289</v>
      </c>
      <c r="B1912" t="s">
        <v>231</v>
      </c>
      <c r="C1912" t="s">
        <v>1030</v>
      </c>
      <c r="D1912">
        <v>0</v>
      </c>
      <c r="E1912">
        <v>-0.1</v>
      </c>
      <c r="F1912">
        <v>-1</v>
      </c>
      <c r="G1912">
        <v>-0.99988500000000002</v>
      </c>
      <c r="H1912">
        <v>10.331250000000001</v>
      </c>
      <c r="J1912">
        <v>-16752</v>
      </c>
      <c r="N1912" t="s">
        <v>200</v>
      </c>
      <c r="O1912">
        <f t="shared" si="87"/>
        <v>10.0046</v>
      </c>
      <c r="P1912">
        <f t="shared" si="88"/>
        <v>0.40831250000000097</v>
      </c>
      <c r="Q1912">
        <f t="shared" si="89"/>
        <v>0.40831250000000097</v>
      </c>
      <c r="Y1912">
        <f>TREND(H1906:H1910,G1906:G1910,G1912)</f>
        <v>10.282520242602466</v>
      </c>
      <c r="Z1912">
        <f>ABS((Y1912-H1912)/80*100)</f>
        <v>6.091219674691839E-2</v>
      </c>
      <c r="AE1912">
        <f>ABS(P1953-P1925)</f>
        <v>0.30153125000000003</v>
      </c>
      <c r="AH1912">
        <f>H1912-AG1892</f>
        <v>10.165510000000001</v>
      </c>
      <c r="AI1912">
        <f>100*(AH1912-O1912)/80</f>
        <v>0.20113750000000152</v>
      </c>
    </row>
    <row r="1913" spans="1:41" x14ac:dyDescent="0.35">
      <c r="A1913" t="s">
        <v>289</v>
      </c>
      <c r="B1913" t="s">
        <v>231</v>
      </c>
      <c r="C1913" t="s">
        <v>1066</v>
      </c>
      <c r="D1913">
        <v>10</v>
      </c>
      <c r="E1913">
        <v>10</v>
      </c>
      <c r="F1913">
        <v>-1</v>
      </c>
      <c r="G1913">
        <v>-0.99970400000000004</v>
      </c>
      <c r="H1913">
        <v>10.481249999999999</v>
      </c>
      <c r="J1913">
        <v>-12435</v>
      </c>
      <c r="N1913" t="s">
        <v>200</v>
      </c>
      <c r="O1913">
        <f t="shared" si="87"/>
        <v>10.011839999999999</v>
      </c>
      <c r="P1913">
        <f t="shared" si="88"/>
        <v>0.58676249999999985</v>
      </c>
      <c r="Q1913">
        <f t="shared" si="89"/>
        <v>0.58676249999999985</v>
      </c>
      <c r="S1913">
        <v>50.389062500000001</v>
      </c>
      <c r="T1913">
        <v>0.48587812500000105</v>
      </c>
      <c r="U1913">
        <v>90.529687499999994</v>
      </c>
      <c r="V1913">
        <v>0.65295937500000178</v>
      </c>
      <c r="W1913">
        <v>80.048435974121091</v>
      </c>
      <c r="X1913">
        <f>(W1913-80)/80*100</f>
        <v>6.0544967651363635E-2</v>
      </c>
      <c r="Y1913">
        <f>TREND(H1913:H1917,G1913:G1917,G1913)</f>
        <v>10.399078724996443</v>
      </c>
      <c r="Z1913">
        <f>ABS((Y1913-H1913)/80*100)</f>
        <v>0.10271409375444573</v>
      </c>
      <c r="AA1913">
        <f>MAX(Z1913:Z1917)</f>
        <v>0.10385256331550963</v>
      </c>
      <c r="AB1913">
        <f>IF(ABS(MAX(P1913:P1919)) &gt; ABS(MIN(P1913:P1919)),MAX(P1913:P1919), MIN(P1913:P1919))</f>
        <v>0.65295937500000178</v>
      </c>
      <c r="AC1913">
        <f>IF(ABS(AB1914)&gt;ABS(AB1913),AB1914,AB1913)</f>
        <v>0.65295937500000178</v>
      </c>
      <c r="AE1913">
        <f>ABS(P1954-P1926)</f>
        <v>0.25952812500000144</v>
      </c>
      <c r="AH1913">
        <f>H1913-AG1892</f>
        <v>10.31551</v>
      </c>
      <c r="AI1913">
        <f>100*(AH1913-O1913)/80</f>
        <v>0.37958750000000041</v>
      </c>
      <c r="AJ1913">
        <v>50.223322500000002</v>
      </c>
      <c r="AK1913">
        <v>0.27870312500000161</v>
      </c>
      <c r="AL1913">
        <v>90.363947499999995</v>
      </c>
      <c r="AM1913">
        <v>0.44578437500000234</v>
      </c>
      <c r="AN1913">
        <f>IF(ABS(MAX(AI1913:AI1919)) &gt; ABS(MIN(AI1913:AI1919)),MAX(AI1913:AI1919), MIN(AI1913:AI1919))</f>
        <v>0.44578437500000234</v>
      </c>
      <c r="AO1913">
        <f>IF(ABS(AN1914)&gt;ABS(AN1913),AN1914,AN1913)</f>
        <v>0.44578437500000234</v>
      </c>
    </row>
    <row r="1914" spans="1:41" x14ac:dyDescent="0.35">
      <c r="A1914" t="s">
        <v>289</v>
      </c>
      <c r="B1914" t="s">
        <v>231</v>
      </c>
      <c r="C1914" t="s">
        <v>1102</v>
      </c>
      <c r="D1914">
        <v>10</v>
      </c>
      <c r="E1914">
        <v>10</v>
      </c>
      <c r="F1914">
        <v>-0.5</v>
      </c>
      <c r="G1914">
        <v>-0.49991099999999999</v>
      </c>
      <c r="H1914">
        <v>30.334375000000001</v>
      </c>
      <c r="J1914">
        <v>-12431</v>
      </c>
      <c r="N1914" t="s">
        <v>200</v>
      </c>
      <c r="O1914">
        <f t="shared" si="87"/>
        <v>30.00356</v>
      </c>
      <c r="P1914">
        <f t="shared" si="88"/>
        <v>0.41351875000000149</v>
      </c>
      <c r="Q1914">
        <f t="shared" si="89"/>
        <v>0.41351875000000149</v>
      </c>
      <c r="Y1914">
        <f>TREND(H1913:H1917,G1913:G1917,G1914)</f>
        <v>30.417457050652409</v>
      </c>
      <c r="Z1914">
        <f>ABS((Y1914-H1914)/80*100)</f>
        <v>0.10385256331550963</v>
      </c>
      <c r="AB1914">
        <f>IF(ABS(T1913) &gt; ABS(V1913),T1913,V1913)</f>
        <v>0.65295937500000178</v>
      </c>
      <c r="AH1914">
        <f>H1914-AG1892</f>
        <v>30.168635000000002</v>
      </c>
      <c r="AI1914">
        <f>100*(AH1914-O1914)/80</f>
        <v>0.20634375000000205</v>
      </c>
      <c r="AN1914">
        <f>IF(ABS(AK1913) &gt; ABS(AM1913),AK1913,AM1913)</f>
        <v>0.44578437500000234</v>
      </c>
    </row>
    <row r="1915" spans="1:41" x14ac:dyDescent="0.35">
      <c r="A1915" t="s">
        <v>289</v>
      </c>
      <c r="B1915" t="s">
        <v>1111</v>
      </c>
      <c r="C1915" t="s">
        <v>1139</v>
      </c>
      <c r="D1915">
        <v>10</v>
      </c>
      <c r="E1915">
        <v>10</v>
      </c>
      <c r="F1915">
        <v>0</v>
      </c>
      <c r="G1915">
        <v>9.0000000000000002E-6</v>
      </c>
      <c r="H1915">
        <v>50.389062500000001</v>
      </c>
      <c r="J1915">
        <v>-12413</v>
      </c>
      <c r="N1915" t="s">
        <v>200</v>
      </c>
      <c r="O1915">
        <f t="shared" si="87"/>
        <v>50.000360000000001</v>
      </c>
      <c r="P1915">
        <f t="shared" si="88"/>
        <v>0.48587812500000105</v>
      </c>
      <c r="Q1915">
        <f t="shared" si="89"/>
        <v>0.48587812500000105</v>
      </c>
      <c r="Y1915">
        <f>TREND(H1913:H1917,G1913:G1917,G1915)</f>
        <v>50.44092215032753</v>
      </c>
      <c r="Z1915">
        <f>ABS((Y1915-H1915)/80*100)</f>
        <v>6.4824562909411299E-2</v>
      </c>
      <c r="AH1915">
        <f>H1915-AG1892</f>
        <v>50.223322500000002</v>
      </c>
      <c r="AI1915">
        <f>100*(AH1915-O1915)/80</f>
        <v>0.27870312500000161</v>
      </c>
    </row>
    <row r="1916" spans="1:41" x14ac:dyDescent="0.35">
      <c r="A1916" t="s">
        <v>289</v>
      </c>
      <c r="B1916" t="s">
        <v>1111</v>
      </c>
      <c r="C1916" t="s">
        <v>1176</v>
      </c>
      <c r="D1916">
        <v>10</v>
      </c>
      <c r="E1916">
        <v>10</v>
      </c>
      <c r="F1916">
        <v>0.5</v>
      </c>
      <c r="G1916">
        <v>0.499782</v>
      </c>
      <c r="H1916">
        <v>70.482812499999994</v>
      </c>
      <c r="J1916">
        <v>-12400</v>
      </c>
      <c r="N1916" t="s">
        <v>200</v>
      </c>
      <c r="O1916">
        <f t="shared" si="87"/>
        <v>69.991279999999989</v>
      </c>
      <c r="P1916">
        <f t="shared" si="88"/>
        <v>0.61441562500000657</v>
      </c>
      <c r="Q1916">
        <f t="shared" si="89"/>
        <v>0.61441562500000657</v>
      </c>
      <c r="Y1916">
        <f>TREND(H1913:H1917,G1913:G1917,G1916)</f>
        <v>70.458499409208827</v>
      </c>
      <c r="Z1916">
        <f>ABS((Y1916-H1916)/80*100)</f>
        <v>3.0391363488959659E-2</v>
      </c>
      <c r="AH1916">
        <f>H1916-AG1892</f>
        <v>70.317072499999995</v>
      </c>
      <c r="AI1916">
        <f>100*(AH1916-O1916)/80</f>
        <v>0.40724062500000713</v>
      </c>
    </row>
    <row r="1917" spans="1:41" x14ac:dyDescent="0.35">
      <c r="A1917" t="s">
        <v>289</v>
      </c>
      <c r="B1917" t="s">
        <v>1111</v>
      </c>
      <c r="C1917" t="s">
        <v>1214</v>
      </c>
      <c r="D1917">
        <v>10</v>
      </c>
      <c r="E1917">
        <v>10</v>
      </c>
      <c r="F1917">
        <v>1</v>
      </c>
      <c r="G1917">
        <v>1.000183</v>
      </c>
      <c r="H1917">
        <v>90.529687499999994</v>
      </c>
      <c r="J1917">
        <v>-12394</v>
      </c>
      <c r="N1917" t="s">
        <v>200</v>
      </c>
      <c r="O1917">
        <f t="shared" si="87"/>
        <v>90.007319999999993</v>
      </c>
      <c r="P1917">
        <f t="shared" si="88"/>
        <v>0.65295937500000178</v>
      </c>
      <c r="Q1917">
        <f t="shared" si="89"/>
        <v>0.65295937500000178</v>
      </c>
      <c r="Y1917">
        <f>TREND(H1913:H1917,G1913:G1917,G1917)</f>
        <v>90.501230164814785</v>
      </c>
      <c r="Z1917">
        <f>ABS((Y1917-H1917)/80*100)</f>
        <v>3.5571668981511095E-2</v>
      </c>
      <c r="AH1917">
        <f>H1917-AG1892</f>
        <v>90.363947499999995</v>
      </c>
      <c r="AI1917">
        <f>100*(AH1917-O1917)/80</f>
        <v>0.44578437500000234</v>
      </c>
    </row>
    <row r="1918" spans="1:41" x14ac:dyDescent="0.35">
      <c r="A1918" t="s">
        <v>289</v>
      </c>
      <c r="B1918" t="s">
        <v>1111</v>
      </c>
      <c r="C1918" t="s">
        <v>1250</v>
      </c>
      <c r="D1918">
        <v>10</v>
      </c>
      <c r="E1918">
        <v>10</v>
      </c>
      <c r="F1918">
        <v>0</v>
      </c>
      <c r="G1918">
        <v>-1.25E-4</v>
      </c>
      <c r="H1918">
        <v>50.325000000000003</v>
      </c>
      <c r="J1918">
        <v>-12394</v>
      </c>
      <c r="N1918" t="s">
        <v>200</v>
      </c>
      <c r="O1918">
        <f t="shared" si="87"/>
        <v>49.994999999999997</v>
      </c>
      <c r="P1918">
        <f t="shared" si="88"/>
        <v>0.41250000000000675</v>
      </c>
      <c r="Q1918">
        <f t="shared" si="89"/>
        <v>0.41250000000000675</v>
      </c>
      <c r="Y1918">
        <f>TREND(H1913:H1917,G1913:G1917,G1918)</f>
        <v>50.435555002937235</v>
      </c>
      <c r="Z1918">
        <f>ABS((Y1918-H1918)/80*100)</f>
        <v>0.13819375367154052</v>
      </c>
      <c r="AH1918">
        <f>H1918-AG1892</f>
        <v>50.159260000000003</v>
      </c>
      <c r="AI1918">
        <f>100*(AH1918-O1918)/80</f>
        <v>0.20532500000000731</v>
      </c>
    </row>
    <row r="1919" spans="1:41" x14ac:dyDescent="0.35">
      <c r="A1919" t="s">
        <v>289</v>
      </c>
      <c r="B1919" t="s">
        <v>1111</v>
      </c>
      <c r="C1919" t="s">
        <v>1286</v>
      </c>
      <c r="D1919">
        <v>10</v>
      </c>
      <c r="E1919">
        <v>10</v>
      </c>
      <c r="F1919">
        <v>-1</v>
      </c>
      <c r="G1919">
        <v>-1.000713</v>
      </c>
      <c r="H1919">
        <v>10.473437499999999</v>
      </c>
      <c r="J1919">
        <v>-12394</v>
      </c>
      <c r="N1919" t="s">
        <v>200</v>
      </c>
      <c r="O1919">
        <f t="shared" si="87"/>
        <v>9.9714800000000015</v>
      </c>
      <c r="P1919">
        <f t="shared" si="88"/>
        <v>0.62744687499999729</v>
      </c>
      <c r="Q1919">
        <f t="shared" si="89"/>
        <v>0.62744687499999729</v>
      </c>
      <c r="Y1919">
        <f>TREND(H1913:H1917,G1913:G1917,G1919)</f>
        <v>10.358664906214294</v>
      </c>
      <c r="Z1919">
        <f>ABS((Y1919-H1919)/80*100)</f>
        <v>0.14346574223213171</v>
      </c>
      <c r="AH1919">
        <f>H1919-AG1892</f>
        <v>10.3076975</v>
      </c>
      <c r="AI1919">
        <f>100*(AH1919-O1919)/80</f>
        <v>0.42027187499999785</v>
      </c>
    </row>
    <row r="1920" spans="1:41" x14ac:dyDescent="0.35">
      <c r="A1920" t="s">
        <v>289</v>
      </c>
      <c r="B1920" t="s">
        <v>1111</v>
      </c>
      <c r="C1920" t="s">
        <v>1323</v>
      </c>
      <c r="D1920">
        <v>25</v>
      </c>
      <c r="E1920">
        <v>25</v>
      </c>
      <c r="F1920">
        <v>-1</v>
      </c>
      <c r="G1920">
        <v>-1.000197</v>
      </c>
      <c r="H1920">
        <v>10.5015625</v>
      </c>
      <c r="J1920">
        <v>-6366</v>
      </c>
      <c r="N1920" t="s">
        <v>200</v>
      </c>
      <c r="O1920">
        <f t="shared" si="87"/>
        <v>9.9921199999999999</v>
      </c>
      <c r="P1920">
        <f t="shared" si="88"/>
        <v>0.63680312500000058</v>
      </c>
      <c r="Q1920">
        <f t="shared" si="89"/>
        <v>0.63680312500000058</v>
      </c>
      <c r="S1920">
        <v>50.407812499999999</v>
      </c>
      <c r="T1920">
        <v>0.51491562499999866</v>
      </c>
      <c r="U1920">
        <v>90.520312500000003</v>
      </c>
      <c r="V1920">
        <v>0.64534062499999933</v>
      </c>
      <c r="W1920">
        <v>80.018746948242182</v>
      </c>
      <c r="X1920">
        <f>(W1920-80)/80*100</f>
        <v>2.343368530272727E-2</v>
      </c>
      <c r="Y1920">
        <f>TREND(H1920:H1924,G1920:G1924,G1920)</f>
        <v>10.435190886594704</v>
      </c>
      <c r="Z1920">
        <f>ABS((Y1920-H1920)/80*100)</f>
        <v>8.2964516756620643E-2</v>
      </c>
      <c r="AA1920">
        <f>MAX(Z1920:Z1924)</f>
        <v>8.2964516756620643E-2</v>
      </c>
      <c r="AB1920">
        <f>IF(ABS(MAX(P1920:P1926)) &gt; ABS(MIN(P1920:P1926)),MAX(P1920:P1926), MIN(P1920:P1926))</f>
        <v>0.64534062499999933</v>
      </c>
      <c r="AC1920">
        <f>IF(ABS(AB1921)&gt;ABS(AB1920),AB1921,AB1920)</f>
        <v>0.64534062499999933</v>
      </c>
      <c r="AH1920">
        <f>H1920-AG1892</f>
        <v>10.335822500000001</v>
      </c>
      <c r="AI1920">
        <f>100*(AH1920-O1920)/80</f>
        <v>0.42962812500000114</v>
      </c>
      <c r="AJ1920">
        <v>50.242072499999999</v>
      </c>
      <c r="AK1920">
        <v>0.30774062499999921</v>
      </c>
      <c r="AL1920">
        <v>90.354572500000003</v>
      </c>
      <c r="AM1920">
        <v>0.43816562499999989</v>
      </c>
      <c r="AN1920">
        <f>IF(ABS(MAX(AI1920:AI1926)) &gt; ABS(MIN(AI1920:AI1926)),MAX(AI1920:AI1926), MIN(AI1920:AI1926))</f>
        <v>0.43816562499999989</v>
      </c>
      <c r="AO1920">
        <f>IF(ABS(AN1921)&gt;ABS(AN1920),AN1921,AN1920)</f>
        <v>0.43816562499999989</v>
      </c>
    </row>
    <row r="1921" spans="1:41" x14ac:dyDescent="0.35">
      <c r="A1921" t="s">
        <v>289</v>
      </c>
      <c r="B1921" t="s">
        <v>1111</v>
      </c>
      <c r="C1921" t="s">
        <v>1359</v>
      </c>
      <c r="D1921">
        <v>25</v>
      </c>
      <c r="E1921">
        <v>25</v>
      </c>
      <c r="F1921">
        <v>-0.5</v>
      </c>
      <c r="G1921">
        <v>-0.50032200000000004</v>
      </c>
      <c r="H1921">
        <v>30.3828125</v>
      </c>
      <c r="J1921">
        <v>-6351</v>
      </c>
      <c r="N1921" t="s">
        <v>200</v>
      </c>
      <c r="O1921">
        <f t="shared" si="87"/>
        <v>29.987119999999997</v>
      </c>
      <c r="P1921">
        <f t="shared" si="88"/>
        <v>0.49461562500000333</v>
      </c>
      <c r="Q1921">
        <f t="shared" si="89"/>
        <v>0.49461562500000333</v>
      </c>
      <c r="Y1921">
        <f>TREND(H1920:H1924,G1920:G1924,G1921)</f>
        <v>30.440046686126895</v>
      </c>
      <c r="Z1921">
        <f>ABS((Y1921-H1921)/80*100)</f>
        <v>7.1542732658618213E-2</v>
      </c>
      <c r="AB1921">
        <f>IF(ABS(T1920) &gt; ABS(V1920),T1920,V1920)</f>
        <v>0.64534062499999933</v>
      </c>
      <c r="AH1921">
        <f>H1921-AG1892</f>
        <v>30.2170725</v>
      </c>
      <c r="AI1921">
        <f>100*(AH1921-O1921)/80</f>
        <v>0.28744062500000389</v>
      </c>
      <c r="AN1921">
        <f>IF(ABS(AK1920) &gt; ABS(AM1920),AK1920,AM1920)</f>
        <v>0.43816562499999989</v>
      </c>
    </row>
    <row r="1922" spans="1:41" x14ac:dyDescent="0.35">
      <c r="A1922" t="s">
        <v>289</v>
      </c>
      <c r="B1922" t="s">
        <v>1111</v>
      </c>
      <c r="C1922" t="s">
        <v>1395</v>
      </c>
      <c r="D1922">
        <v>25</v>
      </c>
      <c r="E1922">
        <v>25</v>
      </c>
      <c r="F1922">
        <v>0</v>
      </c>
      <c r="G1922">
        <v>-1.03E-4</v>
      </c>
      <c r="H1922">
        <v>50.407812499999999</v>
      </c>
      <c r="J1922">
        <v>-6338</v>
      </c>
      <c r="N1922" t="s">
        <v>200</v>
      </c>
      <c r="O1922">
        <f t="shared" si="87"/>
        <v>49.99588</v>
      </c>
      <c r="P1922">
        <f t="shared" si="88"/>
        <v>0.51491562499999866</v>
      </c>
      <c r="Q1922">
        <f t="shared" si="89"/>
        <v>0.51491562499999866</v>
      </c>
      <c r="Y1922">
        <f>TREND(H1920:H1924,G1920:G1924,G1922)</f>
        <v>50.458669268144781</v>
      </c>
      <c r="Z1922">
        <f>ABS((Y1922-H1922)/80*100)</f>
        <v>6.3570960180978631E-2</v>
      </c>
      <c r="AH1922">
        <f>H1922-AG1892</f>
        <v>50.242072499999999</v>
      </c>
      <c r="AI1922">
        <f>100*(AH1922-O1922)/80</f>
        <v>0.30774062499999921</v>
      </c>
    </row>
    <row r="1923" spans="1:41" x14ac:dyDescent="0.35">
      <c r="A1923" t="s">
        <v>289</v>
      </c>
      <c r="B1923" t="s">
        <v>1111</v>
      </c>
      <c r="C1923" t="s">
        <v>1433</v>
      </c>
      <c r="D1923">
        <v>25</v>
      </c>
      <c r="E1923">
        <v>25</v>
      </c>
      <c r="F1923">
        <v>0.5</v>
      </c>
      <c r="G1923">
        <v>0.49993799999999999</v>
      </c>
      <c r="H1923">
        <v>70.478125000000006</v>
      </c>
      <c r="J1923">
        <v>-6327</v>
      </c>
      <c r="N1923" t="s">
        <v>200</v>
      </c>
      <c r="O1923">
        <f t="shared" si="87"/>
        <v>69.997520000000009</v>
      </c>
      <c r="P1923">
        <f t="shared" si="88"/>
        <v>0.60075624999999633</v>
      </c>
      <c r="Q1923">
        <f t="shared" si="89"/>
        <v>0.60075624999999633</v>
      </c>
      <c r="Y1923">
        <f>TREND(H1920:H1924,G1920:G1924,G1923)</f>
        <v>70.47016834062066</v>
      </c>
      <c r="Z1923">
        <f>ABS((Y1923-H1923)/80*100)</f>
        <v>9.9458242241823314E-3</v>
      </c>
      <c r="AH1923">
        <f>H1923-AG1892</f>
        <v>70.312385000000006</v>
      </c>
      <c r="AI1923">
        <f>100*(AH1923-O1923)/80</f>
        <v>0.39358124999999688</v>
      </c>
    </row>
    <row r="1924" spans="1:41" x14ac:dyDescent="0.35">
      <c r="A1924" t="s">
        <v>289</v>
      </c>
      <c r="B1924" t="s">
        <v>1111</v>
      </c>
      <c r="C1924" t="s">
        <v>1469</v>
      </c>
      <c r="D1924">
        <v>25</v>
      </c>
      <c r="E1924">
        <v>25</v>
      </c>
      <c r="F1924">
        <v>1</v>
      </c>
      <c r="G1924">
        <v>1.0001009999999999</v>
      </c>
      <c r="H1924">
        <v>90.520312500000003</v>
      </c>
      <c r="J1924">
        <v>-6318</v>
      </c>
      <c r="N1924" t="s">
        <v>200</v>
      </c>
      <c r="O1924">
        <f t="shared" si="87"/>
        <v>90.004040000000003</v>
      </c>
      <c r="P1924">
        <f t="shared" si="88"/>
        <v>0.64534062499999933</v>
      </c>
      <c r="Q1924">
        <f t="shared" si="89"/>
        <v>0.64534062499999933</v>
      </c>
      <c r="Y1924">
        <f>TREND(H1920:H1924,G1920:G1924,G1924)</f>
        <v>90.486549818512955</v>
      </c>
      <c r="Z1924">
        <f>ABS((Y1924-H1924)/80*100)</f>
        <v>4.2203351858809413E-2</v>
      </c>
      <c r="AH1924">
        <f>H1924-AG1892</f>
        <v>90.354572500000003</v>
      </c>
      <c r="AI1924">
        <f>100*(AH1924-O1924)/80</f>
        <v>0.43816562499999989</v>
      </c>
    </row>
    <row r="1925" spans="1:41" x14ac:dyDescent="0.35">
      <c r="A1925" t="s">
        <v>289</v>
      </c>
      <c r="B1925" t="s">
        <v>1111</v>
      </c>
      <c r="C1925" t="s">
        <v>1506</v>
      </c>
      <c r="D1925">
        <v>25</v>
      </c>
      <c r="E1925">
        <v>25</v>
      </c>
      <c r="F1925">
        <v>0</v>
      </c>
      <c r="G1925">
        <v>-9.3999999999999994E-5</v>
      </c>
      <c r="H1925">
        <v>50.465625000000003</v>
      </c>
      <c r="J1925">
        <v>-6303</v>
      </c>
      <c r="N1925" t="s">
        <v>200</v>
      </c>
      <c r="O1925">
        <f t="shared" si="87"/>
        <v>49.99624</v>
      </c>
      <c r="P1925">
        <f t="shared" si="88"/>
        <v>0.58673125000000326</v>
      </c>
      <c r="Q1925">
        <f t="shared" si="89"/>
        <v>0.58673125000000326</v>
      </c>
      <c r="Y1925">
        <f>TREND(H1920:H1924,G1920:G1924,G1925)</f>
        <v>50.459029445593536</v>
      </c>
      <c r="Z1925">
        <f>ABS((Y1925-H1925)/80*100)</f>
        <v>8.2444430080830244E-3</v>
      </c>
      <c r="AH1925">
        <f>H1925-AG1892</f>
        <v>50.299885000000003</v>
      </c>
      <c r="AI1925">
        <f>100*(AH1925-O1925)/80</f>
        <v>0.37955625000000381</v>
      </c>
    </row>
    <row r="1926" spans="1:41" x14ac:dyDescent="0.35">
      <c r="A1926" t="s">
        <v>289</v>
      </c>
      <c r="B1926" t="s">
        <v>1111</v>
      </c>
      <c r="C1926" t="s">
        <v>1542</v>
      </c>
      <c r="D1926">
        <v>25</v>
      </c>
      <c r="E1926">
        <v>25</v>
      </c>
      <c r="F1926">
        <v>-1</v>
      </c>
      <c r="G1926">
        <v>-1.0005310000000001</v>
      </c>
      <c r="H1926">
        <v>10.471875000000001</v>
      </c>
      <c r="J1926">
        <v>-6294</v>
      </c>
      <c r="N1926" t="s">
        <v>200</v>
      </c>
      <c r="O1926">
        <f t="shared" si="87"/>
        <v>9.9787599999999976</v>
      </c>
      <c r="P1926">
        <f t="shared" si="88"/>
        <v>0.61639375000000385</v>
      </c>
      <c r="Q1926">
        <f t="shared" si="89"/>
        <v>0.61639375000000385</v>
      </c>
      <c r="Y1926">
        <f>TREND(H1920:H1924,G1920:G1924,G1926)</f>
        <v>10.421824301274285</v>
      </c>
      <c r="Z1926">
        <f>ABS((Y1926-H1926)/80*100)</f>
        <v>6.2563373407145129E-2</v>
      </c>
      <c r="AH1926">
        <f>H1926-AG1892</f>
        <v>10.306135000000001</v>
      </c>
      <c r="AI1926">
        <f>100*(AH1926-O1926)/80</f>
        <v>0.40921875000000441</v>
      </c>
    </row>
    <row r="1927" spans="1:41" x14ac:dyDescent="0.35">
      <c r="A1927" t="s">
        <v>289</v>
      </c>
      <c r="B1927" t="s">
        <v>1111</v>
      </c>
      <c r="C1927" t="s">
        <v>1579</v>
      </c>
      <c r="D1927">
        <v>50</v>
      </c>
      <c r="E1927">
        <v>50</v>
      </c>
      <c r="F1927">
        <v>-1</v>
      </c>
      <c r="G1927">
        <v>-1.0001990000000001</v>
      </c>
      <c r="H1927">
        <v>10.223437499999999</v>
      </c>
      <c r="J1927">
        <v>3725</v>
      </c>
      <c r="N1927" t="s">
        <v>200</v>
      </c>
      <c r="O1927">
        <f t="shared" si="87"/>
        <v>9.9920399999999976</v>
      </c>
      <c r="P1927">
        <f t="shared" si="88"/>
        <v>0.28924687500000212</v>
      </c>
      <c r="Q1927">
        <f t="shared" si="89"/>
        <v>0.28924687500000212</v>
      </c>
      <c r="S1927">
        <v>50.221874999999997</v>
      </c>
      <c r="T1927">
        <v>0.29464374999999876</v>
      </c>
      <c r="U1927">
        <v>90.381249999999994</v>
      </c>
      <c r="V1927">
        <v>0.47656249999999289</v>
      </c>
      <c r="W1927">
        <v>80.157810974121091</v>
      </c>
      <c r="X1927">
        <f>(W1927-80)/80*100</f>
        <v>0.19726371765136363</v>
      </c>
      <c r="Y1927">
        <f>TREND(H1927:H1931,G1927:G1931,G1927)</f>
        <v>10.160248221667473</v>
      </c>
      <c r="Z1927">
        <f>ABS((Y1927-H1927)/80*100)</f>
        <v>7.8986597915657875E-2</v>
      </c>
      <c r="AA1927">
        <f>MAX(Z1927:Z1931)</f>
        <v>8.3462261073479205E-2</v>
      </c>
      <c r="AB1927">
        <f>IF(ABS(MAX(P1927:P1933)) &gt; ABS(MIN(P1927:P1933)),MAX(P1927:P1933), MIN(P1927:P1933))</f>
        <v>0.47656249999999289</v>
      </c>
      <c r="AC1927">
        <f>IF(ABS(AB1928)&gt;ABS(AB1927),AB1928,AB1927)</f>
        <v>0.47656249999999289</v>
      </c>
      <c r="AH1927">
        <f>H1927-AG1892</f>
        <v>10.0576975</v>
      </c>
      <c r="AI1927">
        <f>100*(AH1927-O1927)/80</f>
        <v>8.2071875000002681E-2</v>
      </c>
      <c r="AJ1927">
        <v>50.056134999999998</v>
      </c>
      <c r="AK1927">
        <v>8.7468749999999318E-2</v>
      </c>
      <c r="AL1927">
        <v>90.215509999999995</v>
      </c>
      <c r="AM1927">
        <v>0.26938749999999345</v>
      </c>
      <c r="AN1927">
        <f>IF(ABS(MAX(AI1927:AI1933)) &gt; ABS(MIN(AI1927:AI1933)),MAX(AI1927:AI1933), MIN(AI1927:AI1933))</f>
        <v>0.26938749999999345</v>
      </c>
      <c r="AO1927">
        <f>IF(ABS(AN1928)&gt;ABS(AN1927),AN1928,AN1927)</f>
        <v>0.26938749999999345</v>
      </c>
    </row>
    <row r="1928" spans="1:41" x14ac:dyDescent="0.35">
      <c r="A1928" t="s">
        <v>289</v>
      </c>
      <c r="B1928" t="s">
        <v>1111</v>
      </c>
      <c r="C1928" t="s">
        <v>1615</v>
      </c>
      <c r="D1928">
        <v>50</v>
      </c>
      <c r="E1928">
        <v>50</v>
      </c>
      <c r="F1928">
        <v>-0.5</v>
      </c>
      <c r="G1928">
        <v>-0.50017800000000001</v>
      </c>
      <c r="H1928">
        <v>30.139062500000001</v>
      </c>
      <c r="J1928">
        <v>3754</v>
      </c>
      <c r="N1928" t="s">
        <v>200</v>
      </c>
      <c r="O1928">
        <f t="shared" si="87"/>
        <v>29.99288</v>
      </c>
      <c r="P1928">
        <f t="shared" si="88"/>
        <v>0.18272812500000235</v>
      </c>
      <c r="Q1928">
        <f t="shared" si="89"/>
        <v>0.18272812500000235</v>
      </c>
      <c r="Y1928">
        <f>TREND(H1927:H1931,G1927:G1931,G1928)</f>
        <v>30.205832308858785</v>
      </c>
      <c r="Z1928">
        <f>ABS((Y1928-H1928)/80*100)</f>
        <v>8.3462261073479205E-2</v>
      </c>
      <c r="AB1928">
        <f>IF(ABS(T1927) &gt; ABS(V1927),T1927,V1927)</f>
        <v>0.47656249999999289</v>
      </c>
      <c r="AH1928">
        <f>H1928-AG1892</f>
        <v>29.973322500000002</v>
      </c>
      <c r="AI1928">
        <f>100*(AH1928-O1928)/80</f>
        <v>-2.4446874999997092E-2</v>
      </c>
      <c r="AN1928">
        <f>IF(ABS(AK1927) &gt; ABS(AM1927),AK1927,AM1927)</f>
        <v>0.26938749999999345</v>
      </c>
    </row>
    <row r="1929" spans="1:41" x14ac:dyDescent="0.35">
      <c r="A1929" t="s">
        <v>289</v>
      </c>
      <c r="B1929" t="s">
        <v>1111</v>
      </c>
      <c r="C1929" t="s">
        <v>1653</v>
      </c>
      <c r="D1929">
        <v>50</v>
      </c>
      <c r="E1929">
        <v>50</v>
      </c>
      <c r="F1929">
        <v>0</v>
      </c>
      <c r="G1929">
        <v>-3.4600000000000001E-4</v>
      </c>
      <c r="H1929">
        <v>50.221874999999997</v>
      </c>
      <c r="J1929">
        <v>3773</v>
      </c>
      <c r="N1929" t="s">
        <v>200</v>
      </c>
      <c r="O1929">
        <f t="shared" ref="O1929:O1992" si="90">(((G1929--1)*(40))+10)</f>
        <v>49.986159999999998</v>
      </c>
      <c r="P1929">
        <f t="shared" ref="P1929:P1992" si="91">100*(H1929-O1929)/80</f>
        <v>0.29464374999999876</v>
      </c>
      <c r="Q1929">
        <f t="shared" ref="Q1929:Q1992" si="92">ABS(P1929)</f>
        <v>0.29464374999999876</v>
      </c>
      <c r="Y1929">
        <f>TREND(H1927:H1931,G1927:G1931,G1929)</f>
        <v>50.243839483495464</v>
      </c>
      <c r="Z1929">
        <f>ABS((Y1929-H1929)/80*100)</f>
        <v>2.7455604369333034E-2</v>
      </c>
      <c r="AH1929">
        <f>H1929-AG1892</f>
        <v>50.056134999999998</v>
      </c>
      <c r="AI1929">
        <f>100*(AH1929-O1929)/80</f>
        <v>8.7468749999999318E-2</v>
      </c>
    </row>
    <row r="1930" spans="1:41" x14ac:dyDescent="0.35">
      <c r="A1930" t="s">
        <v>289</v>
      </c>
      <c r="B1930" t="s">
        <v>1111</v>
      </c>
      <c r="C1930" t="s">
        <v>1689</v>
      </c>
      <c r="D1930">
        <v>50</v>
      </c>
      <c r="E1930">
        <v>50</v>
      </c>
      <c r="F1930">
        <v>0.5</v>
      </c>
      <c r="G1930">
        <v>0.50030699999999995</v>
      </c>
      <c r="H1930">
        <v>70.306250000000006</v>
      </c>
      <c r="J1930">
        <v>3797</v>
      </c>
      <c r="N1930" t="s">
        <v>200</v>
      </c>
      <c r="O1930">
        <f t="shared" si="90"/>
        <v>70.01227999999999</v>
      </c>
      <c r="P1930">
        <f t="shared" si="91"/>
        <v>0.36746250000001979</v>
      </c>
      <c r="Q1930">
        <f t="shared" si="92"/>
        <v>0.36746250000001979</v>
      </c>
      <c r="Y1930">
        <f>TREND(H1927:H1931,G1927:G1931,G1930)</f>
        <v>70.314760124837704</v>
      </c>
      <c r="Z1930">
        <f>ABS((Y1930-H1930)/80*100)</f>
        <v>1.0637656047123301E-2</v>
      </c>
      <c r="AH1930">
        <f>H1930-AG1892</f>
        <v>70.140510000000006</v>
      </c>
      <c r="AI1930">
        <f>100*(AH1930-O1930)/80</f>
        <v>0.16028750000002034</v>
      </c>
    </row>
    <row r="1931" spans="1:41" x14ac:dyDescent="0.35">
      <c r="A1931" t="s">
        <v>289</v>
      </c>
      <c r="B1931" t="s">
        <v>1111</v>
      </c>
      <c r="C1931" t="s">
        <v>1726</v>
      </c>
      <c r="D1931">
        <v>50</v>
      </c>
      <c r="E1931">
        <v>50</v>
      </c>
      <c r="F1931">
        <v>1</v>
      </c>
      <c r="G1931">
        <v>1</v>
      </c>
      <c r="H1931">
        <v>90.381249999999994</v>
      </c>
      <c r="J1931">
        <v>3821</v>
      </c>
      <c r="N1931" t="s">
        <v>200</v>
      </c>
      <c r="O1931">
        <f t="shared" si="90"/>
        <v>90</v>
      </c>
      <c r="P1931">
        <f t="shared" si="91"/>
        <v>0.47656249999999289</v>
      </c>
      <c r="Q1931">
        <f t="shared" si="92"/>
        <v>0.47656249999999289</v>
      </c>
      <c r="Y1931">
        <f>TREND(H1927:H1931,G1927:G1931,G1931)</f>
        <v>90.347194861140565</v>
      </c>
      <c r="Z1931">
        <f>ABS((Y1931-H1931)/80*100)</f>
        <v>4.2568923574286543E-2</v>
      </c>
      <c r="AH1931">
        <f>H1931-AG1892</f>
        <v>90.215509999999995</v>
      </c>
      <c r="AI1931">
        <f>100*(AH1931-O1931)/80</f>
        <v>0.26938749999999345</v>
      </c>
    </row>
    <row r="1932" spans="1:41" x14ac:dyDescent="0.35">
      <c r="A1932" t="s">
        <v>289</v>
      </c>
      <c r="B1932" t="s">
        <v>1111</v>
      </c>
      <c r="C1932" t="s">
        <v>1763</v>
      </c>
      <c r="D1932">
        <v>50</v>
      </c>
      <c r="E1932">
        <v>50</v>
      </c>
      <c r="F1932">
        <v>0</v>
      </c>
      <c r="G1932">
        <v>-5.0000000000000004E-6</v>
      </c>
      <c r="H1932">
        <v>50.217187500000001</v>
      </c>
      <c r="J1932">
        <v>3832</v>
      </c>
      <c r="N1932" t="s">
        <v>200</v>
      </c>
      <c r="O1932">
        <f t="shared" si="90"/>
        <v>49.9998</v>
      </c>
      <c r="P1932">
        <f t="shared" si="91"/>
        <v>0.27173437500000119</v>
      </c>
      <c r="Q1932">
        <f t="shared" si="92"/>
        <v>0.27173437500000119</v>
      </c>
      <c r="Y1932">
        <f>TREND(H1927:H1931,G1927:G1931,G1932)</f>
        <v>50.257509997681332</v>
      </c>
      <c r="Z1932">
        <f>ABS((Y1932-H1932)/80*100)</f>
        <v>5.04031221016632E-2</v>
      </c>
      <c r="AH1932">
        <f>H1932-AG1892</f>
        <v>50.051447500000002</v>
      </c>
      <c r="AI1932">
        <f>100*(AH1932-O1932)/80</f>
        <v>6.4559375000001751E-2</v>
      </c>
    </row>
    <row r="1933" spans="1:41" x14ac:dyDescent="0.35">
      <c r="A1933" t="s">
        <v>289</v>
      </c>
      <c r="B1933" t="s">
        <v>1111</v>
      </c>
      <c r="C1933" t="s">
        <v>1799</v>
      </c>
      <c r="D1933">
        <v>50</v>
      </c>
      <c r="E1933">
        <v>50</v>
      </c>
      <c r="F1933">
        <v>-1</v>
      </c>
      <c r="G1933">
        <v>-1.0000089999999999</v>
      </c>
      <c r="H1933">
        <v>10.2484375</v>
      </c>
      <c r="J1933">
        <v>3854</v>
      </c>
      <c r="N1933" t="s">
        <v>200</v>
      </c>
      <c r="O1933">
        <f t="shared" si="90"/>
        <v>9.999640000000003</v>
      </c>
      <c r="P1933">
        <f t="shared" si="91"/>
        <v>0.31099687499999584</v>
      </c>
      <c r="Q1933">
        <f t="shared" si="92"/>
        <v>0.31099687499999584</v>
      </c>
      <c r="Y1933">
        <f>TREND(H1927:H1931,G1927:G1931,G1933)</f>
        <v>10.167865223706528</v>
      </c>
      <c r="Z1933">
        <f>ABS((Y1933-H1933)/80*100)</f>
        <v>0.1007153453668397</v>
      </c>
      <c r="AH1933">
        <f>H1933-AG1892</f>
        <v>10.0826975</v>
      </c>
      <c r="AI1933">
        <f>100*(AH1933-O1933)/80</f>
        <v>0.1038218749999964</v>
      </c>
    </row>
    <row r="1934" spans="1:41" x14ac:dyDescent="0.35">
      <c r="A1934" t="s">
        <v>289</v>
      </c>
      <c r="B1934" t="s">
        <v>1111</v>
      </c>
      <c r="C1934" t="s">
        <v>1837</v>
      </c>
      <c r="D1934">
        <v>70</v>
      </c>
      <c r="E1934">
        <v>70</v>
      </c>
      <c r="F1934">
        <v>-1</v>
      </c>
      <c r="G1934">
        <v>-1.0000789999999999</v>
      </c>
      <c r="H1934">
        <v>9.9375</v>
      </c>
      <c r="J1934">
        <v>11943</v>
      </c>
      <c r="N1934" t="s">
        <v>200</v>
      </c>
      <c r="O1934">
        <f t="shared" si="90"/>
        <v>9.9968400000000024</v>
      </c>
      <c r="P1934">
        <f t="shared" si="91"/>
        <v>-7.4175000000002989E-2</v>
      </c>
      <c r="Q1934">
        <f t="shared" si="92"/>
        <v>7.4175000000002989E-2</v>
      </c>
      <c r="S1934">
        <v>50.0703125</v>
      </c>
      <c r="T1934">
        <v>8.6440625000001603E-2</v>
      </c>
      <c r="U1934">
        <v>90.25</v>
      </c>
      <c r="V1934">
        <v>0.31095000000000539</v>
      </c>
      <c r="W1934">
        <v>80.3125</v>
      </c>
      <c r="X1934">
        <f>(W1934-80)/80*100</f>
        <v>0.390625</v>
      </c>
      <c r="Y1934">
        <f>TREND(H1934:H1938,G1934:G1938,G1934)</f>
        <v>9.8899028476983517</v>
      </c>
      <c r="Z1934">
        <f>ABS((Y1934-H1934)/80*100)</f>
        <v>5.9496440377060367E-2</v>
      </c>
      <c r="AA1934">
        <f>MAX(Z1934:Z1938)</f>
        <v>9.7178029586038051E-2</v>
      </c>
      <c r="AB1934">
        <f>IF(ABS(MAX(P1934:P1940)) &gt; ABS(MIN(P1934:P1940)),MAX(P1934:P1940), MIN(P1934:P1940))</f>
        <v>0.32105312500000593</v>
      </c>
      <c r="AC1934">
        <f>IF(ABS(AB1935)&gt;ABS(AB1934),AB1935,AB1934)</f>
        <v>0.32105312500000593</v>
      </c>
      <c r="AH1934">
        <f>H1934-AG1892</f>
        <v>9.7717600000000004</v>
      </c>
      <c r="AI1934">
        <f>100*(AH1934-O1934)/80</f>
        <v>-0.28135000000000243</v>
      </c>
      <c r="AJ1934">
        <v>49.9045725</v>
      </c>
      <c r="AK1934">
        <v>-0.12073437499999784</v>
      </c>
      <c r="AL1934">
        <v>90.08426</v>
      </c>
      <c r="AM1934">
        <v>0.10377500000000595</v>
      </c>
      <c r="AN1934">
        <f>IF(ABS(MAX(AI1934:AI1940)) &gt; ABS(MIN(AI1934:AI1940)),MAX(AI1934:AI1940), MIN(AI1934:AI1940))</f>
        <v>-0.31970937499999907</v>
      </c>
      <c r="AO1934">
        <f>IF(ABS(AN1935)&gt;ABS(AN1934),AN1935,AN1934)</f>
        <v>-0.31970937499999907</v>
      </c>
    </row>
    <row r="1935" spans="1:41" x14ac:dyDescent="0.35">
      <c r="A1935" t="s">
        <v>289</v>
      </c>
      <c r="B1935" t="s">
        <v>1111</v>
      </c>
      <c r="C1935" t="s">
        <v>1874</v>
      </c>
      <c r="D1935">
        <v>70</v>
      </c>
      <c r="E1935">
        <v>70</v>
      </c>
      <c r="F1935">
        <v>-0.5</v>
      </c>
      <c r="G1935">
        <v>-0.500247</v>
      </c>
      <c r="H1935">
        <v>29.901562500000001</v>
      </c>
      <c r="J1935">
        <v>11969</v>
      </c>
      <c r="N1935" t="s">
        <v>200</v>
      </c>
      <c r="O1935">
        <f t="shared" si="90"/>
        <v>29.990120000000001</v>
      </c>
      <c r="P1935">
        <f t="shared" si="91"/>
        <v>-0.11069687500000036</v>
      </c>
      <c r="Q1935">
        <f t="shared" si="92"/>
        <v>0.11069687500000036</v>
      </c>
      <c r="Y1935">
        <f>TREND(H1934:H1938,G1934:G1938,G1935)</f>
        <v>29.979304923668831</v>
      </c>
      <c r="Z1935">
        <f>ABS((Y1935-H1935)/80*100)</f>
        <v>9.7178029586038051E-2</v>
      </c>
      <c r="AB1935">
        <f>IF(ABS(T1934) &gt; ABS(V1934),T1934,V1934)</f>
        <v>0.31095000000000539</v>
      </c>
      <c r="AH1935">
        <f>H1935-AG1892</f>
        <v>29.735822500000001</v>
      </c>
      <c r="AI1935">
        <f>100*(AH1935-O1935)/80</f>
        <v>-0.3178718749999998</v>
      </c>
      <c r="AN1935">
        <f>IF(ABS(AK1934) &gt; ABS(AM1934),AK1934,AM1934)</f>
        <v>-0.12073437499999784</v>
      </c>
    </row>
    <row r="1936" spans="1:41" x14ac:dyDescent="0.35">
      <c r="A1936" t="s">
        <v>289</v>
      </c>
      <c r="B1936" t="s">
        <v>1111</v>
      </c>
      <c r="C1936" t="s">
        <v>1910</v>
      </c>
      <c r="D1936">
        <v>70</v>
      </c>
      <c r="E1936">
        <v>70</v>
      </c>
      <c r="F1936">
        <v>0</v>
      </c>
      <c r="G1936">
        <v>2.9E-5</v>
      </c>
      <c r="H1936">
        <v>50.0703125</v>
      </c>
      <c r="J1936">
        <v>11993</v>
      </c>
      <c r="N1936" t="s">
        <v>200</v>
      </c>
      <c r="O1936">
        <f t="shared" si="90"/>
        <v>50.001159999999999</v>
      </c>
      <c r="P1936">
        <f t="shared" si="91"/>
        <v>8.6440625000001603E-2</v>
      </c>
      <c r="Q1936">
        <f t="shared" si="92"/>
        <v>8.6440625000001603E-2</v>
      </c>
      <c r="Y1936">
        <f>TREND(H1934:H1938,G1934:G1938,G1936)</f>
        <v>50.086552384732165</v>
      </c>
      <c r="Z1936">
        <f>ABS((Y1936-H1936)/80*100)</f>
        <v>2.0299855915206777E-2</v>
      </c>
      <c r="AH1936">
        <f>H1936-AG1892</f>
        <v>49.9045725</v>
      </c>
      <c r="AI1936">
        <f>100*(AH1936-O1936)/80</f>
        <v>-0.12073437499999784</v>
      </c>
    </row>
    <row r="1937" spans="1:41" x14ac:dyDescent="0.35">
      <c r="A1937" t="s">
        <v>289</v>
      </c>
      <c r="B1937" t="s">
        <v>1111</v>
      </c>
      <c r="C1937" t="s">
        <v>1947</v>
      </c>
      <c r="D1937">
        <v>70</v>
      </c>
      <c r="E1937">
        <v>70</v>
      </c>
      <c r="F1937">
        <v>0.5</v>
      </c>
      <c r="G1937">
        <v>0.49986799999999998</v>
      </c>
      <c r="H1937">
        <v>70.251562500000006</v>
      </c>
      <c r="J1937">
        <v>12010</v>
      </c>
      <c r="N1937" t="s">
        <v>200</v>
      </c>
      <c r="O1937">
        <f t="shared" si="90"/>
        <v>69.994720000000001</v>
      </c>
      <c r="P1937">
        <f t="shared" si="91"/>
        <v>0.32105312500000593</v>
      </c>
      <c r="Q1937">
        <f t="shared" si="92"/>
        <v>0.32105312500000593</v>
      </c>
      <c r="Y1937">
        <f>TREND(H1934:H1938,G1934:G1938,G1937)</f>
        <v>70.176235806864014</v>
      </c>
      <c r="Z1937">
        <f>ABS((Y1937-H1937)/80*100)</f>
        <v>9.4158366419989648E-2</v>
      </c>
      <c r="AH1937">
        <f>H1937-AG1892</f>
        <v>70.085822500000006</v>
      </c>
      <c r="AI1937">
        <f>100*(AH1937-O1937)/80</f>
        <v>0.11387812500000649</v>
      </c>
    </row>
    <row r="1938" spans="1:41" x14ac:dyDescent="0.35">
      <c r="A1938" t="s">
        <v>289</v>
      </c>
      <c r="B1938" t="s">
        <v>1111</v>
      </c>
      <c r="C1938" t="s">
        <v>1983</v>
      </c>
      <c r="D1938">
        <v>70</v>
      </c>
      <c r="E1938">
        <v>70</v>
      </c>
      <c r="F1938">
        <v>1</v>
      </c>
      <c r="G1938">
        <v>1.0000309999999999</v>
      </c>
      <c r="H1938">
        <v>90.25</v>
      </c>
      <c r="J1938">
        <v>12026</v>
      </c>
      <c r="N1938" t="s">
        <v>200</v>
      </c>
      <c r="O1938">
        <f t="shared" si="90"/>
        <v>90.001239999999996</v>
      </c>
      <c r="P1938">
        <f t="shared" si="91"/>
        <v>0.31095000000000539</v>
      </c>
      <c r="Q1938">
        <f t="shared" si="92"/>
        <v>0.31095000000000539</v>
      </c>
      <c r="Y1938">
        <f>TREND(H1934:H1938,G1934:G1938,G1938)</f>
        <v>90.278941537036602</v>
      </c>
      <c r="Z1938">
        <f>ABS((Y1938-H1938)/80*100)</f>
        <v>3.6176921295751896E-2</v>
      </c>
      <c r="AH1938">
        <f>H1938-AG1892</f>
        <v>90.08426</v>
      </c>
      <c r="AI1938">
        <f>100*(AH1938-O1938)/80</f>
        <v>0.10377500000000595</v>
      </c>
    </row>
    <row r="1939" spans="1:41" x14ac:dyDescent="0.35">
      <c r="A1939" t="s">
        <v>289</v>
      </c>
      <c r="B1939" t="s">
        <v>1111</v>
      </c>
      <c r="C1939" t="s">
        <v>2019</v>
      </c>
      <c r="D1939">
        <v>70</v>
      </c>
      <c r="E1939">
        <v>70</v>
      </c>
      <c r="F1939">
        <v>0</v>
      </c>
      <c r="G1939">
        <v>-8.3999999999999995E-5</v>
      </c>
      <c r="H1939">
        <v>50.0234375</v>
      </c>
      <c r="J1939">
        <v>12039</v>
      </c>
      <c r="N1939" t="s">
        <v>200</v>
      </c>
      <c r="O1939">
        <f t="shared" si="90"/>
        <v>49.996639999999999</v>
      </c>
      <c r="P1939">
        <f t="shared" si="91"/>
        <v>3.349687500000087E-2</v>
      </c>
      <c r="Q1939">
        <f t="shared" si="92"/>
        <v>3.349687500000087E-2</v>
      </c>
      <c r="Y1939">
        <f>TREND(H1934:H1938,G1934:G1938,G1939)</f>
        <v>50.082010653841415</v>
      </c>
      <c r="Z1939">
        <f>ABS((Y1939-H1939)/80*100)</f>
        <v>7.3216442301768936E-2</v>
      </c>
      <c r="AH1939">
        <f>H1939-AG1892</f>
        <v>49.8576975</v>
      </c>
      <c r="AI1939">
        <f>100*(AH1939-O1939)/80</f>
        <v>-0.17367812499999857</v>
      </c>
    </row>
    <row r="1940" spans="1:41" x14ac:dyDescent="0.35">
      <c r="A1940" t="s">
        <v>289</v>
      </c>
      <c r="B1940" t="s">
        <v>1111</v>
      </c>
      <c r="C1940" t="s">
        <v>2056</v>
      </c>
      <c r="D1940">
        <v>70</v>
      </c>
      <c r="E1940">
        <v>70</v>
      </c>
      <c r="F1940">
        <v>-1</v>
      </c>
      <c r="G1940">
        <v>-1.000054</v>
      </c>
      <c r="H1940">
        <v>9.9078125000000004</v>
      </c>
      <c r="J1940">
        <v>12054</v>
      </c>
      <c r="N1940" t="s">
        <v>200</v>
      </c>
      <c r="O1940">
        <f t="shared" si="90"/>
        <v>9.9978400000000001</v>
      </c>
      <c r="P1940">
        <f t="shared" si="91"/>
        <v>-0.11253437499999963</v>
      </c>
      <c r="Q1940">
        <f t="shared" si="92"/>
        <v>0.11253437499999963</v>
      </c>
      <c r="Y1940">
        <f>TREND(H1934:H1938,G1934:G1938,G1940)</f>
        <v>9.8909076554175428</v>
      </c>
      <c r="Z1940">
        <f>ABS((Y1940-H1940)/80*100)</f>
        <v>2.1131055728071946E-2</v>
      </c>
      <c r="AH1940">
        <f>H1940-AG1892</f>
        <v>9.7420725000000008</v>
      </c>
      <c r="AI1940">
        <f>100*(AH1940-O1940)/80</f>
        <v>-0.31970937499999907</v>
      </c>
    </row>
    <row r="1941" spans="1:41" x14ac:dyDescent="0.35">
      <c r="A1941" t="s">
        <v>289</v>
      </c>
      <c r="B1941" t="s">
        <v>1111</v>
      </c>
      <c r="C1941" t="s">
        <v>2092</v>
      </c>
      <c r="D1941">
        <v>85</v>
      </c>
      <c r="E1941">
        <v>85</v>
      </c>
      <c r="F1941">
        <v>-1</v>
      </c>
      <c r="G1941">
        <v>-1.000192</v>
      </c>
      <c r="H1941">
        <v>9.78125</v>
      </c>
      <c r="J1941">
        <v>18138</v>
      </c>
      <c r="N1941" t="s">
        <v>200</v>
      </c>
      <c r="O1941">
        <f t="shared" si="90"/>
        <v>9.9923200000000012</v>
      </c>
      <c r="P1941">
        <f t="shared" si="91"/>
        <v>-0.2638375000000015</v>
      </c>
      <c r="Q1941">
        <f t="shared" si="92"/>
        <v>0.2638375000000015</v>
      </c>
      <c r="S1941">
        <v>49.970312499999999</v>
      </c>
      <c r="T1941">
        <v>-2.8909375000001347E-2</v>
      </c>
      <c r="U1941">
        <v>90.239062500000003</v>
      </c>
      <c r="V1941">
        <v>0.29557812500000225</v>
      </c>
      <c r="W1941">
        <v>80.457809448242188</v>
      </c>
      <c r="X1941">
        <f>(W1941-80)/80*100</f>
        <v>0.57226181030273438</v>
      </c>
      <c r="Y1941">
        <f>TREND(H1941:H1945,G1941:G1945,G1941)</f>
        <v>9.7134660600722214</v>
      </c>
      <c r="Z1941">
        <f>ABS((Y1941-H1941)/80*100)</f>
        <v>8.4729924909723309E-2</v>
      </c>
      <c r="AA1941">
        <f>MAX(Z1941:Z1945)</f>
        <v>0.12667577354934512</v>
      </c>
      <c r="AB1941">
        <f>IF(ABS(MAX(P1941:P1947)) &gt; ABS(MIN(P1941:P1947)),MAX(P1941:P1947), MIN(P1941:P1947))</f>
        <v>-0.32115937499999525</v>
      </c>
      <c r="AC1941">
        <f>IF(ABS(AB1942)&gt;ABS(AB1941),AB1942,AB1941)</f>
        <v>-0.32115937499999525</v>
      </c>
      <c r="AH1941">
        <f>H1941-AG1892</f>
        <v>9.6155100000000004</v>
      </c>
      <c r="AI1941">
        <f>100*(AH1941-O1941)/80</f>
        <v>-0.47101250000000094</v>
      </c>
      <c r="AJ1941">
        <v>49.804572499999999</v>
      </c>
      <c r="AK1941">
        <v>-0.23608437500000079</v>
      </c>
      <c r="AL1941">
        <v>90.073322500000003</v>
      </c>
      <c r="AM1941">
        <v>8.8403125000002802E-2</v>
      </c>
      <c r="AN1941">
        <f>IF(ABS(MAX(AI1941:AI1947)) &gt; ABS(MIN(AI1941:AI1947)),MAX(AI1941:AI1947), MIN(AI1941:AI1947))</f>
        <v>-0.52833437499999469</v>
      </c>
      <c r="AO1941">
        <f>IF(ABS(AN1942)&gt;ABS(AN1941),AN1942,AN1941)</f>
        <v>-0.52833437499999469</v>
      </c>
    </row>
    <row r="1942" spans="1:41" x14ac:dyDescent="0.35">
      <c r="A1942" t="s">
        <v>289</v>
      </c>
      <c r="B1942" t="s">
        <v>1111</v>
      </c>
      <c r="C1942" t="s">
        <v>2128</v>
      </c>
      <c r="D1942">
        <v>85</v>
      </c>
      <c r="E1942">
        <v>85</v>
      </c>
      <c r="F1942">
        <v>-0.5</v>
      </c>
      <c r="G1942">
        <v>-0.50029299999999999</v>
      </c>
      <c r="H1942">
        <v>29.737500000000001</v>
      </c>
      <c r="J1942">
        <v>18156</v>
      </c>
      <c r="N1942" t="s">
        <v>200</v>
      </c>
      <c r="O1942">
        <f t="shared" si="90"/>
        <v>29.98828</v>
      </c>
      <c r="P1942">
        <f t="shared" si="91"/>
        <v>-0.31347499999999862</v>
      </c>
      <c r="Q1942">
        <f t="shared" si="92"/>
        <v>0.31347499999999862</v>
      </c>
      <c r="Y1942">
        <f>TREND(H1941:H1945,G1941:G1945,G1942)</f>
        <v>29.838840618839477</v>
      </c>
      <c r="Z1942">
        <f>ABS((Y1942-H1942)/80*100)</f>
        <v>0.12667577354934512</v>
      </c>
      <c r="AB1942">
        <f>IF(ABS(T1941) &gt; ABS(V1941),T1941,V1941)</f>
        <v>0.29557812500000225</v>
      </c>
      <c r="AH1942">
        <f>H1942-AG1892</f>
        <v>29.571760000000001</v>
      </c>
      <c r="AI1942">
        <f>100*(AH1942-O1942)/80</f>
        <v>-0.52064999999999806</v>
      </c>
      <c r="AN1942">
        <f>IF(ABS(AK1941) &gt; ABS(AM1941),AK1941,AM1941)</f>
        <v>-0.23608437500000079</v>
      </c>
    </row>
    <row r="1943" spans="1:41" x14ac:dyDescent="0.35">
      <c r="A1943" t="s">
        <v>289</v>
      </c>
      <c r="B1943" t="s">
        <v>1111</v>
      </c>
      <c r="C1943" t="s">
        <v>2164</v>
      </c>
      <c r="D1943">
        <v>85</v>
      </c>
      <c r="E1943">
        <v>85</v>
      </c>
      <c r="F1943">
        <v>0</v>
      </c>
      <c r="G1943">
        <v>-1.64E-4</v>
      </c>
      <c r="H1943">
        <v>49.970312499999999</v>
      </c>
      <c r="J1943">
        <v>18177</v>
      </c>
      <c r="N1943" t="s">
        <v>200</v>
      </c>
      <c r="O1943">
        <f t="shared" si="90"/>
        <v>49.99344</v>
      </c>
      <c r="P1943">
        <f t="shared" si="91"/>
        <v>-2.8909375000001347E-2</v>
      </c>
      <c r="Q1943">
        <f t="shared" si="92"/>
        <v>2.8909375000001347E-2</v>
      </c>
      <c r="Y1943">
        <f>TREND(H1941:H1945,G1941:G1945,G1943)</f>
        <v>49.973474720331396</v>
      </c>
      <c r="Z1943">
        <f>ABS((Y1943-H1943)/80*100)</f>
        <v>3.9527754142465454E-3</v>
      </c>
      <c r="AH1943">
        <f>H1943-AG1892</f>
        <v>49.804572499999999</v>
      </c>
      <c r="AI1943">
        <f>100*(AH1943-O1943)/80</f>
        <v>-0.23608437500000079</v>
      </c>
    </row>
    <row r="1944" spans="1:41" x14ac:dyDescent="0.35">
      <c r="A1944" t="s">
        <v>289</v>
      </c>
      <c r="B1944" t="s">
        <v>1111</v>
      </c>
      <c r="C1944" t="s">
        <v>2202</v>
      </c>
      <c r="D1944">
        <v>85</v>
      </c>
      <c r="E1944">
        <v>85</v>
      </c>
      <c r="F1944">
        <v>0.5</v>
      </c>
      <c r="G1944">
        <v>0.49983699999999998</v>
      </c>
      <c r="H1944">
        <v>70.142187500000006</v>
      </c>
      <c r="J1944">
        <v>18197</v>
      </c>
      <c r="N1944" t="s">
        <v>200</v>
      </c>
      <c r="O1944">
        <f t="shared" si="90"/>
        <v>69.993479999999991</v>
      </c>
      <c r="P1944">
        <f t="shared" si="91"/>
        <v>0.18588437500001831</v>
      </c>
      <c r="Q1944">
        <f t="shared" si="92"/>
        <v>0.18588437500001831</v>
      </c>
      <c r="Y1944">
        <f>TREND(H1941:H1945,G1941:G1945,G1944)</f>
        <v>70.102955685002627</v>
      </c>
      <c r="Z1944">
        <f>ABS((Y1944-H1944)/80*100)</f>
        <v>4.903976874672366E-2</v>
      </c>
      <c r="AH1944">
        <f>H1944-AG1892</f>
        <v>69.976447500000006</v>
      </c>
      <c r="AI1944">
        <f>100*(AH1944-O1944)/80</f>
        <v>-2.1290624999981134E-2</v>
      </c>
    </row>
    <row r="1945" spans="1:41" x14ac:dyDescent="0.35">
      <c r="A1945" t="s">
        <v>289</v>
      </c>
      <c r="B1945" t="s">
        <v>1111</v>
      </c>
      <c r="C1945" t="s">
        <v>2238</v>
      </c>
      <c r="D1945">
        <v>85</v>
      </c>
      <c r="E1945">
        <v>85</v>
      </c>
      <c r="F1945">
        <v>1</v>
      </c>
      <c r="G1945">
        <v>1.000065</v>
      </c>
      <c r="H1945">
        <v>90.239062500000003</v>
      </c>
      <c r="J1945">
        <v>18208</v>
      </c>
      <c r="N1945" t="s">
        <v>200</v>
      </c>
      <c r="O1945">
        <f t="shared" si="90"/>
        <v>90.002600000000001</v>
      </c>
      <c r="P1945">
        <f t="shared" si="91"/>
        <v>0.29557812500000225</v>
      </c>
      <c r="Q1945">
        <f t="shared" si="92"/>
        <v>0.29557812500000225</v>
      </c>
      <c r="Y1945">
        <f>TREND(H1941:H1945,G1941:G1945,G1945)</f>
        <v>90.241575415754298</v>
      </c>
      <c r="Z1945">
        <f>ABS((Y1945-H1945)/80*100)</f>
        <v>3.1411446928686364E-3</v>
      </c>
      <c r="AH1945">
        <f>H1945-AG1892</f>
        <v>90.073322500000003</v>
      </c>
      <c r="AI1945">
        <f>100*(AH1945-O1945)/80</f>
        <v>8.8403125000002802E-2</v>
      </c>
    </row>
    <row r="1946" spans="1:41" x14ac:dyDescent="0.35">
      <c r="A1946" t="s">
        <v>289</v>
      </c>
      <c r="B1946" t="s">
        <v>1111</v>
      </c>
      <c r="C1946" t="s">
        <v>2274</v>
      </c>
      <c r="D1946">
        <v>85</v>
      </c>
      <c r="E1946">
        <v>85</v>
      </c>
      <c r="F1946">
        <v>0</v>
      </c>
      <c r="G1946">
        <v>-1.5999999999999999E-5</v>
      </c>
      <c r="H1946">
        <v>49.9296875</v>
      </c>
      <c r="J1946">
        <v>18223</v>
      </c>
      <c r="N1946" t="s">
        <v>200</v>
      </c>
      <c r="O1946">
        <f t="shared" si="90"/>
        <v>49.999359999999996</v>
      </c>
      <c r="P1946">
        <f t="shared" si="91"/>
        <v>-8.7090624999994759E-2</v>
      </c>
      <c r="Q1946">
        <f t="shared" si="92"/>
        <v>8.7090624999994759E-2</v>
      </c>
      <c r="Y1946">
        <f>TREND(H1941:H1945,G1941:G1945,G1946)</f>
        <v>49.979433034780307</v>
      </c>
      <c r="Z1946">
        <f>ABS((Y1946-H1946)/80*100)</f>
        <v>6.2181918475383575E-2</v>
      </c>
      <c r="AH1946">
        <f>H1946-AG1892</f>
        <v>49.7639475</v>
      </c>
      <c r="AI1946">
        <f>100*(AH1946-O1946)/80</f>
        <v>-0.2942656249999942</v>
      </c>
    </row>
    <row r="1947" spans="1:41" x14ac:dyDescent="0.35">
      <c r="A1947" t="s">
        <v>289</v>
      </c>
      <c r="B1947" t="s">
        <v>1111</v>
      </c>
      <c r="C1947" t="s">
        <v>2311</v>
      </c>
      <c r="D1947">
        <v>85</v>
      </c>
      <c r="E1947">
        <v>85</v>
      </c>
      <c r="F1947">
        <v>-1</v>
      </c>
      <c r="G1947">
        <v>-0.99994400000000006</v>
      </c>
      <c r="H1947">
        <v>9.7453125000000007</v>
      </c>
      <c r="J1947">
        <v>18236</v>
      </c>
      <c r="N1947" t="s">
        <v>200</v>
      </c>
      <c r="O1947">
        <f t="shared" si="90"/>
        <v>10.002239999999997</v>
      </c>
      <c r="P1947">
        <f t="shared" si="91"/>
        <v>-0.32115937499999525</v>
      </c>
      <c r="Q1947">
        <f t="shared" si="92"/>
        <v>0.32115937499999525</v>
      </c>
      <c r="Y1947">
        <f>TREND(H1941:H1945,G1941:G1945,G1947)</f>
        <v>9.7234502626622898</v>
      </c>
      <c r="Z1947">
        <f>ABS((Y1947-H1947)/80*100)</f>
        <v>2.7327796672138582E-2</v>
      </c>
      <c r="AH1947">
        <f>H1947-AG1892</f>
        <v>9.5795725000000012</v>
      </c>
      <c r="AI1947">
        <f>100*(AH1947-O1947)/80</f>
        <v>-0.52833437499999469</v>
      </c>
    </row>
    <row r="1948" spans="1:41" x14ac:dyDescent="0.35">
      <c r="A1948" t="s">
        <v>289</v>
      </c>
      <c r="B1948" t="s">
        <v>1111</v>
      </c>
      <c r="C1948" t="s">
        <v>2349</v>
      </c>
      <c r="D1948">
        <v>25</v>
      </c>
      <c r="E1948">
        <v>25</v>
      </c>
      <c r="F1948">
        <v>-1</v>
      </c>
      <c r="G1948">
        <v>-1.0000960000000001</v>
      </c>
      <c r="H1948">
        <v>10.234375</v>
      </c>
      <c r="J1948">
        <v>-5771</v>
      </c>
      <c r="N1948" t="s">
        <v>200</v>
      </c>
      <c r="O1948">
        <f t="shared" si="90"/>
        <v>9.9961599999999962</v>
      </c>
      <c r="P1948">
        <f t="shared" si="91"/>
        <v>0.2977687500000048</v>
      </c>
      <c r="Q1948">
        <f t="shared" si="92"/>
        <v>0.2977687500000048</v>
      </c>
      <c r="S1948">
        <v>50.185937500000001</v>
      </c>
      <c r="T1948">
        <v>0.22677187500000251</v>
      </c>
      <c r="U1948">
        <v>90.379687500000003</v>
      </c>
      <c r="V1948">
        <v>0.48205937500000573</v>
      </c>
      <c r="W1948">
        <v>80.145309448242188</v>
      </c>
      <c r="X1948">
        <f>(W1948-80)/80*100</f>
        <v>0.18163681030273438</v>
      </c>
      <c r="Y1948">
        <f>TREND(H1948:H1952,G1948:G1952,G1948)</f>
        <v>10.215890116293671</v>
      </c>
      <c r="Z1948">
        <f>ABS((Y1948-H1948)/80*100)</f>
        <v>2.3106104632910629E-2</v>
      </c>
      <c r="AA1948">
        <f>MAX(Z1948:Z1952)</f>
        <v>0.1496431430973022</v>
      </c>
      <c r="AB1948">
        <f>IF(ABS(MAX(P1948:P1954)) &gt; ABS(MIN(P1948:P1954)),MAX(P1948:P1954), MIN(P1948:P1954))</f>
        <v>0.50775312499999004</v>
      </c>
      <c r="AC1948">
        <f>IF(ABS(AB1949)&gt;ABS(AB1948),AB1949,AB1948)</f>
        <v>0.50775312499999004</v>
      </c>
      <c r="AH1948">
        <f>H1948-AG1892</f>
        <v>10.068635</v>
      </c>
      <c r="AI1948">
        <f>100*(AH1948-O1948)/80</f>
        <v>9.0593750000005357E-2</v>
      </c>
      <c r="AJ1948">
        <v>50.020197500000002</v>
      </c>
      <c r="AK1948">
        <v>1.9596875000003067E-2</v>
      </c>
      <c r="AL1948">
        <v>90.213947500000003</v>
      </c>
      <c r="AM1948">
        <v>0.27488437500000629</v>
      </c>
      <c r="AN1948">
        <f>IF(ABS(MAX(AI1948:AI1954)) &gt; ABS(MIN(AI1948:AI1954)),MAX(AI1948:AI1954), MIN(AI1948:AI1954))</f>
        <v>0.30057812499999059</v>
      </c>
      <c r="AO1948">
        <f>IF(ABS(AN1949)&gt;ABS(AN1948),AN1949,AN1948)</f>
        <v>0.30057812499999059</v>
      </c>
    </row>
    <row r="1949" spans="1:41" x14ac:dyDescent="0.35">
      <c r="A1949" t="s">
        <v>289</v>
      </c>
      <c r="B1949" t="s">
        <v>1111</v>
      </c>
      <c r="C1949" t="s">
        <v>2385</v>
      </c>
      <c r="D1949">
        <v>25</v>
      </c>
      <c r="E1949">
        <v>25</v>
      </c>
      <c r="F1949">
        <v>-0.5</v>
      </c>
      <c r="G1949">
        <v>-0.50004800000000005</v>
      </c>
      <c r="H1949">
        <v>30.292187500000001</v>
      </c>
      <c r="J1949">
        <v>-5795</v>
      </c>
      <c r="N1949" t="s">
        <v>200</v>
      </c>
      <c r="O1949">
        <f t="shared" si="90"/>
        <v>29.998079999999998</v>
      </c>
      <c r="P1949">
        <f t="shared" si="91"/>
        <v>0.36763437500000329</v>
      </c>
      <c r="Q1949">
        <f t="shared" si="92"/>
        <v>0.36763437500000329</v>
      </c>
      <c r="Y1949">
        <f>TREND(H1948:H1952,G1948:G1952,G1949)</f>
        <v>30.258506467139544</v>
      </c>
      <c r="Z1949">
        <f>ABS((Y1949-H1949)/80*100)</f>
        <v>4.2101291075571368E-2</v>
      </c>
      <c r="AB1949">
        <f>IF(ABS(T1948) &gt; ABS(V1948),T1948,V1948)</f>
        <v>0.48205937500000573</v>
      </c>
      <c r="AH1949">
        <f>H1949-AG1892</f>
        <v>30.126447500000001</v>
      </c>
      <c r="AI1949">
        <f>100*(AH1949-O1949)/80</f>
        <v>0.16045937500000385</v>
      </c>
      <c r="AN1949">
        <f>IF(ABS(AK1948) &gt; ABS(AM1948),AK1948,AM1948)</f>
        <v>0.27488437500000629</v>
      </c>
    </row>
    <row r="1950" spans="1:41" x14ac:dyDescent="0.35">
      <c r="A1950" t="s">
        <v>289</v>
      </c>
      <c r="B1950" t="s">
        <v>1111</v>
      </c>
      <c r="C1950" t="s">
        <v>2422</v>
      </c>
      <c r="D1950">
        <v>25</v>
      </c>
      <c r="E1950">
        <v>25</v>
      </c>
      <c r="F1950">
        <v>0</v>
      </c>
      <c r="G1950">
        <v>1.13E-4</v>
      </c>
      <c r="H1950">
        <v>50.185937500000001</v>
      </c>
      <c r="J1950">
        <v>-5826</v>
      </c>
      <c r="N1950" t="s">
        <v>200</v>
      </c>
      <c r="O1950">
        <f t="shared" si="90"/>
        <v>50.004519999999999</v>
      </c>
      <c r="P1950">
        <f t="shared" si="91"/>
        <v>0.22677187500000251</v>
      </c>
      <c r="Q1950">
        <f t="shared" si="92"/>
        <v>0.22677187500000251</v>
      </c>
      <c r="Y1950">
        <f>TREND(H1948:H1952,G1948:G1952,G1950)</f>
        <v>50.305652014477843</v>
      </c>
      <c r="Z1950">
        <f>ABS((Y1950-H1950)/80*100)</f>
        <v>0.1496431430973022</v>
      </c>
      <c r="AH1950">
        <f>H1950-AG1892</f>
        <v>50.020197500000002</v>
      </c>
      <c r="AI1950">
        <f>100*(AH1950-O1950)/80</f>
        <v>1.9596875000003067E-2</v>
      </c>
    </row>
    <row r="1951" spans="1:41" x14ac:dyDescent="0.35">
      <c r="A1951" t="s">
        <v>289</v>
      </c>
      <c r="B1951" t="s">
        <v>1111</v>
      </c>
      <c r="C1951" t="s">
        <v>2458</v>
      </c>
      <c r="D1951">
        <v>25</v>
      </c>
      <c r="E1951">
        <v>25</v>
      </c>
      <c r="F1951">
        <v>0.5</v>
      </c>
      <c r="G1951">
        <v>0.499884</v>
      </c>
      <c r="H1951">
        <v>70.401562499999997</v>
      </c>
      <c r="J1951">
        <v>-5845</v>
      </c>
      <c r="N1951" t="s">
        <v>200</v>
      </c>
      <c r="O1951">
        <f t="shared" si="90"/>
        <v>69.995360000000005</v>
      </c>
      <c r="P1951">
        <f t="shared" si="91"/>
        <v>0.50775312499999004</v>
      </c>
      <c r="Q1951">
        <f t="shared" si="92"/>
        <v>0.50775312499999004</v>
      </c>
      <c r="Y1951">
        <f>TREND(H1948:H1952,G1948:G1952,G1951)</f>
        <v>70.337165821709533</v>
      </c>
      <c r="Z1951">
        <f>ABS((Y1951-H1951)/80*100)</f>
        <v>8.0495847863080172E-2</v>
      </c>
      <c r="AH1951">
        <f>H1951-AG1892</f>
        <v>70.235822499999998</v>
      </c>
      <c r="AI1951">
        <f>100*(AH1951-O1951)/80</f>
        <v>0.30057812499999059</v>
      </c>
    </row>
    <row r="1952" spans="1:41" x14ac:dyDescent="0.35">
      <c r="A1952" t="s">
        <v>289</v>
      </c>
      <c r="B1952" t="s">
        <v>1111</v>
      </c>
      <c r="C1952" t="s">
        <v>2495</v>
      </c>
      <c r="D1952">
        <v>25</v>
      </c>
      <c r="E1952">
        <v>25</v>
      </c>
      <c r="F1952">
        <v>1</v>
      </c>
      <c r="G1952">
        <v>0.99985100000000005</v>
      </c>
      <c r="H1952">
        <v>90.379687500000003</v>
      </c>
      <c r="J1952">
        <v>-5874</v>
      </c>
      <c r="N1952" t="s">
        <v>200</v>
      </c>
      <c r="O1952">
        <f t="shared" si="90"/>
        <v>89.994039999999998</v>
      </c>
      <c r="P1952">
        <f t="shared" si="91"/>
        <v>0.48205937500000573</v>
      </c>
      <c r="Q1952">
        <f t="shared" si="92"/>
        <v>0.48205937500000573</v>
      </c>
      <c r="Y1952">
        <f>TREND(H1948:H1952,G1948:G1952,G1952)</f>
        <v>90.376535580379425</v>
      </c>
      <c r="Z1952">
        <f>ABS((Y1952-H1952)/80*100)</f>
        <v>3.939899525722268E-3</v>
      </c>
      <c r="AH1952">
        <f>H1952-AG1892</f>
        <v>90.213947500000003</v>
      </c>
      <c r="AI1952">
        <f>100*(AH1952-O1952)/80</f>
        <v>0.27488437500000629</v>
      </c>
    </row>
    <row r="1953" spans="1:41" x14ac:dyDescent="0.35">
      <c r="A1953" t="s">
        <v>289</v>
      </c>
      <c r="B1953" t="s">
        <v>1111</v>
      </c>
      <c r="C1953" t="s">
        <v>2532</v>
      </c>
      <c r="D1953">
        <v>25</v>
      </c>
      <c r="E1953">
        <v>25</v>
      </c>
      <c r="F1953">
        <v>0</v>
      </c>
      <c r="G1953">
        <v>-7.8999999999999996E-5</v>
      </c>
      <c r="H1953">
        <v>50.225000000000001</v>
      </c>
      <c r="J1953">
        <v>-5902</v>
      </c>
      <c r="N1953" t="s">
        <v>200</v>
      </c>
      <c r="O1953">
        <f t="shared" si="90"/>
        <v>49.996839999999999</v>
      </c>
      <c r="P1953">
        <f t="shared" si="91"/>
        <v>0.28520000000000323</v>
      </c>
      <c r="Q1953">
        <f t="shared" si="92"/>
        <v>0.28520000000000323</v>
      </c>
      <c r="Y1953">
        <f>TREND(H1948:H1952,G1948:G1952,G1953)</f>
        <v>50.297956388579202</v>
      </c>
      <c r="Z1953">
        <f>ABS((Y1953-H1953)/80*100)</f>
        <v>9.1195485724000491E-2</v>
      </c>
      <c r="AH1953">
        <f>H1953-AG1892</f>
        <v>50.059260000000002</v>
      </c>
      <c r="AI1953">
        <f>100*(AH1953-O1953)/80</f>
        <v>7.8025000000003786E-2</v>
      </c>
    </row>
    <row r="1954" spans="1:41" x14ac:dyDescent="0.35">
      <c r="A1954" t="s">
        <v>289</v>
      </c>
      <c r="B1954" t="s">
        <v>1111</v>
      </c>
      <c r="C1954" t="s">
        <v>2567</v>
      </c>
      <c r="D1954">
        <v>25</v>
      </c>
      <c r="E1954">
        <v>25</v>
      </c>
      <c r="F1954">
        <v>-1</v>
      </c>
      <c r="G1954">
        <v>-1.000067</v>
      </c>
      <c r="H1954">
        <v>10.2828125</v>
      </c>
      <c r="J1954">
        <v>-5924</v>
      </c>
      <c r="N1954" t="s">
        <v>200</v>
      </c>
      <c r="O1954">
        <f t="shared" si="90"/>
        <v>9.9973199999999984</v>
      </c>
      <c r="P1954">
        <f t="shared" si="91"/>
        <v>0.35686562500000241</v>
      </c>
      <c r="Q1954">
        <f t="shared" si="92"/>
        <v>0.35686562500000241</v>
      </c>
      <c r="Y1954">
        <f>TREND(H1948:H1952,G1948:G1952,G1954)</f>
        <v>10.21705247645545</v>
      </c>
      <c r="Z1954">
        <f>ABS((Y1954-H1954)/80*100)</f>
        <v>8.2200029430687938E-2</v>
      </c>
      <c r="AH1954">
        <f>H1954-AG1892</f>
        <v>10.117072500000001</v>
      </c>
      <c r="AI1954">
        <f>100*(AH1954-O1954)/80</f>
        <v>0.14969062500000296</v>
      </c>
    </row>
    <row r="1955" spans="1:41" x14ac:dyDescent="0.35">
      <c r="A1955" t="s">
        <v>291</v>
      </c>
      <c r="B1955" t="s">
        <v>231</v>
      </c>
      <c r="C1955" t="s">
        <v>292</v>
      </c>
      <c r="D1955">
        <v>25</v>
      </c>
      <c r="E1955">
        <v>25</v>
      </c>
      <c r="F1955">
        <v>-1</v>
      </c>
      <c r="G1955">
        <v>-1.000006</v>
      </c>
      <c r="H1955">
        <v>10.275</v>
      </c>
      <c r="J1955">
        <v>-6166</v>
      </c>
      <c r="N1955" t="s">
        <v>201</v>
      </c>
      <c r="O1955">
        <f t="shared" si="90"/>
        <v>9.999760000000002</v>
      </c>
      <c r="P1955">
        <f t="shared" si="91"/>
        <v>0.34404999999999797</v>
      </c>
      <c r="Q1955">
        <f t="shared" si="92"/>
        <v>0.34404999999999797</v>
      </c>
      <c r="S1955">
        <v>50.265625</v>
      </c>
      <c r="T1955">
        <v>0.33503124999999301</v>
      </c>
      <c r="U1955">
        <v>90.2890625</v>
      </c>
      <c r="V1955">
        <v>0.37062812500000319</v>
      </c>
      <c r="W1955">
        <v>80.014062499999994</v>
      </c>
      <c r="X1955">
        <f>(W1955-80)/80*100</f>
        <v>1.7578124999992895E-2</v>
      </c>
      <c r="Y1955">
        <f>TREND(H1955:H1959,G1955:G1959,G1955)</f>
        <v>10.240443921198057</v>
      </c>
      <c r="Z1955">
        <f>ABS((Y1955-H1955)/80*100)</f>
        <v>4.3195098502428753E-2</v>
      </c>
      <c r="AA1955">
        <f>MAX(Z1955:Z1959)</f>
        <v>0.14209380017334183</v>
      </c>
      <c r="AB1955">
        <f>IF(ABS(MAX(P1955:P1961)) &gt; ABS(MIN(P1955:P1961)),MAX(P1955:P1961), MIN(P1955:P1961))</f>
        <v>0.54675937499998994</v>
      </c>
      <c r="AC1955">
        <f>IF(ABS(AB1956)&gt;ABS(AB1955),AB1956,AB1955)</f>
        <v>0.54675937499998994</v>
      </c>
      <c r="AD1955">
        <f>MAX(AD1956:AD1957)</f>
        <v>6.290624999999217E-2</v>
      </c>
      <c r="AE1955">
        <f>MAX(AE1956:AE1976)</f>
        <v>0.44387500000000024</v>
      </c>
      <c r="AF1955">
        <f>MAX(AD1955,AA1955)</f>
        <v>0.14209380017334183</v>
      </c>
      <c r="AG1955">
        <f>H1957-O1957</f>
        <v>0.26802499999999441</v>
      </c>
      <c r="AH1955">
        <f>H1955-AG1955</f>
        <v>10.006975000000006</v>
      </c>
      <c r="AI1955">
        <f>100*(AH1955-O1955)/80</f>
        <v>9.0187500000049603E-3</v>
      </c>
      <c r="AJ1955">
        <v>49.997600000000006</v>
      </c>
      <c r="AK1955">
        <v>0</v>
      </c>
      <c r="AL1955">
        <v>90.021037500000006</v>
      </c>
      <c r="AM1955">
        <v>3.5596875000010186E-2</v>
      </c>
      <c r="AN1955">
        <f>IF(ABS(MAX(AI1955:AI1961)) &gt; ABS(MIN(AI1955:AI1961)),MAX(AI1955:AI1961), MIN(AI1955:AI1961))</f>
        <v>0.21172812499999694</v>
      </c>
      <c r="AO1955">
        <f>IF(ABS(AN1956)&gt;ABS(AN1955),AN1956,AN1955)</f>
        <v>0.21172812499999694</v>
      </c>
    </row>
    <row r="1956" spans="1:41" x14ac:dyDescent="0.35">
      <c r="A1956" t="s">
        <v>291</v>
      </c>
      <c r="B1956" t="s">
        <v>231</v>
      </c>
      <c r="C1956" t="s">
        <v>336</v>
      </c>
      <c r="D1956">
        <v>25</v>
      </c>
      <c r="E1956">
        <v>25</v>
      </c>
      <c r="F1956">
        <v>-0.5</v>
      </c>
      <c r="G1956">
        <v>-0.50003799999999998</v>
      </c>
      <c r="H1956">
        <v>30.201562500000001</v>
      </c>
      <c r="J1956">
        <v>-6172</v>
      </c>
      <c r="N1956" t="s">
        <v>201</v>
      </c>
      <c r="O1956">
        <f t="shared" si="90"/>
        <v>29.998480000000001</v>
      </c>
      <c r="P1956">
        <f t="shared" si="91"/>
        <v>0.2538531250000009</v>
      </c>
      <c r="Q1956">
        <f t="shared" si="92"/>
        <v>0.2538531250000009</v>
      </c>
      <c r="Y1956">
        <f>TREND(H1955:H1959,G1955:G1959,G1956)</f>
        <v>30.266848447054546</v>
      </c>
      <c r="Z1956">
        <f>ABS((Y1956-H1956)/80*100)</f>
        <v>8.1607433818180475E-2</v>
      </c>
      <c r="AB1956">
        <f>IF(ABS(T1955) &gt; ABS(V1955),T1955,V1955)</f>
        <v>0.37062812500000319</v>
      </c>
      <c r="AD1956">
        <f>ABS(P1957-P1960)</f>
        <v>6.290624999999217E-2</v>
      </c>
      <c r="AE1956">
        <f>ABS(P1983-P1955)</f>
        <v>0.22539374999999806</v>
      </c>
      <c r="AH1956">
        <f>H1956-AG1955</f>
        <v>29.933537500000007</v>
      </c>
      <c r="AI1956">
        <f>100*(AH1956-O1956)/80</f>
        <v>-8.1178124999992107E-2</v>
      </c>
      <c r="AN1956">
        <f>IF(ABS(AK1955) &gt; ABS(AM1955),AK1955,AM1955)</f>
        <v>3.5596875000010186E-2</v>
      </c>
    </row>
    <row r="1957" spans="1:41" x14ac:dyDescent="0.35">
      <c r="A1957" t="s">
        <v>291</v>
      </c>
      <c r="B1957" t="s">
        <v>231</v>
      </c>
      <c r="C1957" t="s">
        <v>372</v>
      </c>
      <c r="D1957">
        <v>25</v>
      </c>
      <c r="E1957">
        <v>25</v>
      </c>
      <c r="F1957">
        <v>0</v>
      </c>
      <c r="G1957">
        <v>-6.0000000000000002E-5</v>
      </c>
      <c r="H1957">
        <v>50.265625</v>
      </c>
      <c r="J1957">
        <v>-6166</v>
      </c>
      <c r="N1957" t="s">
        <v>201</v>
      </c>
      <c r="O1957">
        <f t="shared" si="90"/>
        <v>49.997600000000006</v>
      </c>
      <c r="P1957">
        <f t="shared" si="91"/>
        <v>0.33503124999999301</v>
      </c>
      <c r="Q1957">
        <f t="shared" si="92"/>
        <v>0.33503124999999301</v>
      </c>
      <c r="Y1957">
        <f>TREND(H1955:H1959,G1955:G1959,G1957)</f>
        <v>50.293653526636994</v>
      </c>
      <c r="Z1957">
        <f>ABS((Y1957-H1957)/80*100)</f>
        <v>3.5035658296243E-2</v>
      </c>
      <c r="AD1957">
        <f>ABS(P1955-P1961)</f>
        <v>3.7609375000002832E-2</v>
      </c>
      <c r="AE1957">
        <f>ABS(P1984-P1956)</f>
        <v>0.2229343749999968</v>
      </c>
      <c r="AH1957">
        <f>H1957-AG1955</f>
        <v>49.997600000000006</v>
      </c>
      <c r="AI1957">
        <f>100*(AH1957-O1957)/80</f>
        <v>0</v>
      </c>
    </row>
    <row r="1958" spans="1:41" x14ac:dyDescent="0.35">
      <c r="A1958" t="s">
        <v>291</v>
      </c>
      <c r="B1958" t="s">
        <v>231</v>
      </c>
      <c r="C1958" t="s">
        <v>409</v>
      </c>
      <c r="D1958">
        <v>25</v>
      </c>
      <c r="E1958">
        <v>25</v>
      </c>
      <c r="F1958">
        <v>0.5</v>
      </c>
      <c r="G1958">
        <v>0.499807</v>
      </c>
      <c r="H1958">
        <v>70.4296875</v>
      </c>
      <c r="J1958">
        <v>-6172</v>
      </c>
      <c r="N1958" t="s">
        <v>201</v>
      </c>
      <c r="O1958">
        <f t="shared" si="90"/>
        <v>69.992280000000008</v>
      </c>
      <c r="P1958">
        <f t="shared" si="91"/>
        <v>0.54675937499998994</v>
      </c>
      <c r="Q1958">
        <f t="shared" si="92"/>
        <v>0.54675937499998994</v>
      </c>
      <c r="Y1958">
        <f>TREND(H1955:H1959,G1955:G1959,G1958)</f>
        <v>70.316012459861327</v>
      </c>
      <c r="Z1958">
        <f>ABS((Y1958-H1958)/80*100)</f>
        <v>0.14209380017334183</v>
      </c>
      <c r="AE1958">
        <f>ABS(P1985-P1957)</f>
        <v>0.10006249999999994</v>
      </c>
      <c r="AH1958">
        <f>H1958-AG1955</f>
        <v>70.161662500000006</v>
      </c>
      <c r="AI1958">
        <f>100*(AH1958-O1958)/80</f>
        <v>0.21172812499999694</v>
      </c>
    </row>
    <row r="1959" spans="1:41" x14ac:dyDescent="0.35">
      <c r="A1959" t="s">
        <v>291</v>
      </c>
      <c r="B1959" t="s">
        <v>231</v>
      </c>
      <c r="C1959" t="s">
        <v>446</v>
      </c>
      <c r="D1959">
        <v>25</v>
      </c>
      <c r="E1959">
        <v>25</v>
      </c>
      <c r="F1959">
        <v>1</v>
      </c>
      <c r="G1959">
        <v>0.99981399999999998</v>
      </c>
      <c r="H1959">
        <v>90.2890625</v>
      </c>
      <c r="J1959">
        <v>-6159</v>
      </c>
      <c r="N1959" t="s">
        <v>201</v>
      </c>
      <c r="O1959">
        <f t="shared" si="90"/>
        <v>89.992559999999997</v>
      </c>
      <c r="P1959">
        <f t="shared" si="91"/>
        <v>0.37062812500000319</v>
      </c>
      <c r="Q1959">
        <f t="shared" si="92"/>
        <v>0.37062812500000319</v>
      </c>
      <c r="Y1959">
        <f>TREND(H1955:H1959,G1955:G1959,G1959)</f>
        <v>90.343979145249051</v>
      </c>
      <c r="Z1959">
        <f>ABS((Y1959-H1959)/80*100)</f>
        <v>6.8645806561313805E-2</v>
      </c>
      <c r="AE1959">
        <f>ABS(P1986-P1958)</f>
        <v>2.0968749999816794E-3</v>
      </c>
      <c r="AH1959">
        <f>H1959-AG1955</f>
        <v>90.021037500000006</v>
      </c>
      <c r="AI1959">
        <f>100*(AH1959-O1959)/80</f>
        <v>3.5596875000010186E-2</v>
      </c>
    </row>
    <row r="1960" spans="1:41" x14ac:dyDescent="0.35">
      <c r="A1960" t="s">
        <v>291</v>
      </c>
      <c r="B1960" t="s">
        <v>231</v>
      </c>
      <c r="C1960" t="s">
        <v>483</v>
      </c>
      <c r="D1960">
        <v>25</v>
      </c>
      <c r="E1960">
        <v>25</v>
      </c>
      <c r="F1960">
        <v>0</v>
      </c>
      <c r="G1960">
        <v>-1.2999999999999999E-4</v>
      </c>
      <c r="H1960">
        <v>50.212499999999999</v>
      </c>
      <c r="J1960">
        <v>-6159</v>
      </c>
      <c r="N1960" t="s">
        <v>201</v>
      </c>
      <c r="O1960">
        <f t="shared" si="90"/>
        <v>49.994799999999998</v>
      </c>
      <c r="P1960">
        <f t="shared" si="91"/>
        <v>0.27212500000000084</v>
      </c>
      <c r="Q1960">
        <f t="shared" si="92"/>
        <v>0.27212500000000084</v>
      </c>
      <c r="Y1960">
        <f>TREND(H1955:H1959,G1955:G1959,G1960)</f>
        <v>50.290849650555302</v>
      </c>
      <c r="Z1960">
        <f>ABS((Y1960-H1960)/80*100)</f>
        <v>9.7937063194128995E-2</v>
      </c>
      <c r="AE1960">
        <f>ABS(P1987-P1959)</f>
        <v>8.1959374999982515E-2</v>
      </c>
      <c r="AH1960">
        <f>H1960-AG1955</f>
        <v>49.944475000000004</v>
      </c>
      <c r="AI1960">
        <f>100*(AH1960-O1960)/80</f>
        <v>-6.290624999999217E-2</v>
      </c>
    </row>
    <row r="1961" spans="1:41" x14ac:dyDescent="0.35">
      <c r="A1961" t="s">
        <v>291</v>
      </c>
      <c r="B1961" t="s">
        <v>231</v>
      </c>
      <c r="C1961" t="s">
        <v>521</v>
      </c>
      <c r="D1961">
        <v>25</v>
      </c>
      <c r="E1961">
        <v>25</v>
      </c>
      <c r="F1961">
        <v>-1</v>
      </c>
      <c r="G1961">
        <v>-1.000016</v>
      </c>
      <c r="H1961">
        <v>10.3046875</v>
      </c>
      <c r="J1961">
        <v>-6170</v>
      </c>
      <c r="N1961" t="s">
        <v>201</v>
      </c>
      <c r="O1961">
        <f t="shared" si="90"/>
        <v>9.9993599999999994</v>
      </c>
      <c r="P1961">
        <f t="shared" si="91"/>
        <v>0.3816593750000008</v>
      </c>
      <c r="Q1961">
        <f t="shared" si="92"/>
        <v>0.3816593750000008</v>
      </c>
      <c r="Y1961">
        <f>TREND(H1955:H1959,G1955:G1959,G1961)</f>
        <v>10.240043367472097</v>
      </c>
      <c r="Z1961">
        <f>ABS((Y1961-H1961)/80*100)</f>
        <v>8.0805165659878497E-2</v>
      </c>
      <c r="AE1961">
        <f>ABS(P1988-P1960)</f>
        <v>0.19952812499999695</v>
      </c>
      <c r="AH1961">
        <f>H1961-AG1955</f>
        <v>10.036662500000006</v>
      </c>
      <c r="AI1961">
        <f>100*(AH1961-O1961)/80</f>
        <v>4.6628125000007792E-2</v>
      </c>
    </row>
    <row r="1962" spans="1:41" x14ac:dyDescent="0.35">
      <c r="A1962" t="s">
        <v>291</v>
      </c>
      <c r="B1962" t="s">
        <v>231</v>
      </c>
      <c r="C1962" t="s">
        <v>558</v>
      </c>
      <c r="D1962">
        <v>-20</v>
      </c>
      <c r="E1962">
        <v>-20</v>
      </c>
      <c r="F1962">
        <v>-1</v>
      </c>
      <c r="G1962">
        <v>-0.99996099999999999</v>
      </c>
      <c r="H1962">
        <v>9.4734374999999993</v>
      </c>
      <c r="J1962">
        <v>-24582</v>
      </c>
      <c r="N1962" t="s">
        <v>201</v>
      </c>
      <c r="O1962">
        <f t="shared" si="90"/>
        <v>10.001560000000001</v>
      </c>
      <c r="P1962">
        <f t="shared" si="91"/>
        <v>-0.66015312500000256</v>
      </c>
      <c r="Q1962">
        <f t="shared" si="92"/>
        <v>0.66015312500000256</v>
      </c>
      <c r="S1962">
        <v>49.612499999999997</v>
      </c>
      <c r="T1962">
        <v>-0.47942500000000443</v>
      </c>
      <c r="U1962">
        <v>90.1015625</v>
      </c>
      <c r="V1962">
        <v>0.13470312499999082</v>
      </c>
      <c r="W1962">
        <v>80.628124999999997</v>
      </c>
      <c r="X1962">
        <f>(W1962-80)/80*100</f>
        <v>0.78515624999999645</v>
      </c>
      <c r="Y1962">
        <f>TREND(H1962:H1966,G1962:G1966,G1962)</f>
        <v>9.4030890980997768</v>
      </c>
      <c r="Z1962">
        <f>ABS((Y1962-H1962)/80*100)</f>
        <v>8.7935502375278141E-2</v>
      </c>
      <c r="AA1962">
        <f>MAX(Z1962:Z1966)</f>
        <v>0.16117956353209451</v>
      </c>
      <c r="AB1962">
        <f>IF(ABS(MAX(P1962:P1968)) &gt; ABS(MIN(P1962:P1968)),MAX(P1962:P1968), MIN(P1962:P1968))</f>
        <v>-0.66015312500000256</v>
      </c>
      <c r="AC1962">
        <f>IF(ABS(AB1963)&gt;ABS(AB1962),AB1963,AB1962)</f>
        <v>-0.66015312500000256</v>
      </c>
      <c r="AE1962">
        <f>ABS(P1989-P1961)</f>
        <v>0.20974375000000212</v>
      </c>
      <c r="AH1962">
        <f>H1962-AG1955</f>
        <v>9.2054125000000049</v>
      </c>
      <c r="AI1962">
        <f>100*(AH1962-O1962)/80</f>
        <v>-0.99518437499999557</v>
      </c>
      <c r="AJ1962">
        <v>49.344475000000003</v>
      </c>
      <c r="AK1962">
        <v>-0.81445624999999744</v>
      </c>
      <c r="AL1962">
        <v>89.833537500000006</v>
      </c>
      <c r="AM1962">
        <v>-0.20032812500000219</v>
      </c>
      <c r="AN1962">
        <f>IF(ABS(MAX(AI1962:AI1968)) &gt; ABS(MIN(AI1962:AI1968)),MAX(AI1962:AI1968), MIN(AI1962:AI1968))</f>
        <v>-0.99518437499999557</v>
      </c>
      <c r="AO1962">
        <f>IF(ABS(AN1963)&gt;ABS(AN1962),AN1963,AN1962)</f>
        <v>-0.99518437499999557</v>
      </c>
    </row>
    <row r="1963" spans="1:41" x14ac:dyDescent="0.35">
      <c r="A1963" t="s">
        <v>291</v>
      </c>
      <c r="B1963" t="s">
        <v>231</v>
      </c>
      <c r="C1963" t="s">
        <v>594</v>
      </c>
      <c r="D1963">
        <v>-20</v>
      </c>
      <c r="E1963">
        <v>-20</v>
      </c>
      <c r="F1963">
        <v>-0.5</v>
      </c>
      <c r="G1963">
        <v>-0.50010299999999996</v>
      </c>
      <c r="H1963">
        <v>29.537500000000001</v>
      </c>
      <c r="J1963">
        <v>-24595</v>
      </c>
      <c r="N1963" t="s">
        <v>201</v>
      </c>
      <c r="O1963">
        <f t="shared" si="90"/>
        <v>29.99588</v>
      </c>
      <c r="P1963">
        <f t="shared" si="91"/>
        <v>-0.57297499999999779</v>
      </c>
      <c r="Q1963">
        <f t="shared" si="92"/>
        <v>0.57297499999999779</v>
      </c>
      <c r="Y1963">
        <f>TREND(H1962:H1966,G1962:G1966,G1963)</f>
        <v>29.569321268155708</v>
      </c>
      <c r="Z1963">
        <f>ABS((Y1963-H1963)/80*100)</f>
        <v>3.9776585194633007E-2</v>
      </c>
      <c r="AB1963">
        <f>IF(ABS(T1962) &gt; ABS(V1962),T1962,V1962)</f>
        <v>-0.47942500000000443</v>
      </c>
      <c r="AE1963">
        <f>ABS(P2011-P1955)</f>
        <v>0.20013750000000163</v>
      </c>
      <c r="AH1963">
        <f>H1963-AG1955</f>
        <v>29.269475000000007</v>
      </c>
      <c r="AI1963">
        <f>100*(AH1963-O1963)/80</f>
        <v>-0.9080062499999908</v>
      </c>
      <c r="AN1963">
        <f>IF(ABS(AK1962) &gt; ABS(AM1962),AK1962,AM1962)</f>
        <v>-0.81445624999999744</v>
      </c>
    </row>
    <row r="1964" spans="1:41" x14ac:dyDescent="0.35">
      <c r="A1964" t="s">
        <v>291</v>
      </c>
      <c r="B1964" t="s">
        <v>231</v>
      </c>
      <c r="C1964" t="s">
        <v>631</v>
      </c>
      <c r="D1964">
        <v>-20</v>
      </c>
      <c r="E1964">
        <v>-19.899999999999999</v>
      </c>
      <c r="F1964">
        <v>0</v>
      </c>
      <c r="G1964">
        <v>-9.8999999999999994E-5</v>
      </c>
      <c r="H1964">
        <v>49.612499999999997</v>
      </c>
      <c r="J1964">
        <v>-24616</v>
      </c>
      <c r="N1964" t="s">
        <v>201</v>
      </c>
      <c r="O1964">
        <f t="shared" si="90"/>
        <v>49.996040000000001</v>
      </c>
      <c r="P1964">
        <f t="shared" si="91"/>
        <v>-0.47942500000000443</v>
      </c>
      <c r="Q1964">
        <f t="shared" si="92"/>
        <v>0.47942500000000443</v>
      </c>
      <c r="Y1964">
        <f>TREND(H1962:H1966,G1962:G1966,G1964)</f>
        <v>49.741443650825673</v>
      </c>
      <c r="Z1964">
        <f>ABS((Y1964-H1964)/80*100)</f>
        <v>0.16117956353209451</v>
      </c>
      <c r="AE1964">
        <f>ABS(P2012-P1956)</f>
        <v>0.17566562499999883</v>
      </c>
      <c r="AH1964">
        <f>H1964-AG1955</f>
        <v>49.344475000000003</v>
      </c>
      <c r="AI1964">
        <f>100*(AH1964-O1964)/80</f>
        <v>-0.81445624999999744</v>
      </c>
    </row>
    <row r="1965" spans="1:41" x14ac:dyDescent="0.35">
      <c r="A1965" t="s">
        <v>291</v>
      </c>
      <c r="B1965" t="s">
        <v>231</v>
      </c>
      <c r="C1965" t="s">
        <v>667</v>
      </c>
      <c r="D1965">
        <v>-20</v>
      </c>
      <c r="E1965">
        <v>-20</v>
      </c>
      <c r="F1965">
        <v>0.5</v>
      </c>
      <c r="G1965">
        <v>0.49979899999999999</v>
      </c>
      <c r="H1965">
        <v>69.981250000000003</v>
      </c>
      <c r="J1965">
        <v>-24625</v>
      </c>
      <c r="N1965" t="s">
        <v>201</v>
      </c>
      <c r="O1965">
        <f t="shared" si="90"/>
        <v>69.991959999999992</v>
      </c>
      <c r="P1965">
        <f t="shared" si="91"/>
        <v>-1.3387499999986119E-2</v>
      </c>
      <c r="Q1965">
        <f t="shared" si="92"/>
        <v>1.3387499999986119E-2</v>
      </c>
      <c r="Y1965">
        <f>TREND(H1962:H1966,G1962:G1966,G1965)</f>
        <v>69.909289577762152</v>
      </c>
      <c r="Z1965">
        <f>ABS((Y1965-H1965)/80*100)</f>
        <v>8.9950527797313384E-2</v>
      </c>
      <c r="AE1965">
        <f>ABS(P2013-P1957)</f>
        <v>0.13886562499998867</v>
      </c>
      <c r="AH1965">
        <f>H1965-AG1955</f>
        <v>69.713225000000008</v>
      </c>
      <c r="AI1965">
        <f>100*(AH1965-O1965)/80</f>
        <v>-0.34841874999997913</v>
      </c>
    </row>
    <row r="1966" spans="1:41" x14ac:dyDescent="0.35">
      <c r="A1966" t="s">
        <v>291</v>
      </c>
      <c r="B1966" t="s">
        <v>231</v>
      </c>
      <c r="C1966" t="s">
        <v>703</v>
      </c>
      <c r="D1966">
        <v>-20</v>
      </c>
      <c r="E1966">
        <v>-20</v>
      </c>
      <c r="F1966">
        <v>1</v>
      </c>
      <c r="G1966">
        <v>0.99984499999999998</v>
      </c>
      <c r="H1966">
        <v>90.1015625</v>
      </c>
      <c r="J1966">
        <v>-24634</v>
      </c>
      <c r="N1966" t="s">
        <v>201</v>
      </c>
      <c r="O1966">
        <f t="shared" si="90"/>
        <v>89.993800000000007</v>
      </c>
      <c r="P1966">
        <f t="shared" si="91"/>
        <v>0.13470312499999082</v>
      </c>
      <c r="Q1966">
        <f t="shared" si="92"/>
        <v>0.13470312499999082</v>
      </c>
      <c r="Y1966">
        <f>TREND(H1962:H1966,G1962:G1966,G1966)</f>
        <v>90.083106405156713</v>
      </c>
      <c r="Z1966">
        <f>ABS((Y1966-H1966)/80*100)</f>
        <v>2.3070118554109342E-2</v>
      </c>
      <c r="AE1966">
        <f>ABS(P2014-P1958)</f>
        <v>0.21452499999998764</v>
      </c>
      <c r="AH1966">
        <f>H1966-AG1955</f>
        <v>89.833537500000006</v>
      </c>
      <c r="AI1966">
        <f>100*(AH1966-O1966)/80</f>
        <v>-0.20032812500000219</v>
      </c>
    </row>
    <row r="1967" spans="1:41" x14ac:dyDescent="0.35">
      <c r="A1967" t="s">
        <v>291</v>
      </c>
      <c r="B1967" t="s">
        <v>231</v>
      </c>
      <c r="C1967" t="s">
        <v>740</v>
      </c>
      <c r="D1967">
        <v>-20</v>
      </c>
      <c r="E1967">
        <v>-20</v>
      </c>
      <c r="F1967">
        <v>0</v>
      </c>
      <c r="G1967">
        <v>-4.6500000000000003E-4</v>
      </c>
      <c r="H1967">
        <v>49.728124999999999</v>
      </c>
      <c r="J1967">
        <v>-24634</v>
      </c>
      <c r="N1967" t="s">
        <v>201</v>
      </c>
      <c r="O1967">
        <f t="shared" si="90"/>
        <v>49.981400000000001</v>
      </c>
      <c r="P1967">
        <f t="shared" si="91"/>
        <v>-0.31659375000000267</v>
      </c>
      <c r="Q1967">
        <f t="shared" si="92"/>
        <v>0.31659375000000267</v>
      </c>
      <c r="Y1967">
        <f>TREND(H1962:H1966,G1962:G1966,G1967)</f>
        <v>49.726677775368557</v>
      </c>
      <c r="Z1967">
        <f>ABS((Y1967-H1967)/80*100)</f>
        <v>1.8090307893015023E-3</v>
      </c>
      <c r="AE1967">
        <f>ABS(P2015-P1959)</f>
        <v>3.0690624999998306E-2</v>
      </c>
      <c r="AH1967">
        <f>H1967-AG1955</f>
        <v>49.460100000000004</v>
      </c>
      <c r="AI1967">
        <f>100*(AH1967-O1967)/80</f>
        <v>-0.65162499999999568</v>
      </c>
    </row>
    <row r="1968" spans="1:41" x14ac:dyDescent="0.35">
      <c r="A1968" t="s">
        <v>291</v>
      </c>
      <c r="B1968" t="s">
        <v>231</v>
      </c>
      <c r="C1968" t="s">
        <v>776</v>
      </c>
      <c r="D1968">
        <v>-20</v>
      </c>
      <c r="E1968">
        <v>-20.100000000000001</v>
      </c>
      <c r="F1968">
        <v>-1</v>
      </c>
      <c r="G1968">
        <v>-0.99994799999999995</v>
      </c>
      <c r="H1968">
        <v>9.4765625</v>
      </c>
      <c r="J1968">
        <v>-24634</v>
      </c>
      <c r="N1968" t="s">
        <v>201</v>
      </c>
      <c r="O1968">
        <f t="shared" si="90"/>
        <v>10.002080000000003</v>
      </c>
      <c r="P1968">
        <f t="shared" si="91"/>
        <v>-0.65689687500000371</v>
      </c>
      <c r="Q1968">
        <f t="shared" si="92"/>
        <v>0.65689687500000371</v>
      </c>
      <c r="Y1968">
        <f>TREND(H1962:H1966,G1962:G1966,G1968)</f>
        <v>9.4036135690859624</v>
      </c>
      <c r="Z1968">
        <f>ABS((Y1968-H1968)/80*100)</f>
        <v>9.1186163642547058E-2</v>
      </c>
      <c r="AE1968">
        <f>ABS(P2016-P1960)</f>
        <v>0.10181249999999586</v>
      </c>
      <c r="AH1968">
        <f>H1968-AG1955</f>
        <v>9.2085375000000056</v>
      </c>
      <c r="AI1968">
        <f>100*(AH1968-O1968)/80</f>
        <v>-0.99192812499999672</v>
      </c>
    </row>
    <row r="1969" spans="1:41" x14ac:dyDescent="0.35">
      <c r="A1969" t="s">
        <v>291</v>
      </c>
      <c r="B1969" t="s">
        <v>231</v>
      </c>
      <c r="C1969" t="s">
        <v>813</v>
      </c>
      <c r="D1969">
        <v>0</v>
      </c>
      <c r="E1969">
        <v>-0.2</v>
      </c>
      <c r="F1969">
        <v>-1</v>
      </c>
      <c r="G1969">
        <v>-1.000723</v>
      </c>
      <c r="H1969">
        <v>10.293749999999999</v>
      </c>
      <c r="J1969">
        <v>-16810</v>
      </c>
      <c r="N1969" t="s">
        <v>201</v>
      </c>
      <c r="O1969">
        <f t="shared" si="90"/>
        <v>9.9710799999999988</v>
      </c>
      <c r="P1969">
        <f t="shared" si="91"/>
        <v>0.40333750000000057</v>
      </c>
      <c r="Q1969">
        <f t="shared" si="92"/>
        <v>0.40333750000000057</v>
      </c>
      <c r="S1969">
        <v>50.1640625</v>
      </c>
      <c r="T1969">
        <v>0.21037812500000364</v>
      </c>
      <c r="U1969">
        <v>90.223437500000003</v>
      </c>
      <c r="V1969">
        <v>0.2724968750000123</v>
      </c>
      <c r="W1969">
        <v>79.929684448242185</v>
      </c>
      <c r="X1969">
        <f>(W1969-80)/80*100</f>
        <v>-8.7894439697269178E-2</v>
      </c>
      <c r="Y1969">
        <f>TREND(H1969:H1973,G1969:G1973,G1969)</f>
        <v>10.231952623181698</v>
      </c>
      <c r="Z1969">
        <f>ABS((Y1969-H1969)/80*100)</f>
        <v>7.7246721022876663E-2</v>
      </c>
      <c r="AA1969">
        <f>MAX(Z1969:Z1973)</f>
        <v>9.0456729566650296E-2</v>
      </c>
      <c r="AB1969">
        <f>IF(ABS(MAX(P1969:P1975)) &gt; ABS(MIN(P1969:P1975)),MAX(P1969:P1975), MIN(P1969:P1975))</f>
        <v>0.40333750000000057</v>
      </c>
      <c r="AC1969">
        <f>IF(ABS(AB1970)&gt;ABS(AB1969),AB1970,AB1969)</f>
        <v>0.40333750000000057</v>
      </c>
      <c r="AE1969">
        <f>ABS(P2017-P1961)</f>
        <v>0.23413124999999813</v>
      </c>
      <c r="AH1969">
        <f>H1969-AG1955</f>
        <v>10.025725000000005</v>
      </c>
      <c r="AI1969">
        <f>100*(AH1969-O1969)/80</f>
        <v>6.8306250000007562E-2</v>
      </c>
      <c r="AJ1969">
        <v>49.896037500000006</v>
      </c>
      <c r="AK1969">
        <v>-0.12465312499998937</v>
      </c>
      <c r="AL1969">
        <v>89.955412500000008</v>
      </c>
      <c r="AM1969">
        <v>-6.2534374999980713E-2</v>
      </c>
      <c r="AN1969">
        <f>IF(ABS(MAX(AI1969:AI1975)) &gt; ABS(MIN(AI1969:AI1975)),MAX(AI1969:AI1975), MIN(AI1969:AI1975))</f>
        <v>-0.12465312499998937</v>
      </c>
      <c r="AO1969">
        <f>IF(ABS(AN1970)&gt;ABS(AN1969),AN1970,AN1969)</f>
        <v>-0.12465312499998937</v>
      </c>
    </row>
    <row r="1970" spans="1:41" x14ac:dyDescent="0.35">
      <c r="A1970" t="s">
        <v>291</v>
      </c>
      <c r="B1970" t="s">
        <v>231</v>
      </c>
      <c r="C1970" t="s">
        <v>849</v>
      </c>
      <c r="D1970">
        <v>0</v>
      </c>
      <c r="E1970">
        <v>0.1</v>
      </c>
      <c r="F1970">
        <v>-0.5</v>
      </c>
      <c r="G1970">
        <v>-0.49998100000000001</v>
      </c>
      <c r="H1970">
        <v>30.193750000000001</v>
      </c>
      <c r="J1970">
        <v>-16802</v>
      </c>
      <c r="N1970" t="s">
        <v>201</v>
      </c>
      <c r="O1970">
        <f t="shared" si="90"/>
        <v>30.00076</v>
      </c>
      <c r="P1970">
        <f t="shared" si="91"/>
        <v>0.24123750000000221</v>
      </c>
      <c r="Q1970">
        <f t="shared" si="92"/>
        <v>0.24123750000000221</v>
      </c>
      <c r="Y1970">
        <f>TREND(H1969:H1973,G1969:G1973,G1970)</f>
        <v>30.251521500063745</v>
      </c>
      <c r="Z1970">
        <f>ABS((Y1970-H1970)/80*100)</f>
        <v>7.2214375079679982E-2</v>
      </c>
      <c r="AB1970">
        <f>IF(ABS(T1969) &gt; ABS(V1969),T1969,V1969)</f>
        <v>0.2724968750000123</v>
      </c>
      <c r="AE1970">
        <f>ABS(P2011-P1983)</f>
        <v>0.42553124999999969</v>
      </c>
      <c r="AH1970">
        <f>H1970-AG1955</f>
        <v>29.925725000000007</v>
      </c>
      <c r="AI1970">
        <f>100*(AH1970-O1970)/80</f>
        <v>-9.3793749999990794E-2</v>
      </c>
      <c r="AN1970">
        <f>IF(ABS(AK1969) &gt; ABS(AM1969),AK1969,AM1969)</f>
        <v>-0.12465312499998937</v>
      </c>
    </row>
    <row r="1971" spans="1:41" x14ac:dyDescent="0.35">
      <c r="A1971" t="s">
        <v>291</v>
      </c>
      <c r="B1971" t="s">
        <v>231</v>
      </c>
      <c r="C1971" t="s">
        <v>885</v>
      </c>
      <c r="D1971">
        <v>0</v>
      </c>
      <c r="E1971">
        <v>0</v>
      </c>
      <c r="F1971">
        <v>0</v>
      </c>
      <c r="G1971">
        <v>-1.06E-4</v>
      </c>
      <c r="H1971">
        <v>50.1640625</v>
      </c>
      <c r="J1971">
        <v>-16780</v>
      </c>
      <c r="N1971" t="s">
        <v>201</v>
      </c>
      <c r="O1971">
        <f t="shared" si="90"/>
        <v>49.995759999999997</v>
      </c>
      <c r="P1971">
        <f t="shared" si="91"/>
        <v>0.21037812500000364</v>
      </c>
      <c r="Q1971">
        <f t="shared" si="92"/>
        <v>0.21037812500000364</v>
      </c>
      <c r="Y1971">
        <f>TREND(H1969:H1973,G1969:G1973,G1971)</f>
        <v>50.23642788365332</v>
      </c>
      <c r="Z1971">
        <f>ABS((Y1971-H1971)/80*100)</f>
        <v>9.0456729566650296E-2</v>
      </c>
      <c r="AE1971">
        <f>ABS(P2012-P1984)</f>
        <v>0.39859999999999562</v>
      </c>
      <c r="AH1971">
        <f>H1971-AG1955</f>
        <v>49.896037500000006</v>
      </c>
      <c r="AI1971">
        <f>100*(AH1971-O1971)/80</f>
        <v>-0.12465312499998937</v>
      </c>
    </row>
    <row r="1972" spans="1:41" x14ac:dyDescent="0.35">
      <c r="A1972" t="s">
        <v>291</v>
      </c>
      <c r="B1972" t="s">
        <v>231</v>
      </c>
      <c r="C1972" t="s">
        <v>922</v>
      </c>
      <c r="D1972">
        <v>0</v>
      </c>
      <c r="E1972">
        <v>0</v>
      </c>
      <c r="F1972">
        <v>0.5</v>
      </c>
      <c r="G1972">
        <v>0.50023899999999999</v>
      </c>
      <c r="H1972">
        <v>70.310937499999994</v>
      </c>
      <c r="J1972">
        <v>-16764</v>
      </c>
      <c r="N1972" t="s">
        <v>201</v>
      </c>
      <c r="O1972">
        <f t="shared" si="90"/>
        <v>70.009560000000008</v>
      </c>
      <c r="P1972">
        <f t="shared" si="91"/>
        <v>0.37672187499998344</v>
      </c>
      <c r="Q1972">
        <f t="shared" si="92"/>
        <v>0.37672187499998344</v>
      </c>
      <c r="Y1972">
        <f>TREND(H1969:H1973,G1969:G1973,G1972)</f>
        <v>70.240124776870886</v>
      </c>
      <c r="Z1972">
        <f>ABS((Y1972-H1972)/80*100)</f>
        <v>8.8515903911385863E-2</v>
      </c>
      <c r="AE1972">
        <f>ABS(P2013-P1985)</f>
        <v>0.23892812499998861</v>
      </c>
      <c r="AH1972">
        <f>H1972-AG1955</f>
        <v>70.0429125</v>
      </c>
      <c r="AI1972">
        <f>100*(AH1972-O1972)/80</f>
        <v>4.1690624999990433E-2</v>
      </c>
    </row>
    <row r="1973" spans="1:41" x14ac:dyDescent="0.35">
      <c r="A1973" t="s">
        <v>291</v>
      </c>
      <c r="B1973" t="s">
        <v>231</v>
      </c>
      <c r="C1973" t="s">
        <v>959</v>
      </c>
      <c r="D1973">
        <v>0</v>
      </c>
      <c r="E1973">
        <v>0.1</v>
      </c>
      <c r="F1973">
        <v>1</v>
      </c>
      <c r="G1973">
        <v>1.0001359999999999</v>
      </c>
      <c r="H1973">
        <v>90.223437500000003</v>
      </c>
      <c r="J1973">
        <v>-16734</v>
      </c>
      <c r="N1973" t="s">
        <v>201</v>
      </c>
      <c r="O1973">
        <f t="shared" si="90"/>
        <v>90.005439999999993</v>
      </c>
      <c r="P1973">
        <f t="shared" si="91"/>
        <v>0.2724968750000123</v>
      </c>
      <c r="Q1973">
        <f t="shared" si="92"/>
        <v>0.2724968750000123</v>
      </c>
      <c r="Y1973">
        <f>TREND(H1969:H1973,G1969:G1973,G1973)</f>
        <v>90.225910716230288</v>
      </c>
      <c r="Z1973">
        <f>ABS((Y1973-H1973)/80*100)</f>
        <v>3.0915202878567527E-3</v>
      </c>
      <c r="AE1973">
        <f>ABS(P2014-P1986)</f>
        <v>0.21242812500000596</v>
      </c>
      <c r="AH1973">
        <f>H1973-AG1955</f>
        <v>89.955412500000008</v>
      </c>
      <c r="AI1973">
        <f>100*(AH1973-O1973)/80</f>
        <v>-6.2534374999980713E-2</v>
      </c>
    </row>
    <row r="1974" spans="1:41" x14ac:dyDescent="0.35">
      <c r="A1974" t="s">
        <v>291</v>
      </c>
      <c r="B1974" t="s">
        <v>231</v>
      </c>
      <c r="C1974" t="s">
        <v>995</v>
      </c>
      <c r="D1974">
        <v>0</v>
      </c>
      <c r="E1974">
        <v>0</v>
      </c>
      <c r="F1974">
        <v>0</v>
      </c>
      <c r="G1974">
        <v>-6.2500000000000001E-4</v>
      </c>
      <c r="H1974">
        <v>50.221874999999997</v>
      </c>
      <c r="J1974">
        <v>-16719</v>
      </c>
      <c r="N1974" t="s">
        <v>201</v>
      </c>
      <c r="O1974">
        <f t="shared" si="90"/>
        <v>49.975000000000001</v>
      </c>
      <c r="P1974">
        <f t="shared" si="91"/>
        <v>0.30859374999999467</v>
      </c>
      <c r="Q1974">
        <f t="shared" si="92"/>
        <v>0.30859374999999467</v>
      </c>
      <c r="Y1974">
        <f>TREND(H1969:H1973,G1969:G1973,G1974)</f>
        <v>50.215678363447104</v>
      </c>
      <c r="Z1974">
        <f>ABS((Y1974-H1974)/80*100)</f>
        <v>7.7457956911164416E-3</v>
      </c>
      <c r="AE1974">
        <f>ABS(P2015-P1987)</f>
        <v>0.11264999999998082</v>
      </c>
      <c r="AH1974">
        <f>H1974-AG1955</f>
        <v>49.953850000000003</v>
      </c>
      <c r="AI1974">
        <f>100*(AH1974-O1974)/80</f>
        <v>-2.6437499999998337E-2</v>
      </c>
    </row>
    <row r="1975" spans="1:41" x14ac:dyDescent="0.35">
      <c r="A1975" t="s">
        <v>291</v>
      </c>
      <c r="B1975" t="s">
        <v>231</v>
      </c>
      <c r="C1975" t="s">
        <v>1031</v>
      </c>
      <c r="D1975">
        <v>0</v>
      </c>
      <c r="E1975">
        <v>-0.1</v>
      </c>
      <c r="F1975">
        <v>-1</v>
      </c>
      <c r="G1975">
        <v>-0.99985900000000005</v>
      </c>
      <c r="H1975">
        <v>10.2359375</v>
      </c>
      <c r="J1975">
        <v>-16693</v>
      </c>
      <c r="N1975" t="s">
        <v>201</v>
      </c>
      <c r="O1975">
        <f t="shared" si="90"/>
        <v>10.005639999999998</v>
      </c>
      <c r="P1975">
        <f t="shared" si="91"/>
        <v>0.28787187500000311</v>
      </c>
      <c r="Q1975">
        <f t="shared" si="92"/>
        <v>0.28787187500000311</v>
      </c>
      <c r="Y1975">
        <f>TREND(H1969:H1973,G1969:G1973,G1975)</f>
        <v>10.266495177051006</v>
      </c>
      <c r="Z1975">
        <f>ABS((Y1975-H1975)/80*100)</f>
        <v>3.8197096313756784E-2</v>
      </c>
      <c r="AE1975">
        <f>ABS(P2016-P1988)</f>
        <v>0.30134062499999281</v>
      </c>
      <c r="AH1975">
        <f>H1975-AG1955</f>
        <v>9.9679125000000059</v>
      </c>
      <c r="AI1975">
        <f>100*(AH1975-O1975)/80</f>
        <v>-4.71593749999899E-2</v>
      </c>
    </row>
    <row r="1976" spans="1:41" x14ac:dyDescent="0.35">
      <c r="A1976" t="s">
        <v>291</v>
      </c>
      <c r="B1976" t="s">
        <v>231</v>
      </c>
      <c r="C1976" t="s">
        <v>1067</v>
      </c>
      <c r="D1976">
        <v>10</v>
      </c>
      <c r="E1976">
        <v>10</v>
      </c>
      <c r="F1976">
        <v>-1</v>
      </c>
      <c r="G1976">
        <v>-0.99975599999999998</v>
      </c>
      <c r="H1976">
        <v>10.3046875</v>
      </c>
      <c r="J1976">
        <v>-12394</v>
      </c>
      <c r="N1976" t="s">
        <v>201</v>
      </c>
      <c r="O1976">
        <f t="shared" si="90"/>
        <v>10.00976</v>
      </c>
      <c r="P1976">
        <f t="shared" si="91"/>
        <v>0.36865937500000001</v>
      </c>
      <c r="Q1976">
        <f t="shared" si="92"/>
        <v>0.36865937500000001</v>
      </c>
      <c r="S1976">
        <v>50.3515625</v>
      </c>
      <c r="T1976">
        <v>0.44350312499999767</v>
      </c>
      <c r="U1976">
        <v>90.364062500000003</v>
      </c>
      <c r="V1976">
        <v>0.43697812500001376</v>
      </c>
      <c r="W1976">
        <v>80.059371948242188</v>
      </c>
      <c r="X1976">
        <f>(W1976-80)/80*100</f>
        <v>7.4214935302734375E-2</v>
      </c>
      <c r="Y1976">
        <f>TREND(H1976:H1980,G1976:G1980,G1976)</f>
        <v>10.313324876496743</v>
      </c>
      <c r="Z1976">
        <f>ABS((Y1976-H1976)/80*100)</f>
        <v>1.0796720620929179E-2</v>
      </c>
      <c r="AA1976">
        <f>MAX(Z1976:Z1980)</f>
        <v>5.5591687239058281E-2</v>
      </c>
      <c r="AB1976">
        <f>IF(ABS(MAX(P1976:P1982)) &gt; ABS(MIN(P1976:P1982)),MAX(P1976:P1982), MIN(P1976:P1982))</f>
        <v>0.51184687499999271</v>
      </c>
      <c r="AC1976">
        <f>IF(ABS(AB1977)&gt;ABS(AB1976),AB1977,AB1976)</f>
        <v>0.51184687499999271</v>
      </c>
      <c r="AE1976">
        <f>ABS(P2017-P1989)</f>
        <v>0.44387500000000024</v>
      </c>
      <c r="AH1976">
        <f>H1976-AG1955</f>
        <v>10.036662500000006</v>
      </c>
      <c r="AI1976">
        <f>100*(AH1976-O1976)/80</f>
        <v>3.3628125000007003E-2</v>
      </c>
      <c r="AJ1976">
        <v>50.083537500000006</v>
      </c>
      <c r="AK1976">
        <v>0.10847187500000466</v>
      </c>
      <c r="AL1976">
        <v>90.096037500000008</v>
      </c>
      <c r="AM1976">
        <v>0.10194687500002075</v>
      </c>
      <c r="AN1976">
        <f>IF(ABS(MAX(AI1976:AI1982)) &gt; ABS(MIN(AI1976:AI1982)),MAX(AI1976:AI1982), MIN(AI1976:AI1982))</f>
        <v>0.1768156249999997</v>
      </c>
      <c r="AO1976">
        <f>IF(ABS(AN1977)&gt;ABS(AN1976),AN1977,AN1976)</f>
        <v>0.1768156249999997</v>
      </c>
    </row>
    <row r="1977" spans="1:41" x14ac:dyDescent="0.35">
      <c r="A1977" t="s">
        <v>291</v>
      </c>
      <c r="B1977" t="s">
        <v>231</v>
      </c>
      <c r="C1977" t="s">
        <v>1103</v>
      </c>
      <c r="D1977">
        <v>10</v>
      </c>
      <c r="E1977">
        <v>10</v>
      </c>
      <c r="F1977">
        <v>-0.5</v>
      </c>
      <c r="G1977">
        <v>-0.49995600000000001</v>
      </c>
      <c r="H1977">
        <v>30.315625000000001</v>
      </c>
      <c r="J1977">
        <v>-12381</v>
      </c>
      <c r="N1977" t="s">
        <v>201</v>
      </c>
      <c r="O1977">
        <f t="shared" si="90"/>
        <v>30.001759999999997</v>
      </c>
      <c r="P1977">
        <f t="shared" si="91"/>
        <v>0.39233125000000424</v>
      </c>
      <c r="Q1977">
        <f t="shared" si="92"/>
        <v>0.39233125000000424</v>
      </c>
      <c r="Y1977">
        <f>TREND(H1976:H1980,G1976:G1980,G1977)</f>
        <v>30.325803541768209</v>
      </c>
      <c r="Z1977">
        <f>ABS((Y1977-H1977)/80*100)</f>
        <v>1.272317721026095E-2</v>
      </c>
      <c r="AB1977">
        <f>IF(ABS(T1976) &gt; ABS(V1976),T1976,V1976)</f>
        <v>0.44350312499999767</v>
      </c>
      <c r="AH1977">
        <f>H1977-AG1955</f>
        <v>30.047600000000006</v>
      </c>
      <c r="AI1977">
        <f>100*(AH1977-O1977)/80</f>
        <v>5.7300000000011231E-2</v>
      </c>
      <c r="AN1977">
        <f>IF(ABS(AK1976) &gt; ABS(AM1976),AK1976,AM1976)</f>
        <v>0.10847187500000466</v>
      </c>
    </row>
    <row r="1978" spans="1:41" x14ac:dyDescent="0.35">
      <c r="A1978" t="s">
        <v>291</v>
      </c>
      <c r="B1978" t="s">
        <v>1111</v>
      </c>
      <c r="C1978" t="s">
        <v>1140</v>
      </c>
      <c r="D1978">
        <v>10</v>
      </c>
      <c r="E1978">
        <v>10</v>
      </c>
      <c r="F1978">
        <v>0</v>
      </c>
      <c r="G1978">
        <v>-8.1000000000000004E-5</v>
      </c>
      <c r="H1978">
        <v>50.3515625</v>
      </c>
      <c r="J1978">
        <v>-12375</v>
      </c>
      <c r="N1978" t="s">
        <v>201</v>
      </c>
      <c r="O1978">
        <f t="shared" si="90"/>
        <v>49.996760000000002</v>
      </c>
      <c r="P1978">
        <f t="shared" si="91"/>
        <v>0.44350312499999767</v>
      </c>
      <c r="Q1978">
        <f t="shared" si="92"/>
        <v>0.44350312499999767</v>
      </c>
      <c r="Y1978">
        <f>TREND(H1976:H1980,G1976:G1980,G1978)</f>
        <v>50.341285280068682</v>
      </c>
      <c r="Z1978">
        <f>ABS((Y1978-H1978)/80*100)</f>
        <v>1.2846524914147395E-2</v>
      </c>
      <c r="AH1978">
        <f>H1978-AG1955</f>
        <v>50.083537500000006</v>
      </c>
      <c r="AI1978">
        <f>100*(AH1978-O1978)/80</f>
        <v>0.10847187500000466</v>
      </c>
    </row>
    <row r="1979" spans="1:41" x14ac:dyDescent="0.35">
      <c r="A1979" t="s">
        <v>291</v>
      </c>
      <c r="B1979" t="s">
        <v>1111</v>
      </c>
      <c r="C1979" t="s">
        <v>1177</v>
      </c>
      <c r="D1979">
        <v>10</v>
      </c>
      <c r="E1979">
        <v>10</v>
      </c>
      <c r="F1979">
        <v>0.5</v>
      </c>
      <c r="G1979">
        <v>0.499724</v>
      </c>
      <c r="H1979">
        <v>70.3984375</v>
      </c>
      <c r="J1979">
        <v>-12366</v>
      </c>
      <c r="N1979" t="s">
        <v>201</v>
      </c>
      <c r="O1979">
        <f t="shared" si="90"/>
        <v>69.988960000000006</v>
      </c>
      <c r="P1979">
        <f t="shared" si="91"/>
        <v>0.51184687499999271</v>
      </c>
      <c r="Q1979">
        <f t="shared" si="92"/>
        <v>0.51184687499999271</v>
      </c>
      <c r="Y1979">
        <f>TREND(H1976:H1980,G1976:G1980,G1979)</f>
        <v>70.353964150208753</v>
      </c>
      <c r="Z1979">
        <f>ABS((Y1979-H1979)/80*100)</f>
        <v>5.5591687239058281E-2</v>
      </c>
      <c r="AH1979">
        <f>H1979-AG1955</f>
        <v>70.130412500000006</v>
      </c>
      <c r="AI1979">
        <f>100*(AH1979-O1979)/80</f>
        <v>0.1768156249999997</v>
      </c>
    </row>
    <row r="1980" spans="1:41" x14ac:dyDescent="0.35">
      <c r="A1980" t="s">
        <v>291</v>
      </c>
      <c r="B1980" t="s">
        <v>1111</v>
      </c>
      <c r="C1980" t="s">
        <v>1215</v>
      </c>
      <c r="D1980">
        <v>10</v>
      </c>
      <c r="E1980">
        <v>10</v>
      </c>
      <c r="F1980">
        <v>1</v>
      </c>
      <c r="G1980">
        <v>1.000362</v>
      </c>
      <c r="H1980">
        <v>90.364062500000003</v>
      </c>
      <c r="J1980">
        <v>-12364</v>
      </c>
      <c r="N1980" t="s">
        <v>201</v>
      </c>
      <c r="O1980">
        <f t="shared" si="90"/>
        <v>90.014479999999992</v>
      </c>
      <c r="P1980">
        <f t="shared" si="91"/>
        <v>0.43697812500001376</v>
      </c>
      <c r="Q1980">
        <f t="shared" si="92"/>
        <v>0.43697812500001376</v>
      </c>
      <c r="Y1980">
        <f>TREND(H1976:H1980,G1976:G1980,G1980)</f>
        <v>90.399997151457598</v>
      </c>
      <c r="Z1980">
        <f>ABS((Y1980-H1980)/80*100)</f>
        <v>4.4918314321993336E-2</v>
      </c>
      <c r="AH1980">
        <f>H1980-AG1955</f>
        <v>90.096037500000008</v>
      </c>
      <c r="AI1980">
        <f>100*(AH1980-O1980)/80</f>
        <v>0.10194687500002075</v>
      </c>
    </row>
    <row r="1981" spans="1:41" x14ac:dyDescent="0.35">
      <c r="A1981" t="s">
        <v>291</v>
      </c>
      <c r="B1981" t="s">
        <v>1111</v>
      </c>
      <c r="C1981" t="s">
        <v>1251</v>
      </c>
      <c r="D1981">
        <v>10</v>
      </c>
      <c r="E1981">
        <v>10</v>
      </c>
      <c r="F1981">
        <v>0</v>
      </c>
      <c r="G1981">
        <v>-2.63E-4</v>
      </c>
      <c r="H1981">
        <v>50.3125</v>
      </c>
      <c r="J1981">
        <v>-12357</v>
      </c>
      <c r="N1981" t="s">
        <v>201</v>
      </c>
      <c r="O1981">
        <f t="shared" si="90"/>
        <v>49.98948</v>
      </c>
      <c r="P1981">
        <f t="shared" si="91"/>
        <v>0.40377499999999955</v>
      </c>
      <c r="Q1981">
        <f t="shared" si="92"/>
        <v>0.40377499999999955</v>
      </c>
      <c r="Y1981">
        <f>TREND(H1976:H1980,G1976:G1980,G1981)</f>
        <v>50.333997822851636</v>
      </c>
      <c r="Z1981">
        <f>ABS((Y1981-H1981)/80*100)</f>
        <v>2.6872278564544771E-2</v>
      </c>
      <c r="AH1981">
        <f>H1981-AG1955</f>
        <v>50.044475000000006</v>
      </c>
      <c r="AI1981">
        <f>100*(AH1981-O1981)/80</f>
        <v>6.8743750000006543E-2</v>
      </c>
    </row>
    <row r="1982" spans="1:41" x14ac:dyDescent="0.35">
      <c r="A1982" t="s">
        <v>291</v>
      </c>
      <c r="B1982" t="s">
        <v>1111</v>
      </c>
      <c r="C1982" t="s">
        <v>1287</v>
      </c>
      <c r="D1982">
        <v>10</v>
      </c>
      <c r="E1982">
        <v>10</v>
      </c>
      <c r="F1982">
        <v>-1</v>
      </c>
      <c r="G1982">
        <v>-1.0006360000000001</v>
      </c>
      <c r="H1982">
        <v>10.3453125</v>
      </c>
      <c r="J1982">
        <v>-12351</v>
      </c>
      <c r="N1982" t="s">
        <v>201</v>
      </c>
      <c r="O1982">
        <f t="shared" si="90"/>
        <v>9.9745599999999968</v>
      </c>
      <c r="P1982">
        <f t="shared" si="91"/>
        <v>0.46344062500000449</v>
      </c>
      <c r="Q1982">
        <f t="shared" si="92"/>
        <v>0.46344062500000449</v>
      </c>
      <c r="Y1982">
        <f>TREND(H1976:H1980,G1976:G1980,G1982)</f>
        <v>10.278088819623115</v>
      </c>
      <c r="Z1982">
        <f>ABS((Y1982-H1982)/80*100)</f>
        <v>8.4029600471107191E-2</v>
      </c>
      <c r="AH1982">
        <f>H1982-AG1955</f>
        <v>10.077287500000006</v>
      </c>
      <c r="AI1982">
        <f>100*(AH1982-O1982)/80</f>
        <v>0.12840937500001148</v>
      </c>
    </row>
    <row r="1983" spans="1:41" x14ac:dyDescent="0.35">
      <c r="A1983" t="s">
        <v>291</v>
      </c>
      <c r="B1983" t="s">
        <v>1111</v>
      </c>
      <c r="C1983" t="s">
        <v>1324</v>
      </c>
      <c r="D1983">
        <v>25</v>
      </c>
      <c r="E1983">
        <v>25</v>
      </c>
      <c r="F1983">
        <v>-1</v>
      </c>
      <c r="G1983">
        <v>-1.0002169999999999</v>
      </c>
      <c r="H1983">
        <v>10.446875</v>
      </c>
      <c r="J1983">
        <v>-6350</v>
      </c>
      <c r="N1983" t="s">
        <v>201</v>
      </c>
      <c r="O1983">
        <f t="shared" si="90"/>
        <v>9.9913200000000035</v>
      </c>
      <c r="P1983">
        <f t="shared" si="91"/>
        <v>0.56944374999999603</v>
      </c>
      <c r="Q1983">
        <f t="shared" si="92"/>
        <v>0.56944374999999603</v>
      </c>
      <c r="S1983">
        <v>50.346874999999997</v>
      </c>
      <c r="T1983">
        <v>0.43509374999999295</v>
      </c>
      <c r="U1983">
        <v>90.368750000000006</v>
      </c>
      <c r="V1983">
        <v>0.45258749999998571</v>
      </c>
      <c r="W1983">
        <v>79.921876525878901</v>
      </c>
      <c r="X1983">
        <f>(W1983-80)/80*100</f>
        <v>-9.7654342651374293E-2</v>
      </c>
      <c r="Y1983">
        <f>TREND(H1983:H1987,G1983:G1987,G1983)</f>
        <v>10.414425405996099</v>
      </c>
      <c r="Z1983">
        <f>ABS((Y1983-H1983)/80*100)</f>
        <v>4.0561992504877242E-2</v>
      </c>
      <c r="AA1983">
        <f>MAX(Z1983:Z1987)</f>
        <v>6.552863030043099E-2</v>
      </c>
      <c r="AB1983">
        <f>IF(ABS(MAX(P1983:P1989)) &gt; ABS(MIN(P1983:P1989)),MAX(P1983:P1989), MIN(P1983:P1989))</f>
        <v>0.59140312500000292</v>
      </c>
      <c r="AC1983">
        <f>IF(ABS(AB1984)&gt;ABS(AB1983),AB1984,AB1983)</f>
        <v>0.59140312500000292</v>
      </c>
      <c r="AH1983">
        <f>H1983-AG1955</f>
        <v>10.178850000000006</v>
      </c>
      <c r="AI1983">
        <f>100*(AH1983-O1983)/80</f>
        <v>0.23441250000000302</v>
      </c>
      <c r="AJ1983">
        <v>50.078850000000003</v>
      </c>
      <c r="AK1983">
        <v>0.10006249999999994</v>
      </c>
      <c r="AL1983">
        <v>90.100725000000011</v>
      </c>
      <c r="AM1983">
        <v>0.1175562499999927</v>
      </c>
      <c r="AN1983">
        <f>IF(ABS(MAX(AI1983:AI1989)) &gt; ABS(MIN(AI1983:AI1989)),MAX(AI1983:AI1989), MIN(AI1983:AI1989))</f>
        <v>0.25637187500000991</v>
      </c>
      <c r="AO1983">
        <f>IF(ABS(AN1984)&gt;ABS(AN1983),AN1984,AN1983)</f>
        <v>0.25637187500000991</v>
      </c>
    </row>
    <row r="1984" spans="1:41" x14ac:dyDescent="0.35">
      <c r="A1984" t="s">
        <v>291</v>
      </c>
      <c r="B1984" t="s">
        <v>1111</v>
      </c>
      <c r="C1984" t="s">
        <v>1360</v>
      </c>
      <c r="D1984">
        <v>25</v>
      </c>
      <c r="E1984">
        <v>25</v>
      </c>
      <c r="F1984">
        <v>-0.5</v>
      </c>
      <c r="G1984">
        <v>-0.50031700000000001</v>
      </c>
      <c r="H1984">
        <v>30.368749999999999</v>
      </c>
      <c r="J1984">
        <v>-6346</v>
      </c>
      <c r="N1984" t="s">
        <v>201</v>
      </c>
      <c r="O1984">
        <f t="shared" si="90"/>
        <v>29.98732</v>
      </c>
      <c r="P1984">
        <f t="shared" si="91"/>
        <v>0.4767874999999977</v>
      </c>
      <c r="Q1984">
        <f t="shared" si="92"/>
        <v>0.4767874999999977</v>
      </c>
      <c r="Y1984">
        <f>TREND(H1983:H1987,G1983:G1987,G1984)</f>
        <v>30.397162884181157</v>
      </c>
      <c r="Z1984">
        <f>ABS((Y1984-H1984)/80*100)</f>
        <v>3.5516105226447436E-2</v>
      </c>
      <c r="AB1984">
        <f>IF(ABS(T1983) &gt; ABS(V1983),T1983,V1983)</f>
        <v>0.45258749999998571</v>
      </c>
      <c r="AH1984">
        <f>H1984-AG1955</f>
        <v>30.100725000000004</v>
      </c>
      <c r="AI1984">
        <f>100*(AH1984-O1984)/80</f>
        <v>0.14175625000000469</v>
      </c>
      <c r="AN1984">
        <f>IF(ABS(AK1983) &gt; ABS(AM1983),AK1983,AM1983)</f>
        <v>0.1175562499999927</v>
      </c>
    </row>
    <row r="1985" spans="1:41" x14ac:dyDescent="0.35">
      <c r="A1985" t="s">
        <v>291</v>
      </c>
      <c r="B1985" t="s">
        <v>1111</v>
      </c>
      <c r="C1985" t="s">
        <v>1396</v>
      </c>
      <c r="D1985">
        <v>25</v>
      </c>
      <c r="E1985">
        <v>25</v>
      </c>
      <c r="F1985">
        <v>0</v>
      </c>
      <c r="G1985">
        <v>-3.0000000000000001E-5</v>
      </c>
      <c r="H1985">
        <v>50.346874999999997</v>
      </c>
      <c r="J1985">
        <v>-6326</v>
      </c>
      <c r="N1985" t="s">
        <v>201</v>
      </c>
      <c r="O1985">
        <f t="shared" si="90"/>
        <v>49.998800000000003</v>
      </c>
      <c r="P1985">
        <f t="shared" si="91"/>
        <v>0.43509374999999295</v>
      </c>
      <c r="Q1985">
        <f t="shared" si="92"/>
        <v>0.43509374999999295</v>
      </c>
      <c r="Y1985">
        <f>TREND(H1983:H1987,G1983:G1987,G1985)</f>
        <v>50.395370095120889</v>
      </c>
      <c r="Z1985">
        <f>ABS((Y1985-H1985)/80*100)</f>
        <v>6.0618868901114446E-2</v>
      </c>
      <c r="AH1985">
        <f>H1985-AG1955</f>
        <v>50.078850000000003</v>
      </c>
      <c r="AI1985">
        <f>100*(AH1985-O1985)/80</f>
        <v>0.10006249999999994</v>
      </c>
    </row>
    <row r="1986" spans="1:41" x14ac:dyDescent="0.35">
      <c r="A1986" t="s">
        <v>291</v>
      </c>
      <c r="B1986" t="s">
        <v>1111</v>
      </c>
      <c r="C1986" t="s">
        <v>1433</v>
      </c>
      <c r="D1986">
        <v>25</v>
      </c>
      <c r="E1986">
        <v>25</v>
      </c>
      <c r="F1986">
        <v>0.5</v>
      </c>
      <c r="G1986">
        <v>0.499888</v>
      </c>
      <c r="H1986">
        <v>70.431250000000006</v>
      </c>
      <c r="J1986">
        <v>-6313</v>
      </c>
      <c r="N1986" t="s">
        <v>201</v>
      </c>
      <c r="O1986">
        <f t="shared" si="90"/>
        <v>69.995519999999999</v>
      </c>
      <c r="P1986">
        <f t="shared" si="91"/>
        <v>0.54466250000000827</v>
      </c>
      <c r="Q1986">
        <f t="shared" si="92"/>
        <v>0.54466250000000827</v>
      </c>
      <c r="Y1986">
        <f>TREND(H1983:H1987,G1983:G1987,G1986)</f>
        <v>70.378827095759661</v>
      </c>
      <c r="Z1986">
        <f>ABS((Y1986-H1986)/80*100)</f>
        <v>6.552863030043099E-2</v>
      </c>
      <c r="AH1986">
        <f>H1986-AG1955</f>
        <v>70.163225000000011</v>
      </c>
      <c r="AI1986">
        <f>100*(AH1986-O1986)/80</f>
        <v>0.20963125000001526</v>
      </c>
    </row>
    <row r="1987" spans="1:41" x14ac:dyDescent="0.35">
      <c r="A1987" t="s">
        <v>291</v>
      </c>
      <c r="B1987" t="s">
        <v>1111</v>
      </c>
      <c r="C1987" t="s">
        <v>1470</v>
      </c>
      <c r="D1987">
        <v>25</v>
      </c>
      <c r="E1987">
        <v>25</v>
      </c>
      <c r="F1987">
        <v>1</v>
      </c>
      <c r="G1987">
        <v>1.000167</v>
      </c>
      <c r="H1987">
        <v>90.368750000000006</v>
      </c>
      <c r="J1987">
        <v>-6307</v>
      </c>
      <c r="N1987" t="s">
        <v>201</v>
      </c>
      <c r="O1987">
        <f t="shared" si="90"/>
        <v>90.006680000000017</v>
      </c>
      <c r="P1987">
        <f t="shared" si="91"/>
        <v>0.45258749999998571</v>
      </c>
      <c r="Q1987">
        <f t="shared" si="92"/>
        <v>0.45258749999998571</v>
      </c>
      <c r="Y1987">
        <f>TREND(H1983:H1987,G1983:G1987,G1987)</f>
        <v>90.37671451894218</v>
      </c>
      <c r="Z1987">
        <f>ABS((Y1987-H1987)/80*100)</f>
        <v>9.9556486777174769E-3</v>
      </c>
      <c r="AH1987">
        <f>H1987-AG1955</f>
        <v>90.100725000000011</v>
      </c>
      <c r="AI1987">
        <f>100*(AH1987-O1987)/80</f>
        <v>0.1175562499999927</v>
      </c>
    </row>
    <row r="1988" spans="1:41" x14ac:dyDescent="0.35">
      <c r="A1988" t="s">
        <v>291</v>
      </c>
      <c r="B1988" t="s">
        <v>1111</v>
      </c>
      <c r="C1988" t="s">
        <v>1507</v>
      </c>
      <c r="D1988">
        <v>25</v>
      </c>
      <c r="E1988">
        <v>25</v>
      </c>
      <c r="F1988">
        <v>0</v>
      </c>
      <c r="G1988">
        <v>-1.9000000000000001E-5</v>
      </c>
      <c r="H1988">
        <v>50.376562499999999</v>
      </c>
      <c r="J1988">
        <v>-6313</v>
      </c>
      <c r="N1988" t="s">
        <v>201</v>
      </c>
      <c r="O1988">
        <f t="shared" si="90"/>
        <v>49.99924</v>
      </c>
      <c r="P1988">
        <f t="shared" si="91"/>
        <v>0.47165312499999779</v>
      </c>
      <c r="Q1988">
        <f t="shared" si="92"/>
        <v>0.47165312499999779</v>
      </c>
      <c r="Y1988">
        <f>TREND(H1983:H1987,G1983:G1987,G1988)</f>
        <v>50.395809803287044</v>
      </c>
      <c r="Z1988">
        <f>ABS((Y1988-H1988)/80*100)</f>
        <v>2.4059129108806587E-2</v>
      </c>
      <c r="AH1988">
        <f>H1988-AG1955</f>
        <v>50.108537500000004</v>
      </c>
      <c r="AI1988">
        <f>100*(AH1988-O1988)/80</f>
        <v>0.13662187500000478</v>
      </c>
    </row>
    <row r="1989" spans="1:41" x14ac:dyDescent="0.35">
      <c r="A1989" t="s">
        <v>291</v>
      </c>
      <c r="B1989" t="s">
        <v>1111</v>
      </c>
      <c r="C1989" t="s">
        <v>1543</v>
      </c>
      <c r="D1989">
        <v>25</v>
      </c>
      <c r="E1989">
        <v>25</v>
      </c>
      <c r="F1989">
        <v>-1</v>
      </c>
      <c r="G1989">
        <v>-1.0005390000000001</v>
      </c>
      <c r="H1989">
        <v>10.4515625</v>
      </c>
      <c r="J1989">
        <v>-6294</v>
      </c>
      <c r="N1989" t="s">
        <v>201</v>
      </c>
      <c r="O1989">
        <f t="shared" si="90"/>
        <v>9.9784399999999973</v>
      </c>
      <c r="P1989">
        <f t="shared" si="91"/>
        <v>0.59140312500000292</v>
      </c>
      <c r="Q1989">
        <f t="shared" si="92"/>
        <v>0.59140312500000292</v>
      </c>
      <c r="Y1989">
        <f>TREND(H1983:H1987,G1983:G1987,G1989)</f>
        <v>10.401553948768694</v>
      </c>
      <c r="Z1989">
        <f>ABS((Y1989-H1989)/80*100)</f>
        <v>6.2510689039132483E-2</v>
      </c>
      <c r="AH1989">
        <f>H1989-AG1955</f>
        <v>10.183537500000005</v>
      </c>
      <c r="AI1989">
        <f>100*(AH1989-O1989)/80</f>
        <v>0.25637187500000991</v>
      </c>
    </row>
    <row r="1990" spans="1:41" x14ac:dyDescent="0.35">
      <c r="A1990" t="s">
        <v>291</v>
      </c>
      <c r="B1990" t="s">
        <v>1111</v>
      </c>
      <c r="C1990" t="s">
        <v>1580</v>
      </c>
      <c r="D1990">
        <v>50</v>
      </c>
      <c r="E1990">
        <v>50</v>
      </c>
      <c r="F1990">
        <v>-1</v>
      </c>
      <c r="G1990">
        <v>-1.0001990000000001</v>
      </c>
      <c r="H1990">
        <v>10.2015625</v>
      </c>
      <c r="J1990">
        <v>3676</v>
      </c>
      <c r="N1990" t="s">
        <v>201</v>
      </c>
      <c r="O1990">
        <f t="shared" si="90"/>
        <v>9.9920399999999976</v>
      </c>
      <c r="P1990">
        <f t="shared" si="91"/>
        <v>0.26190312500000257</v>
      </c>
      <c r="Q1990">
        <f t="shared" si="92"/>
        <v>0.26190312500000257</v>
      </c>
      <c r="S1990">
        <v>50.225000000000001</v>
      </c>
      <c r="T1990">
        <v>0.29765000000000263</v>
      </c>
      <c r="U1990">
        <v>90.381249999999994</v>
      </c>
      <c r="V1990">
        <v>0.47736249999999814</v>
      </c>
      <c r="W1990">
        <v>80.179685974121099</v>
      </c>
      <c r="X1990">
        <f>(W1990-80)/80*100</f>
        <v>0.22460746765137429</v>
      </c>
      <c r="Y1990">
        <f>TREND(H1990:H1994,G1990:G1994,G1990)</f>
        <v>10.168985368462621</v>
      </c>
      <c r="Z1990">
        <f>ABS((Y1990-H1990)/80*100)</f>
        <v>4.0721414421722724E-2</v>
      </c>
      <c r="AA1990">
        <f>MAX(Z1990:Z1994)</f>
        <v>5.4149708175472704E-2</v>
      </c>
      <c r="AB1990">
        <f>IF(ABS(MAX(P1990:P1996)) &gt; ABS(MIN(P1990:P1996)),MAX(P1990:P1996), MIN(P1990:P1996))</f>
        <v>0.47736249999999814</v>
      </c>
      <c r="AC1990">
        <f>IF(ABS(AB1991)&gt;ABS(AB1990),AB1991,AB1990)</f>
        <v>0.47736249999999814</v>
      </c>
      <c r="AH1990">
        <f>H1990-AG1955</f>
        <v>9.9335375000000052</v>
      </c>
      <c r="AI1990">
        <f>100*(AH1990-O1990)/80</f>
        <v>-7.312812499999044E-2</v>
      </c>
      <c r="AJ1990">
        <v>49.956975000000007</v>
      </c>
      <c r="AK1990">
        <v>-3.7381249999990374E-2</v>
      </c>
      <c r="AL1990">
        <v>90.113225</v>
      </c>
      <c r="AM1990">
        <v>0.14233125000000513</v>
      </c>
      <c r="AN1990">
        <f>IF(ABS(MAX(AI1990:AI1996)) &gt; ABS(MIN(AI1990:AI1996)),MAX(AI1990:AI1996), MIN(AI1990:AI1996))</f>
        <v>0.14233125000000513</v>
      </c>
      <c r="AO1990">
        <f>IF(ABS(AN1991)&gt;ABS(AN1990),AN1991,AN1990)</f>
        <v>0.14233125000000513</v>
      </c>
    </row>
    <row r="1991" spans="1:41" x14ac:dyDescent="0.35">
      <c r="A1991" t="s">
        <v>291</v>
      </c>
      <c r="B1991" t="s">
        <v>1111</v>
      </c>
      <c r="C1991" t="s">
        <v>1616</v>
      </c>
      <c r="D1991">
        <v>50</v>
      </c>
      <c r="E1991">
        <v>50</v>
      </c>
      <c r="F1991">
        <v>-0.5</v>
      </c>
      <c r="G1991">
        <v>-0.50027200000000005</v>
      </c>
      <c r="H1991">
        <v>30.189062499999999</v>
      </c>
      <c r="J1991">
        <v>3698</v>
      </c>
      <c r="N1991" t="s">
        <v>201</v>
      </c>
      <c r="O1991">
        <f t="shared" si="90"/>
        <v>29.98912</v>
      </c>
      <c r="P1991">
        <f t="shared" si="91"/>
        <v>0.2499281249999985</v>
      </c>
      <c r="Q1991">
        <f t="shared" si="92"/>
        <v>0.2499281249999985</v>
      </c>
      <c r="Y1991">
        <f>TREND(H1990:H1994,G1990:G1994,G1991)</f>
        <v>30.20646198911351</v>
      </c>
      <c r="Z1991">
        <f>ABS((Y1991-H1991)/80*100)</f>
        <v>2.1749361391889543E-2</v>
      </c>
      <c r="AB1991">
        <f>IF(ABS(T1990) &gt; ABS(V1990),T1990,V1990)</f>
        <v>0.47736249999999814</v>
      </c>
      <c r="AH1991">
        <f>H1991-AG1955</f>
        <v>29.921037500000004</v>
      </c>
      <c r="AI1991">
        <f>100*(AH1991-O1991)/80</f>
        <v>-8.5103124999994506E-2</v>
      </c>
      <c r="AN1991">
        <f>IF(ABS(AK1990) &gt; ABS(AM1990),AK1990,AM1990)</f>
        <v>0.14233125000000513</v>
      </c>
    </row>
    <row r="1992" spans="1:41" x14ac:dyDescent="0.35">
      <c r="A1992" t="s">
        <v>291</v>
      </c>
      <c r="B1992" t="s">
        <v>1111</v>
      </c>
      <c r="C1992" t="s">
        <v>1654</v>
      </c>
      <c r="D1992">
        <v>50</v>
      </c>
      <c r="E1992">
        <v>50</v>
      </c>
      <c r="F1992">
        <v>0</v>
      </c>
      <c r="G1992">
        <v>-3.28E-4</v>
      </c>
      <c r="H1992">
        <v>50.225000000000001</v>
      </c>
      <c r="J1992">
        <v>3724</v>
      </c>
      <c r="N1992" t="s">
        <v>201</v>
      </c>
      <c r="O1992">
        <f t="shared" si="90"/>
        <v>49.986879999999999</v>
      </c>
      <c r="P1992">
        <f t="shared" si="91"/>
        <v>0.29765000000000263</v>
      </c>
      <c r="Q1992">
        <f t="shared" si="92"/>
        <v>0.29765000000000263</v>
      </c>
      <c r="Y1992">
        <f>TREND(H1990:H1994,G1990:G1994,G1992)</f>
        <v>50.244619983450058</v>
      </c>
      <c r="Z1992">
        <f>ABS((Y1992-H1992)/80*100)</f>
        <v>2.4524979312570142E-2</v>
      </c>
      <c r="AH1992">
        <f>H1992-AG1955</f>
        <v>49.956975000000007</v>
      </c>
      <c r="AI1992">
        <f>100*(AH1992-O1992)/80</f>
        <v>-3.7381249999990374E-2</v>
      </c>
    </row>
    <row r="1993" spans="1:41" x14ac:dyDescent="0.35">
      <c r="A1993" t="s">
        <v>291</v>
      </c>
      <c r="B1993" t="s">
        <v>1111</v>
      </c>
      <c r="C1993" t="s">
        <v>1690</v>
      </c>
      <c r="D1993">
        <v>50</v>
      </c>
      <c r="E1993">
        <v>50</v>
      </c>
      <c r="F1993">
        <v>0.5</v>
      </c>
      <c r="G1993">
        <v>0.500197</v>
      </c>
      <c r="H1993">
        <v>70.267187500000006</v>
      </c>
      <c r="J1993">
        <v>3752</v>
      </c>
      <c r="N1993" t="s">
        <v>201</v>
      </c>
      <c r="O1993">
        <f t="shared" ref="O1993:O2056" si="93">(((G1993--1)*(40))+10)</f>
        <v>70.00788</v>
      </c>
      <c r="P1993">
        <f t="shared" ref="P1993:P2056" si="94">100*(H1993-O1993)/80</f>
        <v>0.32413437500000697</v>
      </c>
      <c r="Q1993">
        <f t="shared" ref="Q1993:Q2056" si="95">ABS(P1993)</f>
        <v>0.32413437500000697</v>
      </c>
      <c r="Y1993">
        <f>TREND(H1990:H1994,G1990:G1994,G1993)</f>
        <v>70.306064925514178</v>
      </c>
      <c r="Z1993">
        <f>ABS((Y1993-H1993)/80*100)</f>
        <v>4.8596781892715768E-2</v>
      </c>
      <c r="AH1993">
        <f>H1993-AG1955</f>
        <v>69.999162500000011</v>
      </c>
      <c r="AI1993">
        <f>100*(AH1993-O1993)/80</f>
        <v>-1.0896874999986039E-2</v>
      </c>
    </row>
    <row r="1994" spans="1:41" x14ac:dyDescent="0.35">
      <c r="A1994" t="s">
        <v>291</v>
      </c>
      <c r="B1994" t="s">
        <v>1111</v>
      </c>
      <c r="C1994" t="s">
        <v>1727</v>
      </c>
      <c r="D1994">
        <v>50</v>
      </c>
      <c r="E1994">
        <v>50</v>
      </c>
      <c r="F1994">
        <v>1</v>
      </c>
      <c r="G1994">
        <v>0.99998399999999998</v>
      </c>
      <c r="H1994">
        <v>90.381249999999994</v>
      </c>
      <c r="J1994">
        <v>3763</v>
      </c>
      <c r="N1994" t="s">
        <v>201</v>
      </c>
      <c r="O1994">
        <f t="shared" si="93"/>
        <v>89.999359999999996</v>
      </c>
      <c r="P1994">
        <f t="shared" si="94"/>
        <v>0.47736249999999814</v>
      </c>
      <c r="Q1994">
        <f t="shared" si="95"/>
        <v>0.47736249999999814</v>
      </c>
      <c r="Y1994">
        <f>TREND(H1990:H1994,G1990:G1994,G1994)</f>
        <v>90.337930233459616</v>
      </c>
      <c r="Z1994">
        <f>ABS((Y1994-H1994)/80*100)</f>
        <v>5.4149708175472704E-2</v>
      </c>
      <c r="AH1994">
        <f>H1994-AG1955</f>
        <v>90.113225</v>
      </c>
      <c r="AI1994">
        <f>100*(AH1994-O1994)/80</f>
        <v>0.14233125000000513</v>
      </c>
    </row>
    <row r="1995" spans="1:41" x14ac:dyDescent="0.35">
      <c r="A1995" t="s">
        <v>291</v>
      </c>
      <c r="B1995" t="s">
        <v>1111</v>
      </c>
      <c r="C1995" t="s">
        <v>1764</v>
      </c>
      <c r="D1995">
        <v>50</v>
      </c>
      <c r="E1995">
        <v>50</v>
      </c>
      <c r="F1995">
        <v>0</v>
      </c>
      <c r="G1995">
        <v>9.0000000000000002E-6</v>
      </c>
      <c r="H1995">
        <v>50.217187500000001</v>
      </c>
      <c r="J1995">
        <v>3776</v>
      </c>
      <c r="N1995" t="s">
        <v>201</v>
      </c>
      <c r="O1995">
        <f t="shared" si="93"/>
        <v>50.000360000000001</v>
      </c>
      <c r="P1995">
        <f t="shared" si="94"/>
        <v>0.27103437500000105</v>
      </c>
      <c r="Q1995">
        <f t="shared" si="95"/>
        <v>0.27103437500000105</v>
      </c>
      <c r="Y1995">
        <f>TREND(H1990:H1994,G1990:G1994,G1995)</f>
        <v>50.25812721474815</v>
      </c>
      <c r="Z1995">
        <f>ABS((Y1995-H1995)/80*100)</f>
        <v>5.1174643435185636E-2</v>
      </c>
      <c r="AH1995">
        <f>H1995-AG1955</f>
        <v>49.949162500000007</v>
      </c>
      <c r="AI1995">
        <f>100*(AH1995-O1995)/80</f>
        <v>-6.3996874999991959E-2</v>
      </c>
    </row>
    <row r="1996" spans="1:41" x14ac:dyDescent="0.35">
      <c r="A1996" t="s">
        <v>291</v>
      </c>
      <c r="B1996" t="s">
        <v>1111</v>
      </c>
      <c r="C1996" t="s">
        <v>1800</v>
      </c>
      <c r="D1996">
        <v>50</v>
      </c>
      <c r="E1996">
        <v>50</v>
      </c>
      <c r="F1996">
        <v>-1</v>
      </c>
      <c r="G1996">
        <v>-0.99995999999999996</v>
      </c>
      <c r="H1996">
        <v>10.260937500000001</v>
      </c>
      <c r="J1996">
        <v>3791</v>
      </c>
      <c r="N1996" t="s">
        <v>201</v>
      </c>
      <c r="O1996">
        <f t="shared" si="93"/>
        <v>10.001600000000002</v>
      </c>
      <c r="P1996">
        <f t="shared" si="94"/>
        <v>0.32417187499999889</v>
      </c>
      <c r="Q1996">
        <f t="shared" si="95"/>
        <v>0.32417187499999889</v>
      </c>
      <c r="Y1996">
        <f>TREND(H1990:H1994,G1990:G1994,G1996)</f>
        <v>10.178564680866906</v>
      </c>
      <c r="Z1996">
        <f>ABS((Y1996-H1996)/80*100)</f>
        <v>0.10296602391636878</v>
      </c>
      <c r="AH1996">
        <f>H1996-AG1955</f>
        <v>9.9929125000000063</v>
      </c>
      <c r="AI1996">
        <f>100*(AH1996-O1996)/80</f>
        <v>-1.085937499999412E-2</v>
      </c>
    </row>
    <row r="1997" spans="1:41" x14ac:dyDescent="0.35">
      <c r="A1997" t="s">
        <v>291</v>
      </c>
      <c r="B1997" t="s">
        <v>1111</v>
      </c>
      <c r="C1997" t="s">
        <v>1838</v>
      </c>
      <c r="D1997">
        <v>70</v>
      </c>
      <c r="E1997">
        <v>70</v>
      </c>
      <c r="F1997">
        <v>-1</v>
      </c>
      <c r="G1997">
        <v>-1.000135</v>
      </c>
      <c r="H1997">
        <v>10.0703125</v>
      </c>
      <c r="J1997">
        <v>11852</v>
      </c>
      <c r="N1997" t="s">
        <v>201</v>
      </c>
      <c r="O1997">
        <f t="shared" si="93"/>
        <v>9.9946000000000002</v>
      </c>
      <c r="P1997">
        <f t="shared" si="94"/>
        <v>9.4640624999999812E-2</v>
      </c>
      <c r="Q1997">
        <f t="shared" si="95"/>
        <v>9.4640624999999812E-2</v>
      </c>
      <c r="S1997">
        <v>50.0625</v>
      </c>
      <c r="T1997">
        <v>7.8725000000003931E-2</v>
      </c>
      <c r="U1997">
        <v>90.35</v>
      </c>
      <c r="V1997">
        <v>0.43939999999999202</v>
      </c>
      <c r="W1997">
        <v>80.279685974121094</v>
      </c>
      <c r="X1997">
        <f>(W1997-80)/80*100</f>
        <v>0.34960746765136719</v>
      </c>
      <c r="Y1997">
        <f>TREND(H1997:H2001,G1997:G2001,G1997)</f>
        <v>9.999740310658801</v>
      </c>
      <c r="Z1997">
        <f>ABS((Y1997-H1997)/80*100)</f>
        <v>8.8215236676498776E-2</v>
      </c>
      <c r="AA1997">
        <f>MAX(Z1997:Z2001)</f>
        <v>0.12169491856632852</v>
      </c>
      <c r="AB1997">
        <f>IF(ABS(MAX(P1997:P2003)) &gt; ABS(MIN(P1997:P2003)),MAX(P1997:P2003), MIN(P1997:P2003))</f>
        <v>0.43939999999999202</v>
      </c>
      <c r="AC1997">
        <f>IF(ABS(AB1998)&gt;ABS(AB1997),AB1998,AB1997)</f>
        <v>0.43939999999999202</v>
      </c>
      <c r="AH1997">
        <f>H1997-AG1955</f>
        <v>9.8022875000000056</v>
      </c>
      <c r="AI1997">
        <f>100*(AH1997-O1997)/80</f>
        <v>-0.2403906249999932</v>
      </c>
      <c r="AJ1997">
        <v>49.794475000000006</v>
      </c>
      <c r="AK1997">
        <v>-0.25630624999998908</v>
      </c>
      <c r="AL1997">
        <v>90.081975</v>
      </c>
      <c r="AM1997">
        <v>0.10436874999999901</v>
      </c>
      <c r="AN1997">
        <f>IF(ABS(MAX(AI1997:AI2003)) &gt; ABS(MIN(AI1997:AI2003)),MAX(AI1997:AI2003), MIN(AI1997:AI2003))</f>
        <v>-0.28061562499999138</v>
      </c>
      <c r="AO1997">
        <f>IF(ABS(AN1998)&gt;ABS(AN1997),AN1998,AN1997)</f>
        <v>-0.28061562499999138</v>
      </c>
    </row>
    <row r="1998" spans="1:41" x14ac:dyDescent="0.35">
      <c r="A1998" t="s">
        <v>291</v>
      </c>
      <c r="B1998" t="s">
        <v>1111</v>
      </c>
      <c r="C1998" t="s">
        <v>1875</v>
      </c>
      <c r="D1998">
        <v>70</v>
      </c>
      <c r="E1998">
        <v>70</v>
      </c>
      <c r="F1998">
        <v>-0.5</v>
      </c>
      <c r="G1998">
        <v>-0.50026800000000005</v>
      </c>
      <c r="H1998">
        <v>30.032812499999999</v>
      </c>
      <c r="J1998">
        <v>11866</v>
      </c>
      <c r="N1998" t="s">
        <v>201</v>
      </c>
      <c r="O1998">
        <f t="shared" si="93"/>
        <v>29.989279999999997</v>
      </c>
      <c r="P1998">
        <f t="shared" si="94"/>
        <v>5.4415625000001633E-2</v>
      </c>
      <c r="Q1998">
        <f t="shared" si="95"/>
        <v>5.4415625000001633E-2</v>
      </c>
      <c r="Y1998">
        <f>TREND(H1997:H2001,G1997:G2001,G1998)</f>
        <v>30.071987940919389</v>
      </c>
      <c r="Z1998">
        <f>ABS((Y1998-H1998)/80*100)</f>
        <v>4.8969301149237587E-2</v>
      </c>
      <c r="AB1998">
        <f>IF(ABS(T1997) &gt; ABS(V1997),T1997,V1997)</f>
        <v>0.43939999999999202</v>
      </c>
      <c r="AH1998">
        <f>H1998-AG1955</f>
        <v>29.764787500000004</v>
      </c>
      <c r="AI1998">
        <f>100*(AH1998-O1998)/80</f>
        <v>-0.28061562499999138</v>
      </c>
      <c r="AN1998">
        <f>IF(ABS(AK1997) &gt; ABS(AM1997),AK1997,AM1997)</f>
        <v>-0.25630624999998908</v>
      </c>
    </row>
    <row r="1999" spans="1:41" x14ac:dyDescent="0.35">
      <c r="A1999" t="s">
        <v>291</v>
      </c>
      <c r="B1999" t="s">
        <v>1111</v>
      </c>
      <c r="C1999" t="s">
        <v>1911</v>
      </c>
      <c r="D1999">
        <v>70</v>
      </c>
      <c r="E1999">
        <v>70</v>
      </c>
      <c r="F1999">
        <v>0</v>
      </c>
      <c r="G1999">
        <v>-1.2E-5</v>
      </c>
      <c r="H1999">
        <v>50.0625</v>
      </c>
      <c r="J1999">
        <v>11895</v>
      </c>
      <c r="N1999" t="s">
        <v>201</v>
      </c>
      <c r="O1999">
        <f t="shared" si="93"/>
        <v>49.999519999999997</v>
      </c>
      <c r="P1999">
        <f t="shared" si="94"/>
        <v>7.8725000000003931E-2</v>
      </c>
      <c r="Q1999">
        <f t="shared" si="95"/>
        <v>7.8725000000003931E-2</v>
      </c>
      <c r="Y1999">
        <f>TREND(H1997:H2001,G1997:G2001,G1999)</f>
        <v>50.159855934853063</v>
      </c>
      <c r="Z1999">
        <f>ABS((Y1999-H1999)/80*100)</f>
        <v>0.12169491856632852</v>
      </c>
      <c r="AH1999">
        <f>H1999-AG1955</f>
        <v>49.794475000000006</v>
      </c>
      <c r="AI1999">
        <f>100*(AH1999-O1999)/80</f>
        <v>-0.25630624999998908</v>
      </c>
    </row>
    <row r="2000" spans="1:41" x14ac:dyDescent="0.35">
      <c r="A2000" t="s">
        <v>291</v>
      </c>
      <c r="B2000" t="s">
        <v>1111</v>
      </c>
      <c r="C2000" t="s">
        <v>1947</v>
      </c>
      <c r="D2000">
        <v>70</v>
      </c>
      <c r="E2000">
        <v>70</v>
      </c>
      <c r="F2000">
        <v>0.5</v>
      </c>
      <c r="G2000">
        <v>0.499944</v>
      </c>
      <c r="H2000">
        <v>70.265625</v>
      </c>
      <c r="J2000">
        <v>11908</v>
      </c>
      <c r="N2000" t="s">
        <v>201</v>
      </c>
      <c r="O2000">
        <f t="shared" si="93"/>
        <v>69.99776</v>
      </c>
      <c r="P2000">
        <f t="shared" si="94"/>
        <v>0.33483125000000058</v>
      </c>
      <c r="Q2000">
        <f t="shared" si="95"/>
        <v>0.33483125000000058</v>
      </c>
      <c r="Y2000">
        <f>TREND(H1997:H2001,G1997:G2001,G2000)</f>
        <v>70.235677375825489</v>
      </c>
      <c r="Z2000">
        <f>ABS((Y2000-H2000)/80*100)</f>
        <v>3.7434530218138917E-2</v>
      </c>
      <c r="AH2000">
        <f>H2000-AG1955</f>
        <v>69.997600000000006</v>
      </c>
      <c r="AI2000">
        <f>100*(AH2000-O2000)/80</f>
        <v>-1.9999999999242846E-4</v>
      </c>
    </row>
    <row r="2001" spans="1:41" x14ac:dyDescent="0.35">
      <c r="A2001" t="s">
        <v>291</v>
      </c>
      <c r="B2001" t="s">
        <v>1111</v>
      </c>
      <c r="C2001" t="s">
        <v>1984</v>
      </c>
      <c r="D2001">
        <v>70</v>
      </c>
      <c r="E2001">
        <v>70</v>
      </c>
      <c r="F2001">
        <v>1</v>
      </c>
      <c r="G2001">
        <v>0.99996200000000002</v>
      </c>
      <c r="H2001">
        <v>90.35</v>
      </c>
      <c r="J2001">
        <v>11932</v>
      </c>
      <c r="N2001" t="s">
        <v>201</v>
      </c>
      <c r="O2001">
        <f t="shared" si="93"/>
        <v>89.998480000000001</v>
      </c>
      <c r="P2001">
        <f t="shared" si="94"/>
        <v>0.43939999999999202</v>
      </c>
      <c r="Q2001">
        <f t="shared" si="95"/>
        <v>0.43939999999999202</v>
      </c>
      <c r="Y2001">
        <f>TREND(H1997:H2001,G1997:G2001,G2001)</f>
        <v>90.313988437743234</v>
      </c>
      <c r="Z2001">
        <f>ABS((Y2001-H2001)/80*100)</f>
        <v>4.5014452820950623E-2</v>
      </c>
      <c r="AH2001">
        <f>H2001-AG1955</f>
        <v>90.081975</v>
      </c>
      <c r="AI2001">
        <f>100*(AH2001-O2001)/80</f>
        <v>0.10436874999999901</v>
      </c>
    </row>
    <row r="2002" spans="1:41" x14ac:dyDescent="0.35">
      <c r="A2002" t="s">
        <v>291</v>
      </c>
      <c r="B2002" t="s">
        <v>1111</v>
      </c>
      <c r="C2002" t="s">
        <v>2020</v>
      </c>
      <c r="D2002">
        <v>70</v>
      </c>
      <c r="E2002">
        <v>70</v>
      </c>
      <c r="F2002">
        <v>0</v>
      </c>
      <c r="G2002">
        <v>-9.7999999999999997E-5</v>
      </c>
      <c r="H2002">
        <v>50.118749999999999</v>
      </c>
      <c r="J2002">
        <v>11945</v>
      </c>
      <c r="N2002" t="s">
        <v>201</v>
      </c>
      <c r="O2002">
        <f t="shared" si="93"/>
        <v>49.996079999999999</v>
      </c>
      <c r="P2002">
        <f t="shared" si="94"/>
        <v>0.15333749999999924</v>
      </c>
      <c r="Q2002">
        <f t="shared" si="95"/>
        <v>0.15333749999999924</v>
      </c>
      <c r="Y2002">
        <f>TREND(H1997:H2001,G1997:G2001,G2002)</f>
        <v>50.15640258967084</v>
      </c>
      <c r="Z2002">
        <f>ABS((Y2002-H2002)/80*100)</f>
        <v>4.7065737088551884E-2</v>
      </c>
      <c r="AH2002">
        <f>H2002-AG1955</f>
        <v>49.850725000000004</v>
      </c>
      <c r="AI2002">
        <f>100*(AH2002-O2002)/80</f>
        <v>-0.18169374999999377</v>
      </c>
    </row>
    <row r="2003" spans="1:41" x14ac:dyDescent="0.35">
      <c r="A2003" t="s">
        <v>291</v>
      </c>
      <c r="B2003" t="s">
        <v>1111</v>
      </c>
      <c r="C2003" t="s">
        <v>2057</v>
      </c>
      <c r="D2003">
        <v>70</v>
      </c>
      <c r="E2003">
        <v>70</v>
      </c>
      <c r="F2003">
        <v>-1</v>
      </c>
      <c r="G2003">
        <v>-1.00014</v>
      </c>
      <c r="H2003">
        <v>10.050000000000001</v>
      </c>
      <c r="J2003">
        <v>11953</v>
      </c>
      <c r="N2003" t="s">
        <v>201</v>
      </c>
      <c r="O2003">
        <f t="shared" si="93"/>
        <v>9.9943999999999988</v>
      </c>
      <c r="P2003">
        <f t="shared" si="94"/>
        <v>6.9500000000002338E-2</v>
      </c>
      <c r="Q2003">
        <f t="shared" si="95"/>
        <v>6.9500000000002338E-2</v>
      </c>
      <c r="Y2003">
        <f>TREND(H1997:H2001,G1997:G2001,G2003)</f>
        <v>9.9995395347761118</v>
      </c>
      <c r="Z2003">
        <f>ABS((Y2003-H2003)/80*100)</f>
        <v>6.3075581529861147E-2</v>
      </c>
      <c r="AH2003">
        <f>H2003-AG1955</f>
        <v>9.7819750000000063</v>
      </c>
      <c r="AI2003">
        <f>100*(AH2003-O2003)/80</f>
        <v>-0.26553124999999067</v>
      </c>
    </row>
    <row r="2004" spans="1:41" x14ac:dyDescent="0.35">
      <c r="A2004" t="s">
        <v>291</v>
      </c>
      <c r="B2004" t="s">
        <v>1111</v>
      </c>
      <c r="C2004" t="s">
        <v>2093</v>
      </c>
      <c r="D2004">
        <v>85</v>
      </c>
      <c r="E2004">
        <v>85</v>
      </c>
      <c r="F2004">
        <v>-1</v>
      </c>
      <c r="G2004">
        <v>-1.0001359999999999</v>
      </c>
      <c r="H2004">
        <v>10.026562500000001</v>
      </c>
      <c r="J2004">
        <v>17989</v>
      </c>
      <c r="N2004" t="s">
        <v>201</v>
      </c>
      <c r="O2004">
        <f t="shared" si="93"/>
        <v>9.9945600000000034</v>
      </c>
      <c r="P2004">
        <f t="shared" si="94"/>
        <v>4.0003124999996587E-2</v>
      </c>
      <c r="Q2004">
        <f t="shared" si="95"/>
        <v>4.0003124999996587E-2</v>
      </c>
      <c r="S2004">
        <v>50.095312499999999</v>
      </c>
      <c r="T2004">
        <v>0.12469062500000128</v>
      </c>
      <c r="U2004">
        <v>90.421875</v>
      </c>
      <c r="V2004">
        <v>0.52129374999999811</v>
      </c>
      <c r="W2004">
        <v>80.395312500000003</v>
      </c>
      <c r="X2004">
        <f>(W2004-80)/80*100</f>
        <v>0.4941406250000035</v>
      </c>
      <c r="Y2004">
        <f>TREND(H2004:H2008,G2004:G2008,G2004)</f>
        <v>9.9466115227328515</v>
      </c>
      <c r="Z2004">
        <f>ABS((Y2004-H2004)/80*100)</f>
        <v>9.9938721583936463E-2</v>
      </c>
      <c r="AA2004">
        <f>MAX(Z2004:Z2008)</f>
        <v>9.9938721583936463E-2</v>
      </c>
      <c r="AB2004">
        <f>IF(ABS(MAX(P2004:P2010)) &gt; ABS(MIN(P2004:P2010)),MAX(P2004:P2010), MIN(P2004:P2010))</f>
        <v>0.52129374999999811</v>
      </c>
      <c r="AC2004">
        <f>IF(ABS(AB2005)&gt;ABS(AB2004),AB2005,AB2004)</f>
        <v>0.52129374999999811</v>
      </c>
      <c r="AH2004">
        <f>H2004-AG1955</f>
        <v>9.7585375000000063</v>
      </c>
      <c r="AI2004">
        <f>100*(AH2004-O2004)/80</f>
        <v>-0.29502812499999642</v>
      </c>
      <c r="AJ2004">
        <v>49.827287500000004</v>
      </c>
      <c r="AK2004">
        <v>-0.21034062499999173</v>
      </c>
      <c r="AL2004">
        <v>90.153850000000006</v>
      </c>
      <c r="AM2004">
        <v>0.1862625000000051</v>
      </c>
      <c r="AN2004">
        <f>IF(ABS(MAX(AI2004:AI2010)) &gt; ABS(MIN(AI2004:AI2010)),MAX(AI2004:AI2010), MIN(AI2004:AI2010))</f>
        <v>-0.34662187499999053</v>
      </c>
      <c r="AO2004">
        <f>IF(ABS(AN2005)&gt;ABS(AN2004),AN2005,AN2004)</f>
        <v>-0.34662187499999053</v>
      </c>
    </row>
    <row r="2005" spans="1:41" x14ac:dyDescent="0.35">
      <c r="A2005" t="s">
        <v>291</v>
      </c>
      <c r="B2005" t="s">
        <v>1111</v>
      </c>
      <c r="C2005" t="s">
        <v>2129</v>
      </c>
      <c r="D2005">
        <v>85</v>
      </c>
      <c r="E2005">
        <v>85</v>
      </c>
      <c r="F2005">
        <v>-0.5</v>
      </c>
      <c r="G2005">
        <v>-0.50027600000000005</v>
      </c>
      <c r="H2005">
        <v>29.979687500000001</v>
      </c>
      <c r="J2005">
        <v>18002</v>
      </c>
      <c r="N2005" t="s">
        <v>201</v>
      </c>
      <c r="O2005">
        <f t="shared" si="93"/>
        <v>29.988959999999999</v>
      </c>
      <c r="P2005">
        <f t="shared" si="94"/>
        <v>-1.1590624999997523E-2</v>
      </c>
      <c r="Q2005">
        <f t="shared" si="95"/>
        <v>1.1590624999997523E-2</v>
      </c>
      <c r="Y2005">
        <f>TREND(H2004:H2008,G2004:G2008,G2005)</f>
        <v>30.04897543437173</v>
      </c>
      <c r="Z2005">
        <f>ABS((Y2005-H2005)/80*100)</f>
        <v>8.6609917964661776E-2</v>
      </c>
      <c r="AB2005">
        <f>IF(ABS(T2004) &gt; ABS(V2004),T2004,V2004)</f>
        <v>0.52129374999999811</v>
      </c>
      <c r="AH2005">
        <f>H2005-AG1955</f>
        <v>29.711662500000006</v>
      </c>
      <c r="AI2005">
        <f>100*(AH2005-O2005)/80</f>
        <v>-0.34662187499999053</v>
      </c>
      <c r="AN2005">
        <f>IF(ABS(AK2004) &gt; ABS(AM2004),AK2004,AM2004)</f>
        <v>-0.21034062499999173</v>
      </c>
    </row>
    <row r="2006" spans="1:41" x14ac:dyDescent="0.35">
      <c r="A2006" t="s">
        <v>291</v>
      </c>
      <c r="B2006" t="s">
        <v>1111</v>
      </c>
      <c r="C2006" t="s">
        <v>2165</v>
      </c>
      <c r="D2006">
        <v>85</v>
      </c>
      <c r="E2006">
        <v>85</v>
      </c>
      <c r="F2006">
        <v>0</v>
      </c>
      <c r="G2006">
        <v>-1.11E-4</v>
      </c>
      <c r="H2006">
        <v>50.095312499999999</v>
      </c>
      <c r="J2006">
        <v>18028</v>
      </c>
      <c r="N2006" t="s">
        <v>201</v>
      </c>
      <c r="O2006">
        <f t="shared" si="93"/>
        <v>49.995559999999998</v>
      </c>
      <c r="P2006">
        <f t="shared" si="94"/>
        <v>0.12469062500000128</v>
      </c>
      <c r="Q2006">
        <f t="shared" si="95"/>
        <v>0.12469062500000128</v>
      </c>
      <c r="Y2006">
        <f>TREND(H2004:H2008,G2004:G2008,G2006)</f>
        <v>50.163605222442115</v>
      </c>
      <c r="Z2006">
        <f>ABS((Y2006-H2006)/80*100)</f>
        <v>8.5365903052645464E-2</v>
      </c>
      <c r="AH2006">
        <f>H2006-AG1955</f>
        <v>49.827287500000004</v>
      </c>
      <c r="AI2006">
        <f>100*(AH2006-O2006)/80</f>
        <v>-0.21034062499999173</v>
      </c>
    </row>
    <row r="2007" spans="1:41" x14ac:dyDescent="0.35">
      <c r="A2007" t="s">
        <v>291</v>
      </c>
      <c r="B2007" t="s">
        <v>1111</v>
      </c>
      <c r="C2007" t="s">
        <v>2203</v>
      </c>
      <c r="D2007">
        <v>85</v>
      </c>
      <c r="E2007">
        <v>85</v>
      </c>
      <c r="F2007">
        <v>0.5</v>
      </c>
      <c r="G2007">
        <v>0.499865</v>
      </c>
      <c r="H2007">
        <v>70.295312499999994</v>
      </c>
      <c r="J2007">
        <v>18039</v>
      </c>
      <c r="N2007" t="s">
        <v>201</v>
      </c>
      <c r="O2007">
        <f t="shared" si="93"/>
        <v>69.994599999999991</v>
      </c>
      <c r="P2007">
        <f t="shared" si="94"/>
        <v>0.37589062500000381</v>
      </c>
      <c r="Q2007">
        <f t="shared" si="95"/>
        <v>0.37589062500000381</v>
      </c>
      <c r="Y2007">
        <f>TREND(H2004:H2008,G2004:G2008,G2007)</f>
        <v>70.270634188723804</v>
      </c>
      <c r="Z2007">
        <f>ABS((Y2007-H2007)/80*100)</f>
        <v>3.0847889095237946E-2</v>
      </c>
      <c r="AH2007">
        <f>H2007-AG1955</f>
        <v>70.0272875</v>
      </c>
      <c r="AI2007">
        <f>100*(AH2007-O2007)/80</f>
        <v>4.08593750000108E-2</v>
      </c>
    </row>
    <row r="2008" spans="1:41" x14ac:dyDescent="0.35">
      <c r="A2008" t="s">
        <v>291</v>
      </c>
      <c r="B2008" t="s">
        <v>1111</v>
      </c>
      <c r="C2008" t="s">
        <v>2239</v>
      </c>
      <c r="D2008">
        <v>85</v>
      </c>
      <c r="E2008">
        <v>85</v>
      </c>
      <c r="F2008">
        <v>1</v>
      </c>
      <c r="G2008">
        <v>1.000121</v>
      </c>
      <c r="H2008">
        <v>90.421875</v>
      </c>
      <c r="J2008">
        <v>18054</v>
      </c>
      <c r="N2008" t="s">
        <v>201</v>
      </c>
      <c r="O2008">
        <f t="shared" si="93"/>
        <v>90.004840000000002</v>
      </c>
      <c r="P2008">
        <f t="shared" si="94"/>
        <v>0.52129374999999811</v>
      </c>
      <c r="Q2008">
        <f t="shared" si="95"/>
        <v>0.52129374999999811</v>
      </c>
      <c r="Y2008">
        <f>TREND(H2004:H2008,G2004:G2008,G2008)</f>
        <v>90.388923631729483</v>
      </c>
      <c r="Z2008">
        <f>ABS((Y2008-H2008)/80*100)</f>
        <v>4.1189210338146154E-2</v>
      </c>
      <c r="AH2008">
        <f>H2008-AG1955</f>
        <v>90.153850000000006</v>
      </c>
      <c r="AI2008">
        <f>100*(AH2008-O2008)/80</f>
        <v>0.1862625000000051</v>
      </c>
    </row>
    <row r="2009" spans="1:41" x14ac:dyDescent="0.35">
      <c r="A2009" t="s">
        <v>291</v>
      </c>
      <c r="B2009" t="s">
        <v>1111</v>
      </c>
      <c r="C2009" t="s">
        <v>2275</v>
      </c>
      <c r="D2009">
        <v>85</v>
      </c>
      <c r="E2009">
        <v>85</v>
      </c>
      <c r="F2009">
        <v>0</v>
      </c>
      <c r="G2009">
        <v>-1.1E-5</v>
      </c>
      <c r="H2009">
        <v>50.104687499999997</v>
      </c>
      <c r="J2009">
        <v>18067</v>
      </c>
      <c r="N2009" t="s">
        <v>201</v>
      </c>
      <c r="O2009">
        <f t="shared" si="93"/>
        <v>49.999560000000002</v>
      </c>
      <c r="P2009">
        <f t="shared" si="94"/>
        <v>0.13140937499999339</v>
      </c>
      <c r="Q2009">
        <f t="shared" si="95"/>
        <v>0.13140937499999339</v>
      </c>
      <c r="Y2009">
        <f>TREND(H2004:H2008,G2004:G2008,G2009)</f>
        <v>50.167626821272115</v>
      </c>
      <c r="Z2009">
        <f>ABS((Y2009-H2009)/80*100)</f>
        <v>7.86741515901479E-2</v>
      </c>
      <c r="AH2009">
        <f>H2009-AG1955</f>
        <v>49.836662500000003</v>
      </c>
      <c r="AI2009">
        <f>100*(AH2009-O2009)/80</f>
        <v>-0.20362187499999962</v>
      </c>
    </row>
    <row r="2010" spans="1:41" x14ac:dyDescent="0.35">
      <c r="A2010" t="s">
        <v>291</v>
      </c>
      <c r="B2010" t="s">
        <v>1111</v>
      </c>
      <c r="C2010" t="s">
        <v>2312</v>
      </c>
      <c r="D2010">
        <v>85</v>
      </c>
      <c r="E2010">
        <v>85</v>
      </c>
      <c r="F2010">
        <v>-1</v>
      </c>
      <c r="G2010">
        <v>-0.99995699999999998</v>
      </c>
      <c r="H2010">
        <v>9.9937500000000004</v>
      </c>
      <c r="J2010">
        <v>18078</v>
      </c>
      <c r="N2010" t="s">
        <v>201</v>
      </c>
      <c r="O2010">
        <f t="shared" si="93"/>
        <v>10.001720000000001</v>
      </c>
      <c r="P2010">
        <f t="shared" si="94"/>
        <v>-9.9625000000003183E-3</v>
      </c>
      <c r="Q2010">
        <f t="shared" si="95"/>
        <v>9.9625000000003183E-3</v>
      </c>
      <c r="Y2010">
        <f>TREND(H2004:H2008,G2004:G2008,G2010)</f>
        <v>9.9538101846385487</v>
      </c>
      <c r="Z2010">
        <f>ABS((Y2010-H2010)/80*100)</f>
        <v>4.9924769201814545E-2</v>
      </c>
      <c r="AH2010">
        <f>H2010-AG1955</f>
        <v>9.7257250000000059</v>
      </c>
      <c r="AI2010">
        <f>100*(AH2010-O2010)/80</f>
        <v>-0.34499374999999333</v>
      </c>
    </row>
    <row r="2011" spans="1:41" x14ac:dyDescent="0.35">
      <c r="A2011" t="s">
        <v>291</v>
      </c>
      <c r="B2011" t="s">
        <v>1111</v>
      </c>
      <c r="C2011" t="s">
        <v>2350</v>
      </c>
      <c r="D2011">
        <v>25</v>
      </c>
      <c r="E2011">
        <v>25</v>
      </c>
      <c r="F2011">
        <v>-1</v>
      </c>
      <c r="G2011">
        <v>-1.0002219999999999</v>
      </c>
      <c r="H2011">
        <v>10.106249999999999</v>
      </c>
      <c r="J2011">
        <v>-5771</v>
      </c>
      <c r="N2011" t="s">
        <v>201</v>
      </c>
      <c r="O2011">
        <f t="shared" si="93"/>
        <v>9.9911200000000022</v>
      </c>
      <c r="P2011">
        <f t="shared" si="94"/>
        <v>0.14391249999999634</v>
      </c>
      <c r="Q2011">
        <f t="shared" si="95"/>
        <v>0.14391249999999634</v>
      </c>
      <c r="S2011">
        <v>50.157812499999999</v>
      </c>
      <c r="T2011">
        <v>0.19616562500000434</v>
      </c>
      <c r="U2011">
        <v>90.268749999999997</v>
      </c>
      <c r="V2011">
        <v>0.33993750000000489</v>
      </c>
      <c r="W2011">
        <v>80.16250305175781</v>
      </c>
      <c r="X2011">
        <f>(W2011-80)/80*100</f>
        <v>0.20312881469726207</v>
      </c>
      <c r="Y2011">
        <f>TREND(H2011:H2015,G2011:G2015,G2011)</f>
        <v>10.062203862469254</v>
      </c>
      <c r="Z2011">
        <f>ABS((Y2011-H2011)/80*100)</f>
        <v>5.5057671913432145E-2</v>
      </c>
      <c r="AA2011">
        <f>MAX(Z2011:Z2015)</f>
        <v>7.5319195779584014E-2</v>
      </c>
      <c r="AB2011">
        <f>IF(ABS(MAX(P2011:P2017)) &gt; ABS(MIN(P2011:P2017)),MAX(P2011:P2017), MIN(P2011:P2017))</f>
        <v>0.33993750000000489</v>
      </c>
      <c r="AC2011">
        <f>IF(ABS(AB2012)&gt;ABS(AB2011),AB2012,AB2011)</f>
        <v>0.33993750000000489</v>
      </c>
      <c r="AH2011">
        <f>H2011-AG1955</f>
        <v>9.8382250000000049</v>
      </c>
      <c r="AI2011">
        <f>100*(AH2011-O2011)/80</f>
        <v>-0.19111874999999667</v>
      </c>
      <c r="AJ2011">
        <v>49.889787500000004</v>
      </c>
      <c r="AK2011">
        <v>-0.13886562499998867</v>
      </c>
      <c r="AL2011">
        <v>90.000725000000003</v>
      </c>
      <c r="AM2011">
        <v>4.9062500000118803E-3</v>
      </c>
      <c r="AN2011">
        <f>IF(ABS(MAX(AI2011:AI2017)) &gt; ABS(MIN(AI2011:AI2017)),MAX(AI2011:AI2017), MIN(AI2011:AI2017))</f>
        <v>-0.25684374999999093</v>
      </c>
      <c r="AO2011">
        <f>IF(ABS(AN2012)&gt;ABS(AN2011),AN2012,AN2011)</f>
        <v>-0.25684374999999093</v>
      </c>
    </row>
    <row r="2012" spans="1:41" x14ac:dyDescent="0.35">
      <c r="A2012" t="s">
        <v>291</v>
      </c>
      <c r="B2012" t="s">
        <v>1111</v>
      </c>
      <c r="C2012" t="s">
        <v>2386</v>
      </c>
      <c r="D2012">
        <v>25</v>
      </c>
      <c r="E2012">
        <v>25</v>
      </c>
      <c r="F2012">
        <v>-0.5</v>
      </c>
      <c r="G2012">
        <v>-0.49984499999999998</v>
      </c>
      <c r="H2012">
        <v>30.068750000000001</v>
      </c>
      <c r="J2012">
        <v>-5791</v>
      </c>
      <c r="N2012" t="s">
        <v>201</v>
      </c>
      <c r="O2012">
        <f t="shared" si="93"/>
        <v>30.0062</v>
      </c>
      <c r="P2012">
        <f t="shared" si="94"/>
        <v>7.8187500000002075E-2</v>
      </c>
      <c r="Q2012">
        <f t="shared" si="95"/>
        <v>7.8187500000002075E-2</v>
      </c>
      <c r="Y2012">
        <f>TREND(H2011:H2015,G2011:G2015,G2012)</f>
        <v>30.129005356623669</v>
      </c>
      <c r="Z2012">
        <f>ABS((Y2012-H2012)/80*100)</f>
        <v>7.5319195779584014E-2</v>
      </c>
      <c r="AB2012">
        <f>IF(ABS(T2011) &gt; ABS(V2011),T2011,V2011)</f>
        <v>0.33993750000000489</v>
      </c>
      <c r="AH2012">
        <f>H2012-AG1955</f>
        <v>29.800725000000007</v>
      </c>
      <c r="AI2012">
        <f>100*(AH2012-O2012)/80</f>
        <v>-0.25684374999999093</v>
      </c>
      <c r="AN2012">
        <f>IF(ABS(AK2011) &gt; ABS(AM2011),AK2011,AM2011)</f>
        <v>-0.13886562499998867</v>
      </c>
    </row>
    <row r="2013" spans="1:41" x14ac:dyDescent="0.35">
      <c r="A2013" t="s">
        <v>291</v>
      </c>
      <c r="B2013" t="s">
        <v>1111</v>
      </c>
      <c r="C2013" t="s">
        <v>2422</v>
      </c>
      <c r="D2013">
        <v>25</v>
      </c>
      <c r="E2013">
        <v>25</v>
      </c>
      <c r="F2013">
        <v>0</v>
      </c>
      <c r="G2013">
        <v>2.1999999999999999E-5</v>
      </c>
      <c r="H2013">
        <v>50.157812499999999</v>
      </c>
      <c r="J2013">
        <v>-5819</v>
      </c>
      <c r="N2013" t="s">
        <v>201</v>
      </c>
      <c r="O2013">
        <f t="shared" si="93"/>
        <v>50.000879999999995</v>
      </c>
      <c r="P2013">
        <f t="shared" si="94"/>
        <v>0.19616562500000434</v>
      </c>
      <c r="Q2013">
        <f t="shared" si="95"/>
        <v>0.19616562500000434</v>
      </c>
      <c r="Y2013">
        <f>TREND(H2011:H2015,G2011:G2015,G2013)</f>
        <v>50.175354134602038</v>
      </c>
      <c r="Z2013">
        <f>ABS((Y2013-H2013)/80*100)</f>
        <v>2.1927043252549794E-2</v>
      </c>
      <c r="AH2013">
        <f>H2013-AG1955</f>
        <v>49.889787500000004</v>
      </c>
      <c r="AI2013">
        <f>100*(AH2013-O2013)/80</f>
        <v>-0.13886562499998867</v>
      </c>
    </row>
    <row r="2014" spans="1:41" x14ac:dyDescent="0.35">
      <c r="A2014" t="s">
        <v>291</v>
      </c>
      <c r="B2014" t="s">
        <v>1111</v>
      </c>
      <c r="C2014" t="s">
        <v>2459</v>
      </c>
      <c r="D2014">
        <v>25</v>
      </c>
      <c r="E2014">
        <v>25</v>
      </c>
      <c r="F2014">
        <v>0.5</v>
      </c>
      <c r="G2014">
        <v>0.50003500000000001</v>
      </c>
      <c r="H2014">
        <v>70.267187500000006</v>
      </c>
      <c r="J2014">
        <v>-5851</v>
      </c>
      <c r="N2014" t="s">
        <v>201</v>
      </c>
      <c r="O2014">
        <f t="shared" si="93"/>
        <v>70.001400000000004</v>
      </c>
      <c r="P2014">
        <f t="shared" si="94"/>
        <v>0.3322343750000023</v>
      </c>
      <c r="Q2014">
        <f t="shared" si="95"/>
        <v>0.3322343750000023</v>
      </c>
      <c r="Y2014">
        <f>TREND(H2011:H2015,G2011:G2015,G2014)</f>
        <v>70.227558003877874</v>
      </c>
      <c r="Z2014">
        <f>ABS((Y2014-H2014)/80*100)</f>
        <v>4.9536870152664392E-2</v>
      </c>
      <c r="AH2014">
        <f>H2014-AG1955</f>
        <v>69.999162500000011</v>
      </c>
      <c r="AI2014">
        <f>100*(AH2014-O2014)/80</f>
        <v>-2.7968749999907061E-3</v>
      </c>
    </row>
    <row r="2015" spans="1:41" x14ac:dyDescent="0.35">
      <c r="A2015" t="s">
        <v>291</v>
      </c>
      <c r="B2015" t="s">
        <v>1111</v>
      </c>
      <c r="C2015" t="s">
        <v>2496</v>
      </c>
      <c r="D2015">
        <v>25</v>
      </c>
      <c r="E2015">
        <v>24.9</v>
      </c>
      <c r="F2015">
        <v>1</v>
      </c>
      <c r="G2015">
        <v>0.99992000000000003</v>
      </c>
      <c r="H2015">
        <v>90.268749999999997</v>
      </c>
      <c r="J2015">
        <v>-5875</v>
      </c>
      <c r="N2015" t="s">
        <v>201</v>
      </c>
      <c r="O2015">
        <f t="shared" si="93"/>
        <v>89.996799999999993</v>
      </c>
      <c r="P2015">
        <f t="shared" si="94"/>
        <v>0.33993750000000489</v>
      </c>
      <c r="Q2015">
        <f t="shared" si="95"/>
        <v>0.33993750000000489</v>
      </c>
      <c r="Y2015">
        <f>TREND(H2011:H2015,G2011:G2015,G2015)</f>
        <v>90.27462864242716</v>
      </c>
      <c r="Z2015">
        <f>ABS((Y2015-H2015)/80*100)</f>
        <v>7.3483030339538402E-3</v>
      </c>
      <c r="AH2015">
        <f>H2015-AG1955</f>
        <v>90.000725000000003</v>
      </c>
      <c r="AI2015">
        <f>100*(AH2015-O2015)/80</f>
        <v>4.9062500000118803E-3</v>
      </c>
    </row>
    <row r="2016" spans="1:41" x14ac:dyDescent="0.35">
      <c r="A2016" t="s">
        <v>291</v>
      </c>
      <c r="B2016" t="s">
        <v>1111</v>
      </c>
      <c r="C2016" t="s">
        <v>2533</v>
      </c>
      <c r="D2016">
        <v>25</v>
      </c>
      <c r="E2016">
        <v>25</v>
      </c>
      <c r="F2016">
        <v>0</v>
      </c>
      <c r="G2016">
        <v>-1.25E-4</v>
      </c>
      <c r="H2016">
        <v>50.131250000000001</v>
      </c>
      <c r="J2016">
        <v>-5901</v>
      </c>
      <c r="N2016" t="s">
        <v>201</v>
      </c>
      <c r="O2016">
        <f t="shared" si="93"/>
        <v>49.994999999999997</v>
      </c>
      <c r="P2016">
        <f t="shared" si="94"/>
        <v>0.17031250000000497</v>
      </c>
      <c r="Q2016">
        <f t="shared" si="95"/>
        <v>0.17031250000000497</v>
      </c>
      <c r="Y2016">
        <f>TREND(H2011:H2015,G2011:G2015,G2016)</f>
        <v>50.169458939939538</v>
      </c>
      <c r="Z2016">
        <f>ABS((Y2016-H2016)/80*100)</f>
        <v>4.7761174924421113E-2</v>
      </c>
      <c r="AH2016">
        <f>H2016-AG1955</f>
        <v>49.863225000000007</v>
      </c>
      <c r="AI2016">
        <f>100*(AH2016-O2016)/80</f>
        <v>-0.16471874999998803</v>
      </c>
    </row>
    <row r="2017" spans="1:41" x14ac:dyDescent="0.35">
      <c r="A2017" t="s">
        <v>291</v>
      </c>
      <c r="B2017" t="s">
        <v>1111</v>
      </c>
      <c r="C2017" t="s">
        <v>2568</v>
      </c>
      <c r="D2017">
        <v>25</v>
      </c>
      <c r="E2017">
        <v>25</v>
      </c>
      <c r="F2017">
        <v>-1</v>
      </c>
      <c r="G2017">
        <v>-1.0000990000000001</v>
      </c>
      <c r="H2017">
        <v>10.114062499999999</v>
      </c>
      <c r="J2017">
        <v>-5923</v>
      </c>
      <c r="N2017" t="s">
        <v>201</v>
      </c>
      <c r="O2017">
        <f t="shared" si="93"/>
        <v>9.9960399999999971</v>
      </c>
      <c r="P2017">
        <f t="shared" si="94"/>
        <v>0.14752812500000267</v>
      </c>
      <c r="Q2017">
        <f t="shared" si="95"/>
        <v>0.14752812500000267</v>
      </c>
      <c r="Y2017">
        <f>TREND(H2011:H2015,G2011:G2015,G2017)</f>
        <v>10.06713657637053</v>
      </c>
      <c r="Z2017">
        <f>ABS((Y2017-H2017)/80*100)</f>
        <v>5.8657404536837106E-2</v>
      </c>
      <c r="AH2017">
        <f>H2017-AG1955</f>
        <v>9.8460375000000049</v>
      </c>
      <c r="AI2017">
        <f>100*(AH2017-O2017)/80</f>
        <v>-0.18750312499999033</v>
      </c>
    </row>
    <row r="2018" spans="1:41" x14ac:dyDescent="0.35">
      <c r="A2018" t="s">
        <v>293</v>
      </c>
      <c r="B2018" t="s">
        <v>231</v>
      </c>
      <c r="C2018" t="s">
        <v>294</v>
      </c>
      <c r="D2018">
        <v>25</v>
      </c>
      <c r="E2018">
        <v>25</v>
      </c>
      <c r="F2018">
        <v>-1</v>
      </c>
      <c r="G2018">
        <v>-0.99999700000000002</v>
      </c>
      <c r="H2018">
        <v>9.3937500000000007</v>
      </c>
      <c r="J2018">
        <v>-6205</v>
      </c>
      <c r="N2018" t="s">
        <v>202</v>
      </c>
      <c r="O2018">
        <f t="shared" si="93"/>
        <v>10.000119999999999</v>
      </c>
      <c r="P2018">
        <f t="shared" si="94"/>
        <v>-0.75796249999999787</v>
      </c>
      <c r="Q2018">
        <f t="shared" si="95"/>
        <v>0.75796249999999787</v>
      </c>
      <c r="S2018">
        <v>49.410937500000003</v>
      </c>
      <c r="T2018">
        <v>-0.73522812500000256</v>
      </c>
      <c r="U2018">
        <v>89.443749999999994</v>
      </c>
      <c r="V2018">
        <v>-0.68961250000000973</v>
      </c>
      <c r="W2018">
        <v>80.049998474121097</v>
      </c>
      <c r="X2018">
        <f>(W2018-80)/80*100</f>
        <v>6.2498092651370733E-2</v>
      </c>
      <c r="Y2018">
        <f>TREND(H2018:H2022,G2018:G2022,G2018)</f>
        <v>9.3584036500554504</v>
      </c>
      <c r="Z2018">
        <f>ABS((Y2018-H2018)/80*100)</f>
        <v>4.4182937430687907E-2</v>
      </c>
      <c r="AA2018">
        <f>MAX(Z2018:Z2022)</f>
        <v>0.10016414134879525</v>
      </c>
      <c r="AB2018">
        <f>IF(ABS(MAX(P2018:P2024)) &gt; ABS(MIN(P2018:P2024)),MAX(P2018:P2024), MIN(P2018:P2024))</f>
        <v>-0.88537500000000158</v>
      </c>
      <c r="AC2018">
        <f>IF(ABS(AB2019)&gt;ABS(AB2018),AB2019,AB2018)</f>
        <v>-0.88537500000000158</v>
      </c>
      <c r="AD2018">
        <f>MAX(AD2019:AD2020)</f>
        <v>0.15014687499999901</v>
      </c>
      <c r="AE2018">
        <f>MAX(AE2019:AE2039)</f>
        <v>2.0806343749999989</v>
      </c>
      <c r="AF2018">
        <f>MAX(AD2018,AA2018)</f>
        <v>0.15014687499999901</v>
      </c>
      <c r="AG2018">
        <f>H2020-O2020</f>
        <v>-0.58818250000000205</v>
      </c>
      <c r="AH2018">
        <f>H2018-AG2018</f>
        <v>9.9819325000000028</v>
      </c>
      <c r="AI2018">
        <f>100*(AH2018-O2018)/80</f>
        <v>-2.273437499999531E-2</v>
      </c>
      <c r="AJ2018">
        <v>49.999120000000005</v>
      </c>
      <c r="AK2018">
        <v>0</v>
      </c>
      <c r="AL2018">
        <v>90.031932499999996</v>
      </c>
      <c r="AM2018">
        <v>4.5615624999992832E-2</v>
      </c>
      <c r="AN2018">
        <f>IF(ABS(MAX(AI2018:AI2024)) &gt; ABS(MIN(AI2018:AI2024)),MAX(AI2018:AI2024), MIN(AI2018:AI2024))</f>
        <v>0.1533968750000092</v>
      </c>
      <c r="AO2018">
        <f>IF(ABS(AN2019)&gt;ABS(AN2018),AN2019,AN2018)</f>
        <v>0.1533968750000092</v>
      </c>
    </row>
    <row r="2019" spans="1:41" x14ac:dyDescent="0.35">
      <c r="A2019" t="s">
        <v>293</v>
      </c>
      <c r="B2019" t="s">
        <v>231</v>
      </c>
      <c r="C2019" t="s">
        <v>337</v>
      </c>
      <c r="D2019">
        <v>25</v>
      </c>
      <c r="E2019">
        <v>25</v>
      </c>
      <c r="F2019">
        <v>-0.5</v>
      </c>
      <c r="G2019">
        <v>-0.50000199999999995</v>
      </c>
      <c r="H2019">
        <v>29.323437500000001</v>
      </c>
      <c r="J2019">
        <v>-6211</v>
      </c>
      <c r="N2019" t="s">
        <v>202</v>
      </c>
      <c r="O2019">
        <f t="shared" si="93"/>
        <v>29.999920000000003</v>
      </c>
      <c r="P2019">
        <f t="shared" si="94"/>
        <v>-0.8456031250000029</v>
      </c>
      <c r="Q2019">
        <f t="shared" si="95"/>
        <v>0.8456031250000029</v>
      </c>
      <c r="Y2019">
        <f>TREND(H2018:H2022,G2018:G2022,G2019)</f>
        <v>29.390243491463096</v>
      </c>
      <c r="Z2019">
        <f>ABS((Y2019-H2019)/80*100)</f>
        <v>8.3507489328868978E-2</v>
      </c>
      <c r="AB2019">
        <f>IF(ABS(T2018) &gt; ABS(V2018),T2018,V2018)</f>
        <v>-0.73522812500000256</v>
      </c>
      <c r="AD2019">
        <f>ABS(P2020-P2023)</f>
        <v>0.15014687499999901</v>
      </c>
      <c r="AE2019">
        <f>ABS(P2046-P2018)</f>
        <v>9.4315625000003345E-2</v>
      </c>
      <c r="AH2019">
        <f>H2019-AG2018</f>
        <v>29.911620000000003</v>
      </c>
      <c r="AI2019">
        <f>100*(AH2019-O2019)/80</f>
        <v>-0.11037500000000033</v>
      </c>
      <c r="AN2019">
        <f>IF(ABS(AK2018) &gt; ABS(AM2018),AK2018,AM2018)</f>
        <v>4.5615624999992832E-2</v>
      </c>
    </row>
    <row r="2020" spans="1:41" x14ac:dyDescent="0.35">
      <c r="A2020" t="s">
        <v>293</v>
      </c>
      <c r="B2020" t="s">
        <v>231</v>
      </c>
      <c r="C2020" t="s">
        <v>373</v>
      </c>
      <c r="D2020">
        <v>25</v>
      </c>
      <c r="E2020">
        <v>25</v>
      </c>
      <c r="F2020">
        <v>0</v>
      </c>
      <c r="G2020">
        <v>-2.1999999999999999E-5</v>
      </c>
      <c r="H2020">
        <v>49.410937500000003</v>
      </c>
      <c r="J2020">
        <v>-6209</v>
      </c>
      <c r="N2020" t="s">
        <v>202</v>
      </c>
      <c r="O2020">
        <f t="shared" si="93"/>
        <v>49.999120000000005</v>
      </c>
      <c r="P2020">
        <f t="shared" si="94"/>
        <v>-0.73522812500000256</v>
      </c>
      <c r="Q2020">
        <f t="shared" si="95"/>
        <v>0.73522812500000256</v>
      </c>
      <c r="Y2020">
        <f>TREND(H2018:H2022,G2018:G2022,G2020)</f>
        <v>49.421482371665881</v>
      </c>
      <c r="Z2020">
        <f>ABS((Y2020-H2020)/80*100)</f>
        <v>1.3181089582348093E-2</v>
      </c>
      <c r="AD2020">
        <f>ABS(P2018-P2024)</f>
        <v>6.1403125000007996E-2</v>
      </c>
      <c r="AE2020">
        <f>ABS(P2047-P2019)</f>
        <v>6.9531249999994493E-2</v>
      </c>
      <c r="AH2020">
        <f>H2020-AG2018</f>
        <v>49.999120000000005</v>
      </c>
      <c r="AI2020">
        <f>100*(AH2020-O2020)/80</f>
        <v>0</v>
      </c>
    </row>
    <row r="2021" spans="1:41" x14ac:dyDescent="0.35">
      <c r="A2021" t="s">
        <v>293</v>
      </c>
      <c r="B2021" t="s">
        <v>231</v>
      </c>
      <c r="C2021" t="s">
        <v>410</v>
      </c>
      <c r="D2021">
        <v>25</v>
      </c>
      <c r="E2021">
        <v>25</v>
      </c>
      <c r="F2021">
        <v>0.5</v>
      </c>
      <c r="G2021">
        <v>0.499996</v>
      </c>
      <c r="H2021">
        <v>69.534374999999997</v>
      </c>
      <c r="J2021">
        <v>-6205</v>
      </c>
      <c r="N2021" t="s">
        <v>202</v>
      </c>
      <c r="O2021">
        <f t="shared" si="93"/>
        <v>69.999839999999992</v>
      </c>
      <c r="P2021">
        <f t="shared" si="94"/>
        <v>-0.58183124999999336</v>
      </c>
      <c r="Q2021">
        <f t="shared" si="95"/>
        <v>0.58183124999999336</v>
      </c>
      <c r="Y2021">
        <f>TREND(H2018:H2022,G2018:G2022,G2021)</f>
        <v>69.454243686920961</v>
      </c>
      <c r="Z2021">
        <f>ABS((Y2021-H2021)/80*100)</f>
        <v>0.10016414134879525</v>
      </c>
      <c r="AE2021">
        <f>ABS(P2048-P2020)</f>
        <v>0.18184062499999598</v>
      </c>
      <c r="AH2021">
        <f>H2021-AG2018</f>
        <v>70.122557499999999</v>
      </c>
      <c r="AI2021">
        <f>100*(AH2021-O2021)/80</f>
        <v>0.1533968750000092</v>
      </c>
    </row>
    <row r="2022" spans="1:41" x14ac:dyDescent="0.35">
      <c r="A2022" t="s">
        <v>293</v>
      </c>
      <c r="B2022" t="s">
        <v>231</v>
      </c>
      <c r="C2022" t="s">
        <v>447</v>
      </c>
      <c r="D2022">
        <v>25</v>
      </c>
      <c r="E2022">
        <v>25</v>
      </c>
      <c r="F2022">
        <v>1</v>
      </c>
      <c r="G2022">
        <v>0.99988600000000005</v>
      </c>
      <c r="H2022">
        <v>89.443749999999994</v>
      </c>
      <c r="J2022">
        <v>-6202</v>
      </c>
      <c r="N2022" t="s">
        <v>202</v>
      </c>
      <c r="O2022">
        <f t="shared" si="93"/>
        <v>89.995440000000002</v>
      </c>
      <c r="P2022">
        <f t="shared" si="94"/>
        <v>-0.68961250000000973</v>
      </c>
      <c r="Q2022">
        <f t="shared" si="95"/>
        <v>0.68961250000000973</v>
      </c>
      <c r="Y2022">
        <f>TREND(H2018:H2022,G2018:G2022,G2022)</f>
        <v>89.481876799894621</v>
      </c>
      <c r="Z2022">
        <f>ABS((Y2022-H2022)/80*100)</f>
        <v>4.7658499868283855E-2</v>
      </c>
      <c r="AE2022">
        <f>ABS(P2049-P2021)</f>
        <v>0.11599375000001189</v>
      </c>
      <c r="AH2022">
        <f>H2022-AG2018</f>
        <v>90.031932499999996</v>
      </c>
      <c r="AI2022">
        <f>100*(AH2022-O2022)/80</f>
        <v>4.5615624999992832E-2</v>
      </c>
    </row>
    <row r="2023" spans="1:41" x14ac:dyDescent="0.35">
      <c r="A2023" t="s">
        <v>293</v>
      </c>
      <c r="B2023" t="s">
        <v>231</v>
      </c>
      <c r="C2023" t="s">
        <v>484</v>
      </c>
      <c r="D2023">
        <v>25</v>
      </c>
      <c r="E2023">
        <v>25</v>
      </c>
      <c r="F2023">
        <v>0</v>
      </c>
      <c r="G2023">
        <v>-1.05E-4</v>
      </c>
      <c r="H2023">
        <v>49.287500000000001</v>
      </c>
      <c r="J2023">
        <v>-6207</v>
      </c>
      <c r="N2023" t="s">
        <v>202</v>
      </c>
      <c r="O2023">
        <f t="shared" si="93"/>
        <v>49.995800000000003</v>
      </c>
      <c r="P2023">
        <f t="shared" si="94"/>
        <v>-0.88537500000000158</v>
      </c>
      <c r="Q2023">
        <f t="shared" si="95"/>
        <v>0.88537500000000158</v>
      </c>
      <c r="Y2023">
        <f>TREND(H2018:H2022,G2018:G2022,G2023)</f>
        <v>49.418157052999021</v>
      </c>
      <c r="Z2023">
        <f>ABS((Y2023-H2023)/80*100)</f>
        <v>0.16332131624877455</v>
      </c>
      <c r="AE2023">
        <f>ABS(P2050-P2022)</f>
        <v>2.1659375000027126E-2</v>
      </c>
      <c r="AH2023">
        <f>H2023-AG2018</f>
        <v>49.875682500000003</v>
      </c>
      <c r="AI2023">
        <f>100*(AH2023-O2023)/80</f>
        <v>-0.15014687499999901</v>
      </c>
    </row>
    <row r="2024" spans="1:41" x14ac:dyDescent="0.35">
      <c r="A2024" t="s">
        <v>293</v>
      </c>
      <c r="B2024" t="s">
        <v>231</v>
      </c>
      <c r="C2024" t="s">
        <v>522</v>
      </c>
      <c r="D2024">
        <v>25</v>
      </c>
      <c r="E2024">
        <v>25</v>
      </c>
      <c r="F2024">
        <v>-1</v>
      </c>
      <c r="G2024">
        <v>-1.0000579999999999</v>
      </c>
      <c r="H2024">
        <v>9.3421874999999996</v>
      </c>
      <c r="J2024">
        <v>-6209</v>
      </c>
      <c r="N2024" t="s">
        <v>202</v>
      </c>
      <c r="O2024">
        <f t="shared" si="93"/>
        <v>9.9976800000000043</v>
      </c>
      <c r="P2024">
        <f t="shared" si="94"/>
        <v>-0.81936562500000587</v>
      </c>
      <c r="Q2024">
        <f t="shared" si="95"/>
        <v>0.81936562500000587</v>
      </c>
      <c r="Y2024">
        <f>TREND(H2018:H2022,G2018:G2022,G2024)</f>
        <v>9.3559597411557149</v>
      </c>
      <c r="Z2024">
        <f>ABS((Y2024-H2024)/80*100)</f>
        <v>1.7215301444644115E-2</v>
      </c>
      <c r="AE2024">
        <f>ABS(P2051-P2023)</f>
        <v>4.999062500000484E-2</v>
      </c>
      <c r="AH2024">
        <f>H2024-AG2018</f>
        <v>9.9303700000000017</v>
      </c>
      <c r="AI2024">
        <f>100*(AH2024-O2024)/80</f>
        <v>-8.4137500000003307E-2</v>
      </c>
    </row>
    <row r="2025" spans="1:41" x14ac:dyDescent="0.35">
      <c r="A2025" t="s">
        <v>293</v>
      </c>
      <c r="B2025" t="s">
        <v>231</v>
      </c>
      <c r="C2025" t="s">
        <v>559</v>
      </c>
      <c r="D2025">
        <v>-20</v>
      </c>
      <c r="E2025">
        <v>-20</v>
      </c>
      <c r="F2025">
        <v>-1</v>
      </c>
      <c r="G2025">
        <v>-1.00003</v>
      </c>
      <c r="H2025">
        <v>9.9453125</v>
      </c>
      <c r="J2025">
        <v>-24633</v>
      </c>
      <c r="N2025" t="s">
        <v>202</v>
      </c>
      <c r="O2025">
        <f t="shared" si="93"/>
        <v>9.998800000000001</v>
      </c>
      <c r="P2025">
        <f t="shared" si="94"/>
        <v>-6.6859375000001275E-2</v>
      </c>
      <c r="Q2025">
        <f t="shared" si="95"/>
        <v>6.6859375000001275E-2</v>
      </c>
      <c r="S2025">
        <v>50.15625</v>
      </c>
      <c r="T2025">
        <v>0.2309125000000023</v>
      </c>
      <c r="U2025">
        <v>90.142187500000006</v>
      </c>
      <c r="V2025">
        <v>0.18473437500000855</v>
      </c>
      <c r="W2025">
        <v>80.196876525878906</v>
      </c>
      <c r="X2025">
        <f>(W2025-80)/80*100</f>
        <v>0.24609565734863281</v>
      </c>
      <c r="Y2025">
        <f>TREND(H2025:H2029,G2025:G2029,G2025)</f>
        <v>9.9861199553466093</v>
      </c>
      <c r="Z2025">
        <f>ABS((Y2025-H2025)/80*100)</f>
        <v>5.1009319183261681E-2</v>
      </c>
      <c r="AA2025">
        <f>MAX(Z2025:Z2029)</f>
        <v>0.13842513107523047</v>
      </c>
      <c r="AB2025">
        <f>IF(ABS(MAX(P2025:P2031)) &gt; ABS(MIN(P2025:P2031)),MAX(P2025:P2031), MIN(P2025:P2031))</f>
        <v>0.37463125000000375</v>
      </c>
      <c r="AC2025">
        <f>IF(ABS(AB2026)&gt;ABS(AB2025),AB2026,AB2025)</f>
        <v>0.37463125000000375</v>
      </c>
      <c r="AE2025">
        <f>ABS(P2052-P2024)</f>
        <v>1.8909374999998008E-2</v>
      </c>
      <c r="AH2025">
        <f>H2025-AG2018</f>
        <v>10.533495000000002</v>
      </c>
      <c r="AI2025">
        <f>100*(AH2025-O2025)/80</f>
        <v>0.66836875000000129</v>
      </c>
      <c r="AJ2025">
        <v>50.744432500000002</v>
      </c>
      <c r="AK2025">
        <v>0.96614062500000486</v>
      </c>
      <c r="AL2025">
        <v>90.730370000000008</v>
      </c>
      <c r="AM2025">
        <v>0.91996250000001112</v>
      </c>
      <c r="AN2025">
        <f>IF(ABS(MAX(AI2025:AI2031)) &gt; ABS(MIN(AI2025:AI2031)),MAX(AI2025:AI2031), MIN(AI2025:AI2031))</f>
        <v>1.1098593750000063</v>
      </c>
      <c r="AO2025">
        <f>IF(ABS(AN2026)&gt;ABS(AN2025),AN2026,AN2025)</f>
        <v>1.1098593750000063</v>
      </c>
    </row>
    <row r="2026" spans="1:41" x14ac:dyDescent="0.35">
      <c r="A2026" t="s">
        <v>293</v>
      </c>
      <c r="B2026" t="s">
        <v>231</v>
      </c>
      <c r="C2026" t="s">
        <v>595</v>
      </c>
      <c r="D2026">
        <v>-20</v>
      </c>
      <c r="E2026">
        <v>-20</v>
      </c>
      <c r="F2026">
        <v>-0.5</v>
      </c>
      <c r="G2026">
        <v>-0.500085</v>
      </c>
      <c r="H2026">
        <v>30.026562500000001</v>
      </c>
      <c r="J2026">
        <v>-24654</v>
      </c>
      <c r="N2026" t="s">
        <v>202</v>
      </c>
      <c r="O2026">
        <f t="shared" si="93"/>
        <v>29.996600000000001</v>
      </c>
      <c r="P2026">
        <f t="shared" si="94"/>
        <v>3.7453124999999865E-2</v>
      </c>
      <c r="Q2026">
        <f t="shared" si="95"/>
        <v>3.7453124999999865E-2</v>
      </c>
      <c r="Y2026">
        <f>TREND(H2025:H2029,G2025:G2029,G2026)</f>
        <v>30.051136369385603</v>
      </c>
      <c r="Z2026">
        <f>ABS((Y2026-H2026)/80*100)</f>
        <v>3.0717336732002391E-2</v>
      </c>
      <c r="AB2026">
        <f>IF(ABS(T2025) &gt; ABS(V2025),T2025,V2025)</f>
        <v>0.2309125000000023</v>
      </c>
      <c r="AE2026">
        <f>ABS(P2074-P2018)</f>
        <v>1.7367062499999975</v>
      </c>
      <c r="AH2026">
        <f>H2026-AG2018</f>
        <v>30.614745000000003</v>
      </c>
      <c r="AI2026">
        <f>100*(AH2026-O2026)/80</f>
        <v>0.77268125000000243</v>
      </c>
      <c r="AN2026">
        <f>IF(ABS(AK2025) &gt; ABS(AM2025),AK2025,AM2025)</f>
        <v>0.96614062500000486</v>
      </c>
    </row>
    <row r="2027" spans="1:41" x14ac:dyDescent="0.35">
      <c r="A2027" t="s">
        <v>293</v>
      </c>
      <c r="B2027" t="s">
        <v>231</v>
      </c>
      <c r="C2027" t="s">
        <v>632</v>
      </c>
      <c r="D2027">
        <v>-20</v>
      </c>
      <c r="E2027">
        <v>-19.899999999999999</v>
      </c>
      <c r="F2027">
        <v>0</v>
      </c>
      <c r="G2027">
        <v>-7.1199999999999996E-4</v>
      </c>
      <c r="H2027">
        <v>50.15625</v>
      </c>
      <c r="J2027">
        <v>-24663</v>
      </c>
      <c r="N2027" t="s">
        <v>202</v>
      </c>
      <c r="O2027">
        <f t="shared" si="93"/>
        <v>49.971519999999998</v>
      </c>
      <c r="P2027">
        <f t="shared" si="94"/>
        <v>0.2309125000000023</v>
      </c>
      <c r="Q2027">
        <f t="shared" si="95"/>
        <v>0.2309125000000023</v>
      </c>
      <c r="Y2027">
        <f>TREND(H2025:H2029,G2025:G2029,G2027)</f>
        <v>50.093195879387487</v>
      </c>
      <c r="Z2027">
        <f>ABS((Y2027-H2027)/80*100)</f>
        <v>7.8817650765641289E-2</v>
      </c>
      <c r="AE2027">
        <f>ABS(P2075-P2019)</f>
        <v>1.6914718750000013</v>
      </c>
      <c r="AH2027">
        <f>H2027-AG2018</f>
        <v>50.744432500000002</v>
      </c>
      <c r="AI2027">
        <f>100*(AH2027-O2027)/80</f>
        <v>0.96614062500000486</v>
      </c>
    </row>
    <row r="2028" spans="1:41" x14ac:dyDescent="0.35">
      <c r="A2028" t="s">
        <v>293</v>
      </c>
      <c r="B2028" t="s">
        <v>231</v>
      </c>
      <c r="C2028" t="s">
        <v>668</v>
      </c>
      <c r="D2028">
        <v>-20</v>
      </c>
      <c r="E2028">
        <v>-20</v>
      </c>
      <c r="F2028">
        <v>0.5</v>
      </c>
      <c r="G2028">
        <v>0.49977300000000002</v>
      </c>
      <c r="H2028">
        <v>70.290625000000006</v>
      </c>
      <c r="J2028">
        <v>-24679</v>
      </c>
      <c r="N2028" t="s">
        <v>202</v>
      </c>
      <c r="O2028">
        <f t="shared" si="93"/>
        <v>69.990920000000003</v>
      </c>
      <c r="P2028">
        <f t="shared" si="94"/>
        <v>0.37463125000000375</v>
      </c>
      <c r="Q2028">
        <f t="shared" si="95"/>
        <v>0.37463125000000375</v>
      </c>
      <c r="Y2028">
        <f>TREND(H2025:H2029,G2025:G2029,G2028)</f>
        <v>70.179884895139821</v>
      </c>
      <c r="Z2028">
        <f>ABS((Y2028-H2028)/80*100)</f>
        <v>0.13842513107523047</v>
      </c>
      <c r="AE2028">
        <f>ABS(P2076-P2020)</f>
        <v>1.8987937500000029</v>
      </c>
      <c r="AH2028">
        <f>H2028-AG2018</f>
        <v>70.878807500000008</v>
      </c>
      <c r="AI2028">
        <f>100*(AH2028-O2028)/80</f>
        <v>1.1098593750000063</v>
      </c>
    </row>
    <row r="2029" spans="1:41" x14ac:dyDescent="0.35">
      <c r="A2029" t="s">
        <v>293</v>
      </c>
      <c r="B2029" t="s">
        <v>231</v>
      </c>
      <c r="C2029" t="s">
        <v>704</v>
      </c>
      <c r="D2029">
        <v>-20</v>
      </c>
      <c r="E2029">
        <v>-20</v>
      </c>
      <c r="F2029">
        <v>1</v>
      </c>
      <c r="G2029">
        <v>0.99985999999999997</v>
      </c>
      <c r="H2029">
        <v>90.142187500000006</v>
      </c>
      <c r="J2029">
        <v>-24683</v>
      </c>
      <c r="N2029" t="s">
        <v>202</v>
      </c>
      <c r="O2029">
        <f t="shared" si="93"/>
        <v>89.994399999999999</v>
      </c>
      <c r="P2029">
        <f t="shared" si="94"/>
        <v>0.18473437500000855</v>
      </c>
      <c r="Q2029">
        <f t="shared" si="95"/>
        <v>0.18473437500000855</v>
      </c>
      <c r="Y2029">
        <f>TREND(H2025:H2029,G2025:G2029,G2029)</f>
        <v>90.250600400740467</v>
      </c>
      <c r="Z2029">
        <f>ABS((Y2029-H2029)/80*100)</f>
        <v>0.1355161259255766</v>
      </c>
      <c r="AE2029">
        <f>ABS(P2077-P2021)</f>
        <v>1.8881312499999936</v>
      </c>
      <c r="AH2029">
        <f>H2029-AG2018</f>
        <v>90.730370000000008</v>
      </c>
      <c r="AI2029">
        <f>100*(AH2029-O2029)/80</f>
        <v>0.91996250000001112</v>
      </c>
    </row>
    <row r="2030" spans="1:41" x14ac:dyDescent="0.35">
      <c r="A2030" t="s">
        <v>293</v>
      </c>
      <c r="B2030" t="s">
        <v>231</v>
      </c>
      <c r="C2030" t="s">
        <v>741</v>
      </c>
      <c r="D2030">
        <v>-20</v>
      </c>
      <c r="E2030">
        <v>-20</v>
      </c>
      <c r="F2030">
        <v>0</v>
      </c>
      <c r="G2030">
        <v>-4.5199999999999998E-4</v>
      </c>
      <c r="H2030">
        <v>50.225000000000001</v>
      </c>
      <c r="J2030">
        <v>-24689</v>
      </c>
      <c r="N2030" t="s">
        <v>202</v>
      </c>
      <c r="O2030">
        <f t="shared" si="93"/>
        <v>49.981920000000002</v>
      </c>
      <c r="P2030">
        <f t="shared" si="94"/>
        <v>0.30384999999999884</v>
      </c>
      <c r="Q2030">
        <f t="shared" si="95"/>
        <v>0.30384999999999884</v>
      </c>
      <c r="Y2030">
        <f>TREND(H2025:H2029,G2025:G2029,G2030)</f>
        <v>50.103630835767987</v>
      </c>
      <c r="Z2030">
        <f>ABS((Y2030-H2030)/80*100)</f>
        <v>0.15171145529001784</v>
      </c>
      <c r="AE2030">
        <f>ABS(P2078-P2022)</f>
        <v>1.9885374999999961</v>
      </c>
      <c r="AH2030">
        <f>H2030-AG2018</f>
        <v>50.813182500000003</v>
      </c>
      <c r="AI2030">
        <f>100*(AH2030-O2030)/80</f>
        <v>1.0390781250000014</v>
      </c>
    </row>
    <row r="2031" spans="1:41" x14ac:dyDescent="0.35">
      <c r="A2031" t="s">
        <v>293</v>
      </c>
      <c r="B2031" t="s">
        <v>231</v>
      </c>
      <c r="C2031" t="s">
        <v>777</v>
      </c>
      <c r="D2031">
        <v>-20</v>
      </c>
      <c r="E2031">
        <v>-20.100000000000001</v>
      </c>
      <c r="F2031">
        <v>-1</v>
      </c>
      <c r="G2031">
        <v>-0.99998299999999996</v>
      </c>
      <c r="H2031">
        <v>9.9671874999999996</v>
      </c>
      <c r="J2031">
        <v>-24689</v>
      </c>
      <c r="N2031" t="s">
        <v>202</v>
      </c>
      <c r="O2031">
        <f t="shared" si="93"/>
        <v>10.000680000000003</v>
      </c>
      <c r="P2031">
        <f t="shared" si="94"/>
        <v>-4.1865625000003792E-2</v>
      </c>
      <c r="Q2031">
        <f t="shared" si="95"/>
        <v>4.1865625000003792E-2</v>
      </c>
      <c r="Y2031">
        <f>TREND(H2025:H2029,G2025:G2029,G2031)</f>
        <v>9.9880062743846239</v>
      </c>
      <c r="Z2031">
        <f>ABS((Y2031-H2031)/80*100)</f>
        <v>2.6023467980780257E-2</v>
      </c>
      <c r="AE2031">
        <f>ABS(P2079-P2023)</f>
        <v>2.0308500000000063</v>
      </c>
      <c r="AH2031">
        <f>H2031-AG2018</f>
        <v>10.555370000000002</v>
      </c>
      <c r="AI2031">
        <f>100*(AH2031-O2031)/80</f>
        <v>0.69336249999999877</v>
      </c>
    </row>
    <row r="2032" spans="1:41" x14ac:dyDescent="0.35">
      <c r="A2032" t="s">
        <v>293</v>
      </c>
      <c r="B2032" t="s">
        <v>231</v>
      </c>
      <c r="C2032" t="s">
        <v>814</v>
      </c>
      <c r="D2032">
        <v>0</v>
      </c>
      <c r="E2032">
        <v>-0.2</v>
      </c>
      <c r="F2032">
        <v>-1</v>
      </c>
      <c r="G2032">
        <v>-1.0004599999999999</v>
      </c>
      <c r="H2032">
        <v>9.8249999999999993</v>
      </c>
      <c r="J2032">
        <v>-16831</v>
      </c>
      <c r="N2032" t="s">
        <v>202</v>
      </c>
      <c r="O2032">
        <f t="shared" si="93"/>
        <v>9.9816000000000038</v>
      </c>
      <c r="P2032">
        <f t="shared" si="94"/>
        <v>-0.19575000000000564</v>
      </c>
      <c r="Q2032">
        <f t="shared" si="95"/>
        <v>0.19575000000000564</v>
      </c>
      <c r="S2032">
        <v>49.795312500000001</v>
      </c>
      <c r="T2032">
        <v>-0.24535937499999605</v>
      </c>
      <c r="U2032">
        <v>89.871875000000003</v>
      </c>
      <c r="V2032">
        <v>-0.15385625000000402</v>
      </c>
      <c r="W2032">
        <v>80.046871948242185</v>
      </c>
      <c r="X2032">
        <f>(W2032-80)/80*100</f>
        <v>5.8589935302730822E-2</v>
      </c>
      <c r="Y2032">
        <f>TREND(H2032:H2036,G2032:G2036,G2032)</f>
        <v>9.7604910099735633</v>
      </c>
      <c r="Z2032">
        <f>ABS((Y2032-H2032)/80*100)</f>
        <v>8.0636237533044941E-2</v>
      </c>
      <c r="AA2032">
        <f>MAX(Z2032:Z2036)</f>
        <v>0.12255744612710728</v>
      </c>
      <c r="AB2032">
        <f>IF(ABS(MAX(P2032:P2038)) &gt; ABS(MIN(P2032:P2038)),MAX(P2032:P2038), MIN(P2032:P2038))</f>
        <v>-0.35155625000000246</v>
      </c>
      <c r="AC2032">
        <f>IF(ABS(AB2033)&gt;ABS(AB2032),AB2033,AB2032)</f>
        <v>-0.35155625000000246</v>
      </c>
      <c r="AE2032">
        <f>ABS(P2080-P2024)</f>
        <v>1.8567156250000028</v>
      </c>
      <c r="AH2032">
        <f>H2032-AG2018</f>
        <v>10.413182500000001</v>
      </c>
      <c r="AI2032">
        <f>100*(AH2032-O2032)/80</f>
        <v>0.53947812499999692</v>
      </c>
      <c r="AJ2032">
        <v>50.383495000000003</v>
      </c>
      <c r="AK2032">
        <v>0.48986875000000651</v>
      </c>
      <c r="AL2032">
        <v>90.460057500000005</v>
      </c>
      <c r="AM2032">
        <v>0.58137187499999854</v>
      </c>
      <c r="AN2032">
        <f>IF(ABS(MAX(AI2032:AI2038)) &gt; ABS(MIN(AI2032:AI2038)),MAX(AI2032:AI2038), MIN(AI2032:AI2038))</f>
        <v>0.7020906250000003</v>
      </c>
      <c r="AO2032">
        <f>IF(ABS(AN2033)&gt;ABS(AN2032),AN2033,AN2032)</f>
        <v>0.7020906250000003</v>
      </c>
    </row>
    <row r="2033" spans="1:41" x14ac:dyDescent="0.35">
      <c r="A2033" t="s">
        <v>293</v>
      </c>
      <c r="B2033" t="s">
        <v>231</v>
      </c>
      <c r="C2033" t="s">
        <v>850</v>
      </c>
      <c r="D2033">
        <v>0</v>
      </c>
      <c r="E2033">
        <v>0.1</v>
      </c>
      <c r="F2033">
        <v>-0.5</v>
      </c>
      <c r="G2033">
        <v>-0.49992199999999998</v>
      </c>
      <c r="H2033">
        <v>29.721875000000001</v>
      </c>
      <c r="J2033">
        <v>-16802</v>
      </c>
      <c r="N2033" t="s">
        <v>202</v>
      </c>
      <c r="O2033">
        <f t="shared" si="93"/>
        <v>30.003120000000003</v>
      </c>
      <c r="P2033">
        <f t="shared" si="94"/>
        <v>-0.35155625000000246</v>
      </c>
      <c r="Q2033">
        <f t="shared" si="95"/>
        <v>0.35155625000000246</v>
      </c>
      <c r="Y2033">
        <f>TREND(H2032:H2036,G2032:G2036,G2033)</f>
        <v>29.814215943352075</v>
      </c>
      <c r="Z2033">
        <f>ABS((Y2033-H2033)/80*100)</f>
        <v>0.11542617919009235</v>
      </c>
      <c r="AB2033">
        <f>IF(ABS(T2032) &gt; ABS(V2032),T2032,V2032)</f>
        <v>-0.24535937499999605</v>
      </c>
      <c r="AE2033">
        <f>ABS(P2074-P2046)</f>
        <v>1.8310218750000007</v>
      </c>
      <c r="AH2033">
        <f>H2033-AG2018</f>
        <v>30.310057500000003</v>
      </c>
      <c r="AI2033">
        <f>100*(AH2033-O2033)/80</f>
        <v>0.38367187500000011</v>
      </c>
      <c r="AN2033">
        <f>IF(ABS(AK2032) &gt; ABS(AM2032),AK2032,AM2032)</f>
        <v>0.58137187499999854</v>
      </c>
    </row>
    <row r="2034" spans="1:41" x14ac:dyDescent="0.35">
      <c r="A2034" t="s">
        <v>293</v>
      </c>
      <c r="B2034" t="s">
        <v>231</v>
      </c>
      <c r="C2034" t="s">
        <v>886</v>
      </c>
      <c r="D2034">
        <v>0</v>
      </c>
      <c r="E2034">
        <v>0</v>
      </c>
      <c r="F2034">
        <v>0</v>
      </c>
      <c r="G2034">
        <v>-2.1000000000000001E-4</v>
      </c>
      <c r="H2034">
        <v>49.795312500000001</v>
      </c>
      <c r="J2034">
        <v>-16779</v>
      </c>
      <c r="N2034" t="s">
        <v>202</v>
      </c>
      <c r="O2034">
        <f t="shared" si="93"/>
        <v>49.991599999999998</v>
      </c>
      <c r="P2034">
        <f t="shared" si="94"/>
        <v>-0.24535937499999605</v>
      </c>
      <c r="Q2034">
        <f t="shared" si="95"/>
        <v>0.24535937499999605</v>
      </c>
      <c r="Y2034">
        <f>TREND(H2032:H2036,G2032:G2036,G2034)</f>
        <v>49.834847731365059</v>
      </c>
      <c r="Z2034">
        <f>ABS((Y2034-H2034)/80*100)</f>
        <v>4.9419039206322068E-2</v>
      </c>
      <c r="AE2034">
        <f>ABS(P2075-P2047)</f>
        <v>1.7610031249999958</v>
      </c>
      <c r="AH2034">
        <f>H2034-AG2018</f>
        <v>50.383495000000003</v>
      </c>
      <c r="AI2034">
        <f>100*(AH2034-O2034)/80</f>
        <v>0.48986875000000651</v>
      </c>
    </row>
    <row r="2035" spans="1:41" x14ac:dyDescent="0.35">
      <c r="A2035" t="s">
        <v>293</v>
      </c>
      <c r="B2035" t="s">
        <v>231</v>
      </c>
      <c r="C2035" t="s">
        <v>922</v>
      </c>
      <c r="D2035">
        <v>0</v>
      </c>
      <c r="E2035">
        <v>0</v>
      </c>
      <c r="F2035">
        <v>0.5</v>
      </c>
      <c r="G2035">
        <v>0.50019400000000003</v>
      </c>
      <c r="H2035">
        <v>69.981250000000003</v>
      </c>
      <c r="J2035">
        <v>-16753</v>
      </c>
      <c r="N2035" t="s">
        <v>202</v>
      </c>
      <c r="O2035">
        <f t="shared" si="93"/>
        <v>70.007760000000005</v>
      </c>
      <c r="P2035">
        <f t="shared" si="94"/>
        <v>-3.3137500000002262E-2</v>
      </c>
      <c r="Q2035">
        <f t="shared" si="95"/>
        <v>3.3137500000002262E-2</v>
      </c>
      <c r="Y2035">
        <f>TREND(H2032:H2036,G2032:G2036,G2035)</f>
        <v>69.883204043098317</v>
      </c>
      <c r="Z2035">
        <f>ABS((Y2035-H2035)/80*100)</f>
        <v>0.12255744612710728</v>
      </c>
      <c r="AE2035">
        <f>ABS(P2076-P2048)</f>
        <v>2.0806343749999989</v>
      </c>
      <c r="AH2035">
        <f>H2035-AG2018</f>
        <v>70.569432500000005</v>
      </c>
      <c r="AI2035">
        <f>100*(AH2035-O2035)/80</f>
        <v>0.7020906250000003</v>
      </c>
    </row>
    <row r="2036" spans="1:41" x14ac:dyDescent="0.35">
      <c r="A2036" t="s">
        <v>293</v>
      </c>
      <c r="B2036" t="s">
        <v>231</v>
      </c>
      <c r="C2036" t="s">
        <v>960</v>
      </c>
      <c r="D2036">
        <v>0</v>
      </c>
      <c r="E2036">
        <v>0.1</v>
      </c>
      <c r="F2036">
        <v>1</v>
      </c>
      <c r="G2036">
        <v>0.99987400000000004</v>
      </c>
      <c r="H2036">
        <v>89.871875000000003</v>
      </c>
      <c r="J2036">
        <v>-16733</v>
      </c>
      <c r="N2036" t="s">
        <v>202</v>
      </c>
      <c r="O2036">
        <f t="shared" si="93"/>
        <v>89.994960000000006</v>
      </c>
      <c r="P2036">
        <f t="shared" si="94"/>
        <v>-0.15385625000000402</v>
      </c>
      <c r="Q2036">
        <f t="shared" si="95"/>
        <v>0.15385625000000402</v>
      </c>
      <c r="Y2036">
        <f>TREND(H2032:H2036,G2032:G2036,G2036)</f>
        <v>89.90255377221095</v>
      </c>
      <c r="Z2036">
        <f>ABS((Y2036-H2036)/80*100)</f>
        <v>3.8348465263684517E-2</v>
      </c>
      <c r="AE2036">
        <f>ABS(P2077-P2049)</f>
        <v>2.0041250000000055</v>
      </c>
      <c r="AH2036">
        <f>H2036-AG2018</f>
        <v>90.460057500000005</v>
      </c>
      <c r="AI2036">
        <f>100*(AH2036-O2036)/80</f>
        <v>0.58137187499999854</v>
      </c>
    </row>
    <row r="2037" spans="1:41" x14ac:dyDescent="0.35">
      <c r="A2037" t="s">
        <v>293</v>
      </c>
      <c r="B2037" t="s">
        <v>231</v>
      </c>
      <c r="C2037" t="s">
        <v>996</v>
      </c>
      <c r="D2037">
        <v>0</v>
      </c>
      <c r="E2037">
        <v>0</v>
      </c>
      <c r="F2037">
        <v>0</v>
      </c>
      <c r="G2037">
        <v>-5.8100000000000003E-4</v>
      </c>
      <c r="H2037">
        <v>49.8515625</v>
      </c>
      <c r="J2037">
        <v>-16700</v>
      </c>
      <c r="N2037" t="s">
        <v>202</v>
      </c>
      <c r="O2037">
        <f t="shared" si="93"/>
        <v>49.976759999999999</v>
      </c>
      <c r="P2037">
        <f t="shared" si="94"/>
        <v>-0.15649687499999843</v>
      </c>
      <c r="Q2037">
        <f t="shared" si="95"/>
        <v>0.15649687499999843</v>
      </c>
      <c r="Y2037">
        <f>TREND(H2032:H2036,G2032:G2036,G2037)</f>
        <v>49.819983860989019</v>
      </c>
      <c r="Z2037">
        <f>ABS((Y2037-H2037)/80*100)</f>
        <v>3.947329876372585E-2</v>
      </c>
      <c r="AE2037">
        <f>ABS(P2078-P2050)</f>
        <v>1.9668781249999689</v>
      </c>
      <c r="AH2037">
        <f>H2037-AG2018</f>
        <v>50.439745000000002</v>
      </c>
      <c r="AI2037">
        <f>100*(AH2037-O2037)/80</f>
        <v>0.57873125000000414</v>
      </c>
    </row>
    <row r="2038" spans="1:41" x14ac:dyDescent="0.35">
      <c r="A2038" t="s">
        <v>293</v>
      </c>
      <c r="B2038" t="s">
        <v>231</v>
      </c>
      <c r="C2038" t="s">
        <v>1032</v>
      </c>
      <c r="D2038">
        <v>0</v>
      </c>
      <c r="E2038">
        <v>-0.1</v>
      </c>
      <c r="F2038">
        <v>-1</v>
      </c>
      <c r="G2038">
        <v>-0.99982000000000004</v>
      </c>
      <c r="H2038">
        <v>9.7640624999999996</v>
      </c>
      <c r="J2038">
        <v>-16674</v>
      </c>
      <c r="N2038" t="s">
        <v>202</v>
      </c>
      <c r="O2038">
        <f t="shared" si="93"/>
        <v>10.007199999999997</v>
      </c>
      <c r="P2038">
        <f t="shared" si="94"/>
        <v>-0.30392187499999723</v>
      </c>
      <c r="Q2038">
        <f t="shared" si="95"/>
        <v>0.30392187499999723</v>
      </c>
      <c r="Y2038">
        <f>TREND(H2032:H2036,G2032:G2036,G2038)</f>
        <v>9.7861321879807477</v>
      </c>
      <c r="Z2038">
        <f>ABS((Y2038-H2038)/80*100)</f>
        <v>2.7587109975935054E-2</v>
      </c>
      <c r="AE2038">
        <f>ABS(P2079-P2051)</f>
        <v>1.9808593750000014</v>
      </c>
      <c r="AH2038">
        <f>H2038-AG2018</f>
        <v>10.352245000000002</v>
      </c>
      <c r="AI2038">
        <f>100*(AH2038-O2038)/80</f>
        <v>0.43130625000000533</v>
      </c>
    </row>
    <row r="2039" spans="1:41" x14ac:dyDescent="0.35">
      <c r="A2039" t="s">
        <v>293</v>
      </c>
      <c r="B2039" t="s">
        <v>231</v>
      </c>
      <c r="C2039" t="s">
        <v>1068</v>
      </c>
      <c r="D2039">
        <v>10</v>
      </c>
      <c r="E2039">
        <v>10</v>
      </c>
      <c r="F2039">
        <v>-1</v>
      </c>
      <c r="G2039">
        <v>-0.99991099999999999</v>
      </c>
      <c r="H2039">
        <v>9.5593749999999993</v>
      </c>
      <c r="J2039">
        <v>-12426</v>
      </c>
      <c r="N2039" t="s">
        <v>202</v>
      </c>
      <c r="O2039">
        <f t="shared" si="93"/>
        <v>10.00356</v>
      </c>
      <c r="P2039">
        <f t="shared" si="94"/>
        <v>-0.55523125000000118</v>
      </c>
      <c r="Q2039">
        <f t="shared" si="95"/>
        <v>0.55523125000000118</v>
      </c>
      <c r="S2039">
        <v>49.701562500000001</v>
      </c>
      <c r="T2039">
        <v>-0.37189687499999735</v>
      </c>
      <c r="U2039">
        <v>89.674999999999997</v>
      </c>
      <c r="V2039">
        <v>-0.42920000000000513</v>
      </c>
      <c r="W2039">
        <v>80.11562805175781</v>
      </c>
      <c r="X2039">
        <f>(W2039-80)/80*100</f>
        <v>0.14453506469726207</v>
      </c>
      <c r="Y2039">
        <f>TREND(H2039:H2043,G2039:G2043,G2039)</f>
        <v>9.5734289260390355</v>
      </c>
      <c r="Z2039">
        <f>ABS((Y2039-H2039)/80*100)</f>
        <v>1.7567407548795266E-2</v>
      </c>
      <c r="AA2039">
        <f>MAX(Z2039:Z2043)</f>
        <v>9.1376278679220491E-2</v>
      </c>
      <c r="AB2039">
        <f>IF(ABS(MAX(P2039:P2045)) &gt; ABS(MIN(P2039:P2045)),MAX(P2039:P2045), MIN(P2039:P2045))</f>
        <v>-0.55824375000000259</v>
      </c>
      <c r="AC2039">
        <f>IF(ABS(AB2040)&gt;ABS(AB2039),AB2040,AB2039)</f>
        <v>-0.55824375000000259</v>
      </c>
      <c r="AE2039">
        <f>ABS(P2080-P2052)</f>
        <v>1.8756250000000008</v>
      </c>
      <c r="AH2039">
        <f>H2039-AG2018</f>
        <v>10.147557500000001</v>
      </c>
      <c r="AI2039">
        <f>100*(AH2039-O2039)/80</f>
        <v>0.17999687500000139</v>
      </c>
      <c r="AJ2039">
        <v>50.289745000000003</v>
      </c>
      <c r="AK2039">
        <v>0.36333125000000521</v>
      </c>
      <c r="AL2039">
        <v>90.263182499999999</v>
      </c>
      <c r="AM2039">
        <v>0.30602812499999743</v>
      </c>
      <c r="AN2039">
        <f>IF(ABS(MAX(AI2039:AI2045)) &gt; ABS(MIN(AI2039:AI2045)),MAX(AI2039:AI2045), MIN(AI2039:AI2045))</f>
        <v>0.43703125000000398</v>
      </c>
      <c r="AO2039">
        <f>IF(ABS(AN2040)&gt;ABS(AN2039),AN2040,AN2039)</f>
        <v>0.43703125000000398</v>
      </c>
    </row>
    <row r="2040" spans="1:41" x14ac:dyDescent="0.35">
      <c r="A2040" t="s">
        <v>293</v>
      </c>
      <c r="B2040" t="s">
        <v>231</v>
      </c>
      <c r="C2040" t="s">
        <v>1104</v>
      </c>
      <c r="D2040">
        <v>10</v>
      </c>
      <c r="E2040">
        <v>10</v>
      </c>
      <c r="F2040">
        <v>-0.5</v>
      </c>
      <c r="G2040">
        <v>-0.49997999999999998</v>
      </c>
      <c r="H2040">
        <v>29.568750000000001</v>
      </c>
      <c r="J2040">
        <v>-12413</v>
      </c>
      <c r="N2040" t="s">
        <v>202</v>
      </c>
      <c r="O2040">
        <f t="shared" si="93"/>
        <v>30.000800000000002</v>
      </c>
      <c r="P2040">
        <f t="shared" si="94"/>
        <v>-0.54006250000000033</v>
      </c>
      <c r="Q2040">
        <f t="shared" si="95"/>
        <v>0.54006250000000033</v>
      </c>
      <c r="Y2040">
        <f>TREND(H2039:H2043,G2039:G2043,G2040)</f>
        <v>29.610163173352287</v>
      </c>
      <c r="Z2040">
        <f>ABS((Y2040-H2040)/80*100)</f>
        <v>5.176646669035722E-2</v>
      </c>
      <c r="AB2040">
        <f>IF(ABS(T2039) &gt; ABS(V2039),T2039,V2039)</f>
        <v>-0.42920000000000513</v>
      </c>
      <c r="AH2040">
        <f>H2040-AG2018</f>
        <v>30.156932500000003</v>
      </c>
      <c r="AI2040">
        <f>100*(AH2040-O2040)/80</f>
        <v>0.19516562500000223</v>
      </c>
      <c r="AN2040">
        <f>IF(ABS(AK2039) &gt; ABS(AM2039),AK2039,AM2039)</f>
        <v>0.36333125000000521</v>
      </c>
    </row>
    <row r="2041" spans="1:41" x14ac:dyDescent="0.35">
      <c r="A2041" t="s">
        <v>293</v>
      </c>
      <c r="B2041" t="s">
        <v>1111</v>
      </c>
      <c r="C2041" t="s">
        <v>1141</v>
      </c>
      <c r="D2041">
        <v>10</v>
      </c>
      <c r="E2041">
        <v>10</v>
      </c>
      <c r="F2041">
        <v>0</v>
      </c>
      <c r="G2041">
        <v>-2.3E-5</v>
      </c>
      <c r="H2041">
        <v>49.701562500000001</v>
      </c>
      <c r="J2041">
        <v>-12408</v>
      </c>
      <c r="N2041" t="s">
        <v>202</v>
      </c>
      <c r="O2041">
        <f t="shared" si="93"/>
        <v>49.999079999999999</v>
      </c>
      <c r="P2041">
        <f t="shared" si="94"/>
        <v>-0.37189687499999735</v>
      </c>
      <c r="Q2041">
        <f t="shared" si="95"/>
        <v>0.37189687499999735</v>
      </c>
      <c r="Y2041">
        <f>TREND(H2039:H2043,G2039:G2043,G2041)</f>
        <v>49.647939474649846</v>
      </c>
      <c r="Z2041">
        <f>ABS((Y2041-H2041)/80*100)</f>
        <v>6.7028781687694661E-2</v>
      </c>
      <c r="AH2041">
        <f>H2041-AG2018</f>
        <v>50.289745000000003</v>
      </c>
      <c r="AI2041">
        <f>100*(AH2041-O2041)/80</f>
        <v>0.36333125000000521</v>
      </c>
    </row>
    <row r="2042" spans="1:41" x14ac:dyDescent="0.35">
      <c r="A2042" t="s">
        <v>293</v>
      </c>
      <c r="B2042" t="s">
        <v>1111</v>
      </c>
      <c r="C2042" t="s">
        <v>1178</v>
      </c>
      <c r="D2042">
        <v>10</v>
      </c>
      <c r="E2042">
        <v>10</v>
      </c>
      <c r="F2042">
        <v>0.5</v>
      </c>
      <c r="G2042">
        <v>0.499753</v>
      </c>
      <c r="H2042">
        <v>69.751562500000006</v>
      </c>
      <c r="J2042">
        <v>-12400</v>
      </c>
      <c r="N2042" t="s">
        <v>202</v>
      </c>
      <c r="O2042">
        <f t="shared" si="93"/>
        <v>69.990120000000005</v>
      </c>
      <c r="P2042">
        <f t="shared" si="94"/>
        <v>-0.29819687499999858</v>
      </c>
      <c r="Q2042">
        <f t="shared" si="95"/>
        <v>0.29819687499999858</v>
      </c>
      <c r="Y2042">
        <f>TREND(H2039:H2043,G2039:G2043,G2042)</f>
        <v>69.678461477056629</v>
      </c>
      <c r="Z2042">
        <f>ABS((Y2042-H2042)/80*100)</f>
        <v>9.1376278679220491E-2</v>
      </c>
      <c r="AH2042">
        <f>H2042-AG2018</f>
        <v>70.339745000000008</v>
      </c>
      <c r="AI2042">
        <f>100*(AH2042-O2042)/80</f>
        <v>0.43703125000000398</v>
      </c>
    </row>
    <row r="2043" spans="1:41" x14ac:dyDescent="0.35">
      <c r="A2043" t="s">
        <v>293</v>
      </c>
      <c r="B2043" t="s">
        <v>1111</v>
      </c>
      <c r="C2043" t="s">
        <v>1216</v>
      </c>
      <c r="D2043">
        <v>10</v>
      </c>
      <c r="E2043">
        <v>10</v>
      </c>
      <c r="F2043">
        <v>1</v>
      </c>
      <c r="G2043">
        <v>1.000459</v>
      </c>
      <c r="H2043">
        <v>89.674999999999997</v>
      </c>
      <c r="J2043">
        <v>-12402</v>
      </c>
      <c r="N2043" t="s">
        <v>202</v>
      </c>
      <c r="O2043">
        <f t="shared" si="93"/>
        <v>90.018360000000001</v>
      </c>
      <c r="P2043">
        <f t="shared" si="94"/>
        <v>-0.42920000000000513</v>
      </c>
      <c r="Q2043">
        <f t="shared" si="95"/>
        <v>0.42920000000000513</v>
      </c>
      <c r="Y2043">
        <f>TREND(H2039:H2043,G2039:G2043,G2043)</f>
        <v>89.746256948902214</v>
      </c>
      <c r="Z2043">
        <f>ABS((Y2043-H2043)/80*100)</f>
        <v>8.907118612777154E-2</v>
      </c>
      <c r="AH2043">
        <f>H2043-AG2018</f>
        <v>90.263182499999999</v>
      </c>
      <c r="AI2043">
        <f>100*(AH2043-O2043)/80</f>
        <v>0.30602812499999743</v>
      </c>
    </row>
    <row r="2044" spans="1:41" x14ac:dyDescent="0.35">
      <c r="A2044" t="s">
        <v>293</v>
      </c>
      <c r="B2044" t="s">
        <v>1111</v>
      </c>
      <c r="C2044" t="s">
        <v>1252</v>
      </c>
      <c r="D2044">
        <v>10</v>
      </c>
      <c r="E2044">
        <v>10</v>
      </c>
      <c r="F2044">
        <v>0</v>
      </c>
      <c r="G2044">
        <v>-3.68E-4</v>
      </c>
      <c r="H2044">
        <v>49.612499999999997</v>
      </c>
      <c r="J2044">
        <v>-12393</v>
      </c>
      <c r="N2044" t="s">
        <v>202</v>
      </c>
      <c r="O2044">
        <f t="shared" si="93"/>
        <v>49.985279999999996</v>
      </c>
      <c r="P2044">
        <f t="shared" si="94"/>
        <v>-0.46597499999999847</v>
      </c>
      <c r="Q2044">
        <f t="shared" si="95"/>
        <v>0.46597499999999847</v>
      </c>
      <c r="Y2044">
        <f>TREND(H2039:H2043,G2039:G2043,G2044)</f>
        <v>49.634112219858039</v>
      </c>
      <c r="Z2044">
        <f>ABS((Y2044-H2044)/80*100)</f>
        <v>2.701527482255273E-2</v>
      </c>
      <c r="AH2044">
        <f>H2044-AG2018</f>
        <v>50.200682499999999</v>
      </c>
      <c r="AI2044">
        <f>100*(AH2044-O2044)/80</f>
        <v>0.26925312500000409</v>
      </c>
    </row>
    <row r="2045" spans="1:41" x14ac:dyDescent="0.35">
      <c r="A2045" t="s">
        <v>293</v>
      </c>
      <c r="B2045" t="s">
        <v>1111</v>
      </c>
      <c r="C2045" t="s">
        <v>1288</v>
      </c>
      <c r="D2045">
        <v>10</v>
      </c>
      <c r="E2045">
        <v>10</v>
      </c>
      <c r="F2045">
        <v>-1</v>
      </c>
      <c r="G2045">
        <v>-1.000632</v>
      </c>
      <c r="H2045">
        <v>9.5281249999999993</v>
      </c>
      <c r="J2045">
        <v>-12393</v>
      </c>
      <c r="N2045" t="s">
        <v>202</v>
      </c>
      <c r="O2045">
        <f t="shared" si="93"/>
        <v>9.9747200000000014</v>
      </c>
      <c r="P2045">
        <f t="shared" si="94"/>
        <v>-0.55824375000000259</v>
      </c>
      <c r="Q2045">
        <f t="shared" si="95"/>
        <v>0.55824375000000259</v>
      </c>
      <c r="Y2045">
        <f>TREND(H2039:H2043,G2039:G2043,G2045)</f>
        <v>9.5445319674741285</v>
      </c>
      <c r="Z2045">
        <f>ABS((Y2045-H2045)/80*100)</f>
        <v>2.0508709342661469E-2</v>
      </c>
      <c r="AH2045">
        <f>H2045-AG2018</f>
        <v>10.116307500000001</v>
      </c>
      <c r="AI2045">
        <f>100*(AH2045-O2045)/80</f>
        <v>0.17698437499999997</v>
      </c>
    </row>
    <row r="2046" spans="1:41" x14ac:dyDescent="0.35">
      <c r="A2046" t="s">
        <v>293</v>
      </c>
      <c r="B2046" t="s">
        <v>1111</v>
      </c>
      <c r="C2046" t="s">
        <v>1324</v>
      </c>
      <c r="D2046">
        <v>25</v>
      </c>
      <c r="E2046">
        <v>25</v>
      </c>
      <c r="F2046">
        <v>-1</v>
      </c>
      <c r="G2046">
        <v>-1.000181</v>
      </c>
      <c r="H2046">
        <v>9.3109374999999996</v>
      </c>
      <c r="J2046">
        <v>-6370</v>
      </c>
      <c r="N2046" t="s">
        <v>202</v>
      </c>
      <c r="O2046">
        <f t="shared" si="93"/>
        <v>9.9927600000000005</v>
      </c>
      <c r="P2046">
        <f t="shared" si="94"/>
        <v>-0.85227812500000122</v>
      </c>
      <c r="Q2046">
        <f t="shared" si="95"/>
        <v>0.85227812500000122</v>
      </c>
      <c r="S2046">
        <v>49.265625</v>
      </c>
      <c r="T2046">
        <v>-0.91706874999999854</v>
      </c>
      <c r="U2046">
        <v>89.473437500000003</v>
      </c>
      <c r="V2046">
        <v>-0.66795312499998261</v>
      </c>
      <c r="W2046">
        <v>80.162496948242193</v>
      </c>
      <c r="X2046">
        <f>(W2046-80)/80*100</f>
        <v>0.20312118530274151</v>
      </c>
      <c r="Y2046">
        <f>TREND(H2046:H2050,G2046:G2050,G2046)</f>
        <v>9.2509718985923541</v>
      </c>
      <c r="Z2046">
        <f>ABS((Y2046-H2046)/80*100)</f>
        <v>7.4957001759556885E-2</v>
      </c>
      <c r="AA2046">
        <f>MAX(Z2046:Z2050)</f>
        <v>0.10702324907667204</v>
      </c>
      <c r="AB2046">
        <f>IF(ABS(MAX(P2046:P2052)) &gt; ABS(MIN(P2046:P2052)),MAX(P2046:P2052), MIN(P2046:P2052))</f>
        <v>-0.91706874999999854</v>
      </c>
      <c r="AC2046">
        <f>IF(ABS(AB2047)&gt;ABS(AB2046),AB2047,AB2046)</f>
        <v>-0.91706874999999854</v>
      </c>
      <c r="AH2046">
        <f>H2046-AG2018</f>
        <v>9.8991200000000017</v>
      </c>
      <c r="AI2046">
        <f>100*(AH2046-O2046)/80</f>
        <v>-0.11704999999999854</v>
      </c>
      <c r="AJ2046">
        <v>49.853807500000002</v>
      </c>
      <c r="AK2046">
        <v>-0.18184062499999598</v>
      </c>
      <c r="AL2046">
        <v>90.061620000000005</v>
      </c>
      <c r="AM2046">
        <v>6.7275000000019958E-2</v>
      </c>
      <c r="AN2046">
        <f>IF(ABS(MAX(AI2046:AI2052)) &gt; ABS(MIN(AI2046:AI2052)),MAX(AI2046:AI2052), MIN(AI2046:AI2052))</f>
        <v>-0.18184062499999598</v>
      </c>
      <c r="AO2046">
        <f>IF(ABS(AN2047)&gt;ABS(AN2046),AN2047,AN2046)</f>
        <v>-0.18184062499999598</v>
      </c>
    </row>
    <row r="2047" spans="1:41" x14ac:dyDescent="0.35">
      <c r="A2047" t="s">
        <v>293</v>
      </c>
      <c r="B2047" t="s">
        <v>1111</v>
      </c>
      <c r="C2047" t="s">
        <v>1361</v>
      </c>
      <c r="D2047">
        <v>25</v>
      </c>
      <c r="E2047">
        <v>25</v>
      </c>
      <c r="F2047">
        <v>-0.5</v>
      </c>
      <c r="G2047">
        <v>-0.50025200000000003</v>
      </c>
      <c r="H2047">
        <v>29.2578125</v>
      </c>
      <c r="J2047">
        <v>-6359</v>
      </c>
      <c r="N2047" t="s">
        <v>202</v>
      </c>
      <c r="O2047">
        <f t="shared" si="93"/>
        <v>29.989919999999998</v>
      </c>
      <c r="P2047">
        <f t="shared" si="94"/>
        <v>-0.91513437499999739</v>
      </c>
      <c r="Q2047">
        <f t="shared" si="95"/>
        <v>0.91513437499999739</v>
      </c>
      <c r="Y2047">
        <f>TREND(H2046:H2050,G2046:G2050,G2047)</f>
        <v>29.294993454122547</v>
      </c>
      <c r="Z2047">
        <f>ABS((Y2047-H2047)/80*100)</f>
        <v>4.6476192653184256E-2</v>
      </c>
      <c r="AB2047">
        <f>IF(ABS(T2046) &gt; ABS(V2046),T2046,V2046)</f>
        <v>-0.91706874999999854</v>
      </c>
      <c r="AH2047">
        <f>H2047-AG2018</f>
        <v>29.845995000000002</v>
      </c>
      <c r="AI2047">
        <f>100*(AH2047-O2047)/80</f>
        <v>-0.17990624999999483</v>
      </c>
      <c r="AN2047">
        <f>IF(ABS(AK2046) &gt; ABS(AM2046),AK2046,AM2046)</f>
        <v>-0.18184062499999598</v>
      </c>
    </row>
    <row r="2048" spans="1:41" x14ac:dyDescent="0.35">
      <c r="A2048" t="s">
        <v>293</v>
      </c>
      <c r="B2048" t="s">
        <v>1111</v>
      </c>
      <c r="C2048" t="s">
        <v>1397</v>
      </c>
      <c r="D2048">
        <v>25</v>
      </c>
      <c r="E2048">
        <v>25</v>
      </c>
      <c r="F2048">
        <v>0</v>
      </c>
      <c r="G2048">
        <v>-1.8E-5</v>
      </c>
      <c r="H2048">
        <v>49.265625</v>
      </c>
      <c r="J2048">
        <v>-6350</v>
      </c>
      <c r="N2048" t="s">
        <v>202</v>
      </c>
      <c r="O2048">
        <f t="shared" si="93"/>
        <v>49.999279999999999</v>
      </c>
      <c r="P2048">
        <f t="shared" si="94"/>
        <v>-0.91706874999999854</v>
      </c>
      <c r="Q2048">
        <f t="shared" si="95"/>
        <v>0.91706874999999854</v>
      </c>
      <c r="Y2048">
        <f>TREND(H2046:H2050,G2046:G2050,G2048)</f>
        <v>49.351243599261338</v>
      </c>
      <c r="Z2048">
        <f>ABS((Y2048-H2048)/80*100)</f>
        <v>0.10702324907667204</v>
      </c>
      <c r="AH2048">
        <f>H2048-AG2018</f>
        <v>49.853807500000002</v>
      </c>
      <c r="AI2048">
        <f>100*(AH2048-O2048)/80</f>
        <v>-0.18184062499999598</v>
      </c>
    </row>
    <row r="2049" spans="1:41" x14ac:dyDescent="0.35">
      <c r="A2049" t="s">
        <v>293</v>
      </c>
      <c r="B2049" t="s">
        <v>1111</v>
      </c>
      <c r="C2049" t="s">
        <v>1434</v>
      </c>
      <c r="D2049">
        <v>25</v>
      </c>
      <c r="E2049">
        <v>25</v>
      </c>
      <c r="F2049">
        <v>0.5</v>
      </c>
      <c r="G2049">
        <v>0.49989400000000001</v>
      </c>
      <c r="H2049">
        <v>69.4375</v>
      </c>
      <c r="J2049">
        <v>-6342</v>
      </c>
      <c r="N2049" t="s">
        <v>202</v>
      </c>
      <c r="O2049">
        <f t="shared" si="93"/>
        <v>69.995760000000004</v>
      </c>
      <c r="P2049">
        <f t="shared" si="94"/>
        <v>-0.69782500000000525</v>
      </c>
      <c r="Q2049">
        <f t="shared" si="95"/>
        <v>0.69782500000000525</v>
      </c>
      <c r="Y2049">
        <f>TREND(H2046:H2050,G2046:G2050,G2049)</f>
        <v>69.39458356127237</v>
      </c>
      <c r="Z2049">
        <f>ABS((Y2049-H2049)/80*100)</f>
        <v>5.3645548409537717E-2</v>
      </c>
      <c r="AH2049">
        <f>H2049-AG2018</f>
        <v>70.025682500000002</v>
      </c>
      <c r="AI2049">
        <f>100*(AH2049-O2049)/80</f>
        <v>3.7403124999997317E-2</v>
      </c>
    </row>
    <row r="2050" spans="1:41" x14ac:dyDescent="0.35">
      <c r="A2050" t="s">
        <v>293</v>
      </c>
      <c r="B2050" t="s">
        <v>1111</v>
      </c>
      <c r="C2050" t="s">
        <v>1471</v>
      </c>
      <c r="D2050">
        <v>25</v>
      </c>
      <c r="E2050">
        <v>25</v>
      </c>
      <c r="F2050">
        <v>1</v>
      </c>
      <c r="G2050">
        <v>1.0001949999999999</v>
      </c>
      <c r="H2050">
        <v>89.473437500000003</v>
      </c>
      <c r="J2050">
        <v>-6335</v>
      </c>
      <c r="N2050" t="s">
        <v>202</v>
      </c>
      <c r="O2050">
        <f t="shared" si="93"/>
        <v>90.007799999999989</v>
      </c>
      <c r="P2050">
        <f t="shared" si="94"/>
        <v>-0.66795312499998261</v>
      </c>
      <c r="Q2050">
        <f t="shared" si="95"/>
        <v>0.66795312499998261</v>
      </c>
      <c r="Y2050">
        <f>TREND(H2046:H2050,G2046:G2050,G2050)</f>
        <v>89.453519986751402</v>
      </c>
      <c r="Z2050">
        <f>ABS((Y2050-H2050)/80*100)</f>
        <v>2.4896891560750589E-2</v>
      </c>
      <c r="AH2050">
        <f>H2050-AG2018</f>
        <v>90.061620000000005</v>
      </c>
      <c r="AI2050">
        <f>100*(AH2050-O2050)/80</f>
        <v>6.7275000000019958E-2</v>
      </c>
    </row>
    <row r="2051" spans="1:41" x14ac:dyDescent="0.35">
      <c r="A2051" t="s">
        <v>293</v>
      </c>
      <c r="B2051" t="s">
        <v>1111</v>
      </c>
      <c r="C2051" t="s">
        <v>1508</v>
      </c>
      <c r="D2051">
        <v>25</v>
      </c>
      <c r="E2051">
        <v>25</v>
      </c>
      <c r="F2051">
        <v>0</v>
      </c>
      <c r="G2051">
        <v>2.8E-5</v>
      </c>
      <c r="H2051">
        <v>49.332812500000003</v>
      </c>
      <c r="J2051">
        <v>-6320</v>
      </c>
      <c r="N2051" t="s">
        <v>202</v>
      </c>
      <c r="O2051">
        <f t="shared" si="93"/>
        <v>50.00112</v>
      </c>
      <c r="P2051">
        <f t="shared" si="94"/>
        <v>-0.83538437499999674</v>
      </c>
      <c r="Q2051">
        <f t="shared" si="95"/>
        <v>0.83538437499999674</v>
      </c>
      <c r="Y2051">
        <f>TREND(H2046:H2050,G2046:G2050,G2051)</f>
        <v>49.353087911136733</v>
      </c>
      <c r="Z2051">
        <f>ABS((Y2051-H2051)/80*100)</f>
        <v>2.5344263920912269E-2</v>
      </c>
      <c r="AH2051">
        <f>H2051-AG2018</f>
        <v>49.920995000000005</v>
      </c>
      <c r="AI2051">
        <f>100*(AH2051-O2051)/80</f>
        <v>-0.10015624999999417</v>
      </c>
    </row>
    <row r="2052" spans="1:41" x14ac:dyDescent="0.35">
      <c r="A2052" t="s">
        <v>293</v>
      </c>
      <c r="B2052" t="s">
        <v>1111</v>
      </c>
      <c r="C2052" t="s">
        <v>1544</v>
      </c>
      <c r="D2052">
        <v>25</v>
      </c>
      <c r="E2052">
        <v>25</v>
      </c>
      <c r="F2052">
        <v>-1</v>
      </c>
      <c r="G2052">
        <v>-1.0004219999999999</v>
      </c>
      <c r="H2052">
        <v>9.3125</v>
      </c>
      <c r="J2052">
        <v>-6320</v>
      </c>
      <c r="N2052" t="s">
        <v>202</v>
      </c>
      <c r="O2052">
        <f t="shared" si="93"/>
        <v>9.9831200000000031</v>
      </c>
      <c r="P2052">
        <f t="shared" si="94"/>
        <v>-0.83827500000000388</v>
      </c>
      <c r="Q2052">
        <f t="shared" si="95"/>
        <v>0.83827500000000388</v>
      </c>
      <c r="Y2052">
        <f>TREND(H2046:H2050,G2046:G2050,G2052)</f>
        <v>9.2413093081147437</v>
      </c>
      <c r="Z2052">
        <f>ABS((Y2052-H2052)/80*100)</f>
        <v>8.8988364856570357E-2</v>
      </c>
      <c r="AH2052">
        <f>H2052-AG2018</f>
        <v>9.9006825000000021</v>
      </c>
      <c r="AI2052">
        <f>100*(AH2052-O2052)/80</f>
        <v>-0.10304687500000131</v>
      </c>
    </row>
    <row r="2053" spans="1:41" x14ac:dyDescent="0.35">
      <c r="A2053" t="s">
        <v>293</v>
      </c>
      <c r="B2053" t="s">
        <v>1111</v>
      </c>
      <c r="C2053" t="s">
        <v>1581</v>
      </c>
      <c r="D2053">
        <v>50</v>
      </c>
      <c r="E2053">
        <v>50</v>
      </c>
      <c r="F2053">
        <v>-1</v>
      </c>
      <c r="G2053">
        <v>-1.00021</v>
      </c>
      <c r="H2053">
        <v>9.2859374999999993</v>
      </c>
      <c r="J2053">
        <v>3701</v>
      </c>
      <c r="N2053" t="s">
        <v>202</v>
      </c>
      <c r="O2053">
        <f t="shared" si="93"/>
        <v>9.9915999999999983</v>
      </c>
      <c r="P2053">
        <f t="shared" si="94"/>
        <v>-0.88207812499999871</v>
      </c>
      <c r="Q2053">
        <f t="shared" si="95"/>
        <v>0.88207812499999871</v>
      </c>
      <c r="S2053">
        <v>49.15625</v>
      </c>
      <c r="T2053">
        <v>-1.0416874999999948</v>
      </c>
      <c r="U2053">
        <v>89.301562500000003</v>
      </c>
      <c r="V2053">
        <v>-0.87499687500001144</v>
      </c>
      <c r="W2053">
        <v>80.015621948242185</v>
      </c>
      <c r="X2053">
        <f>(W2053-80)/80*100</f>
        <v>1.9527435302730822E-2</v>
      </c>
      <c r="Y2053">
        <f>TREND(H2053:H2057,G2053:G2057,G2053)</f>
        <v>9.214661383097237</v>
      </c>
      <c r="Z2053">
        <f>ABS((Y2053-H2053)/80*100)</f>
        <v>8.9095146128452818E-2</v>
      </c>
      <c r="AA2053">
        <f>MAX(Z2053:Z2057)</f>
        <v>8.9095146128452818E-2</v>
      </c>
      <c r="AB2053">
        <f>IF(ABS(MAX(P2053:P2059)) &gt; ABS(MIN(P2053:P2059)),MAX(P2053:P2059), MIN(P2053:P2059))</f>
        <v>-1.0416874999999948</v>
      </c>
      <c r="AC2053">
        <f>IF(ABS(AB2054)&gt;ABS(AB2053),AB2054,AB2053)</f>
        <v>-1.0416874999999948</v>
      </c>
      <c r="AH2053">
        <f>H2053-AG2018</f>
        <v>9.8741200000000013</v>
      </c>
      <c r="AI2053">
        <f>100*(AH2053-O2053)/80</f>
        <v>-0.14684999999999615</v>
      </c>
      <c r="AJ2053">
        <v>49.744432500000002</v>
      </c>
      <c r="AK2053">
        <v>-0.30645937499999221</v>
      </c>
      <c r="AL2053">
        <v>89.889745000000005</v>
      </c>
      <c r="AM2053">
        <v>-0.13976875000000888</v>
      </c>
      <c r="AN2053">
        <f>IF(ABS(MAX(AI2053:AI2059)) &gt; ABS(MIN(AI2053:AI2059)),MAX(AI2053:AI2059), MIN(AI2053:AI2059))</f>
        <v>-0.30645937499999221</v>
      </c>
      <c r="AO2053">
        <f>IF(ABS(AN2054)&gt;ABS(AN2053),AN2054,AN2053)</f>
        <v>-0.30645937499999221</v>
      </c>
    </row>
    <row r="2054" spans="1:41" x14ac:dyDescent="0.35">
      <c r="A2054" t="s">
        <v>293</v>
      </c>
      <c r="B2054" t="s">
        <v>1111</v>
      </c>
      <c r="C2054" t="s">
        <v>1617</v>
      </c>
      <c r="D2054">
        <v>50</v>
      </c>
      <c r="E2054">
        <v>50</v>
      </c>
      <c r="F2054">
        <v>-0.5</v>
      </c>
      <c r="G2054">
        <v>-0.50023499999999999</v>
      </c>
      <c r="H2054">
        <v>29.173437499999999</v>
      </c>
      <c r="J2054">
        <v>3723</v>
      </c>
      <c r="N2054" t="s">
        <v>202</v>
      </c>
      <c r="O2054">
        <f t="shared" si="93"/>
        <v>29.990600000000001</v>
      </c>
      <c r="P2054">
        <f t="shared" si="94"/>
        <v>-1.0214531250000025</v>
      </c>
      <c r="Q2054">
        <f t="shared" si="95"/>
        <v>1.0214531250000025</v>
      </c>
      <c r="Y2054">
        <f>TREND(H2053:H2057,G2053:G2057,G2054)</f>
        <v>29.220630881652394</v>
      </c>
      <c r="Z2054">
        <f>ABS((Y2054-H2054)/80*100)</f>
        <v>5.8991727065493826E-2</v>
      </c>
      <c r="AB2054">
        <f>IF(ABS(T2053) &gt; ABS(V2053),T2053,V2053)</f>
        <v>-1.0416874999999948</v>
      </c>
      <c r="AH2054">
        <f>H2054-AG2018</f>
        <v>29.761620000000001</v>
      </c>
      <c r="AI2054">
        <f>100*(AH2054-O2054)/80</f>
        <v>-0.28622499999999995</v>
      </c>
      <c r="AN2054">
        <f>IF(ABS(AK2053) &gt; ABS(AM2053),AK2053,AM2053)</f>
        <v>-0.30645937499999221</v>
      </c>
    </row>
    <row r="2055" spans="1:41" x14ac:dyDescent="0.35">
      <c r="A2055" t="s">
        <v>293</v>
      </c>
      <c r="B2055" t="s">
        <v>1111</v>
      </c>
      <c r="C2055" t="s">
        <v>1655</v>
      </c>
      <c r="D2055">
        <v>50</v>
      </c>
      <c r="E2055">
        <v>50</v>
      </c>
      <c r="F2055">
        <v>0</v>
      </c>
      <c r="G2055">
        <v>-2.5999999999999998E-4</v>
      </c>
      <c r="H2055">
        <v>49.15625</v>
      </c>
      <c r="J2055">
        <v>3746</v>
      </c>
      <c r="N2055" t="s">
        <v>202</v>
      </c>
      <c r="O2055">
        <f t="shared" si="93"/>
        <v>49.989599999999996</v>
      </c>
      <c r="P2055">
        <f t="shared" si="94"/>
        <v>-1.0416874999999948</v>
      </c>
      <c r="Q2055">
        <f t="shared" si="95"/>
        <v>1.0416874999999948</v>
      </c>
      <c r="Y2055">
        <f>TREND(H2053:H2057,G2053:G2057,G2055)</f>
        <v>49.22660038020755</v>
      </c>
      <c r="Z2055">
        <f>ABS((Y2055-H2055)/80*100)</f>
        <v>8.7937975259437806E-2</v>
      </c>
      <c r="AH2055">
        <f>H2055-AG2018</f>
        <v>49.744432500000002</v>
      </c>
      <c r="AI2055">
        <f>100*(AH2055-O2055)/80</f>
        <v>-0.30645937499999221</v>
      </c>
    </row>
    <row r="2056" spans="1:41" x14ac:dyDescent="0.35">
      <c r="A2056" t="s">
        <v>293</v>
      </c>
      <c r="B2056" t="s">
        <v>1111</v>
      </c>
      <c r="C2056" t="s">
        <v>1691</v>
      </c>
      <c r="D2056">
        <v>50</v>
      </c>
      <c r="E2056">
        <v>50</v>
      </c>
      <c r="F2056">
        <v>0.5</v>
      </c>
      <c r="G2056">
        <v>0.49994699999999997</v>
      </c>
      <c r="H2056">
        <v>69.239062500000003</v>
      </c>
      <c r="J2056">
        <v>3771</v>
      </c>
      <c r="N2056" t="s">
        <v>202</v>
      </c>
      <c r="O2056">
        <f t="shared" si="93"/>
        <v>69.997879999999995</v>
      </c>
      <c r="P2056">
        <f t="shared" si="94"/>
        <v>-0.94852187499999019</v>
      </c>
      <c r="Q2056">
        <f t="shared" si="95"/>
        <v>0.94852187499999019</v>
      </c>
      <c r="Y2056">
        <f>TREND(H2053:H2057,G2053:G2057,G2056)</f>
        <v>69.241853112771736</v>
      </c>
      <c r="Z2056">
        <f>ABS((Y2056-H2056)/80*100)</f>
        <v>3.4882659646662262E-3</v>
      </c>
      <c r="AH2056">
        <f>H2056-AG2018</f>
        <v>69.827245000000005</v>
      </c>
      <c r="AI2056">
        <f>100*(AH2056-O2056)/80</f>
        <v>-0.21329374999998763</v>
      </c>
    </row>
    <row r="2057" spans="1:41" x14ac:dyDescent="0.35">
      <c r="A2057" t="s">
        <v>293</v>
      </c>
      <c r="B2057" t="s">
        <v>1111</v>
      </c>
      <c r="C2057" t="s">
        <v>1728</v>
      </c>
      <c r="D2057">
        <v>50</v>
      </c>
      <c r="E2057">
        <v>50</v>
      </c>
      <c r="F2057">
        <v>1</v>
      </c>
      <c r="G2057">
        <v>1.0000389999999999</v>
      </c>
      <c r="H2057">
        <v>89.301562500000003</v>
      </c>
      <c r="J2057">
        <v>3788</v>
      </c>
      <c r="N2057" t="s">
        <v>202</v>
      </c>
      <c r="O2057">
        <f t="shared" ref="O2057:O2120" si="96">(((G2057--1)*(40))+10)</f>
        <v>90.001560000000012</v>
      </c>
      <c r="P2057">
        <f t="shared" ref="P2057:P2120" si="97">100*(H2057-O2057)/80</f>
        <v>-0.87499687500001144</v>
      </c>
      <c r="Q2057">
        <f t="shared" ref="Q2057:Q2120" si="98">ABS(P2057)</f>
        <v>0.87499687500001144</v>
      </c>
      <c r="Y2057">
        <f>TREND(H2053:H2057,G2053:G2057,G2057)</f>
        <v>89.252504242271101</v>
      </c>
      <c r="Z2057">
        <f>ABS((Y2057-H2057)/80*100)</f>
        <v>6.1322822161127277E-2</v>
      </c>
      <c r="AH2057">
        <f>H2057-AG2018</f>
        <v>89.889745000000005</v>
      </c>
      <c r="AI2057">
        <f>100*(AH2057-O2057)/80</f>
        <v>-0.13976875000000888</v>
      </c>
    </row>
    <row r="2058" spans="1:41" x14ac:dyDescent="0.35">
      <c r="A2058" t="s">
        <v>293</v>
      </c>
      <c r="B2058" t="s">
        <v>1111</v>
      </c>
      <c r="C2058" t="s">
        <v>1765</v>
      </c>
      <c r="D2058">
        <v>50</v>
      </c>
      <c r="E2058">
        <v>50</v>
      </c>
      <c r="F2058">
        <v>0</v>
      </c>
      <c r="G2058">
        <v>0</v>
      </c>
      <c r="H2058">
        <v>49.2421875</v>
      </c>
      <c r="J2058">
        <v>3801</v>
      </c>
      <c r="N2058" t="s">
        <v>202</v>
      </c>
      <c r="O2058">
        <f t="shared" si="96"/>
        <v>50</v>
      </c>
      <c r="P2058">
        <f t="shared" si="97"/>
        <v>-0.947265625</v>
      </c>
      <c r="Q2058">
        <f t="shared" si="98"/>
        <v>0.947265625</v>
      </c>
      <c r="Y2058">
        <f>TREND(H2053:H2057,G2053:G2057,G2058)</f>
        <v>49.237004004528018</v>
      </c>
      <c r="Z2058">
        <f>ABS((Y2058-H2058)/80*100)</f>
        <v>6.4793693399778363E-3</v>
      </c>
      <c r="AH2058">
        <f>H2058-AG2018</f>
        <v>49.830370000000002</v>
      </c>
      <c r="AI2058">
        <f>100*(AH2058-O2058)/80</f>
        <v>-0.21203749999999744</v>
      </c>
    </row>
    <row r="2059" spans="1:41" x14ac:dyDescent="0.35">
      <c r="A2059" t="s">
        <v>293</v>
      </c>
      <c r="B2059" t="s">
        <v>1111</v>
      </c>
      <c r="C2059" t="s">
        <v>1801</v>
      </c>
      <c r="D2059">
        <v>50</v>
      </c>
      <c r="E2059">
        <v>50</v>
      </c>
      <c r="F2059">
        <v>-1</v>
      </c>
      <c r="G2059">
        <v>-0.99987899999999996</v>
      </c>
      <c r="H2059">
        <v>9.2953124999999996</v>
      </c>
      <c r="J2059">
        <v>3812</v>
      </c>
      <c r="N2059" t="s">
        <v>202</v>
      </c>
      <c r="O2059">
        <f t="shared" si="96"/>
        <v>10.004840000000002</v>
      </c>
      <c r="P2059">
        <f t="shared" si="97"/>
        <v>-0.88690937500000222</v>
      </c>
      <c r="Q2059">
        <f t="shared" si="98"/>
        <v>0.88690937500000222</v>
      </c>
      <c r="Y2059">
        <f>TREND(H2053:H2057,G2053:G2057,G2059)</f>
        <v>9.2279059971359843</v>
      </c>
      <c r="Z2059">
        <f>ABS((Y2059-H2059)/80*100)</f>
        <v>8.4258128580019243E-2</v>
      </c>
      <c r="AH2059">
        <f>H2059-AG2018</f>
        <v>9.8834950000000017</v>
      </c>
      <c r="AI2059">
        <f>100*(AH2059-O2059)/80</f>
        <v>-0.15168124999999977</v>
      </c>
    </row>
    <row r="2060" spans="1:41" x14ac:dyDescent="0.35">
      <c r="A2060" t="s">
        <v>293</v>
      </c>
      <c r="B2060" t="s">
        <v>1111</v>
      </c>
      <c r="C2060" t="s">
        <v>1839</v>
      </c>
      <c r="D2060">
        <v>70</v>
      </c>
      <c r="E2060">
        <v>70</v>
      </c>
      <c r="F2060">
        <v>-1</v>
      </c>
      <c r="G2060">
        <v>-1.000213</v>
      </c>
      <c r="H2060">
        <v>9.75</v>
      </c>
      <c r="J2060">
        <v>11908</v>
      </c>
      <c r="N2060" t="s">
        <v>202</v>
      </c>
      <c r="O2060">
        <f t="shared" si="96"/>
        <v>9.9914799999999993</v>
      </c>
      <c r="P2060">
        <f t="shared" si="97"/>
        <v>-0.30184999999999906</v>
      </c>
      <c r="Q2060">
        <f t="shared" si="98"/>
        <v>0.30184999999999906</v>
      </c>
      <c r="S2060">
        <v>50</v>
      </c>
      <c r="T2060">
        <v>1.0550000000000281E-2</v>
      </c>
      <c r="U2060">
        <v>89.746875000000003</v>
      </c>
      <c r="V2060">
        <v>-0.31230625000000956</v>
      </c>
      <c r="W2060">
        <v>79.996871948242188</v>
      </c>
      <c r="X2060">
        <f>(W2060-80)/80*100</f>
        <v>-3.910064697265625E-3</v>
      </c>
      <c r="Y2060">
        <f>TREND(H2060:H2064,G2060:G2064,G2060)</f>
        <v>9.7461819762085682</v>
      </c>
      <c r="Z2060">
        <f>ABS((Y2060-H2060)/80*100)</f>
        <v>4.7725297392897659E-3</v>
      </c>
      <c r="AA2060">
        <f>MAX(Z2060:Z2064)</f>
        <v>0.30156898007281718</v>
      </c>
      <c r="AB2060">
        <f>IF(ABS(MAX(P2060:P2066)) &gt; ABS(MIN(P2060:P2066)),MAX(P2060:P2066), MIN(P2060:P2066))</f>
        <v>-0.47522812500000011</v>
      </c>
      <c r="AC2060">
        <f>IF(ABS(AB2061)&gt;ABS(AB2060),AB2061,AB2060)</f>
        <v>-0.47522812500000011</v>
      </c>
      <c r="AH2060">
        <f>H2060-AG2018</f>
        <v>10.338182500000002</v>
      </c>
      <c r="AI2060">
        <f>100*(AH2060-O2060)/80</f>
        <v>0.4333781250000035</v>
      </c>
      <c r="AJ2060">
        <v>50.588182500000002</v>
      </c>
      <c r="AK2060">
        <v>0.74577812500000285</v>
      </c>
      <c r="AL2060">
        <v>90.335057500000005</v>
      </c>
      <c r="AM2060">
        <v>0.42292187499999301</v>
      </c>
      <c r="AN2060">
        <f>IF(ABS(MAX(AI2060:AI2066)) &gt; ABS(MIN(AI2060:AI2066)),MAX(AI2060:AI2066), MIN(AI2060:AI2066))</f>
        <v>0.74577812500000285</v>
      </c>
      <c r="AO2060">
        <f>IF(ABS(AN2061)&gt;ABS(AN2060),AN2061,AN2060)</f>
        <v>0.74577812500000285</v>
      </c>
    </row>
    <row r="2061" spans="1:41" x14ac:dyDescent="0.35">
      <c r="A2061" t="s">
        <v>293</v>
      </c>
      <c r="B2061" t="s">
        <v>1111</v>
      </c>
      <c r="C2061" t="s">
        <v>1876</v>
      </c>
      <c r="D2061">
        <v>70</v>
      </c>
      <c r="E2061">
        <v>70</v>
      </c>
      <c r="F2061">
        <v>-0.5</v>
      </c>
      <c r="G2061">
        <v>-0.50022200000000006</v>
      </c>
      <c r="H2061">
        <v>29.610937499999999</v>
      </c>
      <c r="J2061">
        <v>11934</v>
      </c>
      <c r="N2061" t="s">
        <v>202</v>
      </c>
      <c r="O2061">
        <f t="shared" si="96"/>
        <v>29.991119999999999</v>
      </c>
      <c r="P2061">
        <f t="shared" si="97"/>
        <v>-0.47522812500000011</v>
      </c>
      <c r="Q2061">
        <f t="shared" si="98"/>
        <v>0.47522812500000011</v>
      </c>
      <c r="Y2061">
        <f>TREND(H2060:H2064,G2060:G2064,G2061)</f>
        <v>29.75206327124701</v>
      </c>
      <c r="Z2061">
        <f>ABS((Y2061-H2061)/80*100)</f>
        <v>0.17640721405876469</v>
      </c>
      <c r="AB2061">
        <f>IF(ABS(T2060) &gt; ABS(V2060),T2060,V2060)</f>
        <v>-0.31230625000000956</v>
      </c>
      <c r="AH2061">
        <f>H2061-AG2018</f>
        <v>30.199120000000001</v>
      </c>
      <c r="AI2061">
        <f>100*(AH2061-O2061)/80</f>
        <v>0.26000000000000245</v>
      </c>
      <c r="AN2061">
        <f>IF(ABS(AK2060) &gt; ABS(AM2060),AK2060,AM2060)</f>
        <v>0.74577812500000285</v>
      </c>
    </row>
    <row r="2062" spans="1:41" x14ac:dyDescent="0.35">
      <c r="A2062" t="s">
        <v>293</v>
      </c>
      <c r="B2062" t="s">
        <v>1111</v>
      </c>
      <c r="C2062" t="s">
        <v>1912</v>
      </c>
      <c r="D2062">
        <v>70</v>
      </c>
      <c r="E2062">
        <v>70</v>
      </c>
      <c r="F2062">
        <v>0</v>
      </c>
      <c r="G2062">
        <v>-2.1100000000000001E-4</v>
      </c>
      <c r="H2062">
        <v>50</v>
      </c>
      <c r="J2062">
        <v>11960</v>
      </c>
      <c r="N2062" t="s">
        <v>202</v>
      </c>
      <c r="O2062">
        <f t="shared" si="96"/>
        <v>49.99156</v>
      </c>
      <c r="P2062">
        <f t="shared" si="97"/>
        <v>1.0550000000000281E-2</v>
      </c>
      <c r="Q2062">
        <f t="shared" si="98"/>
        <v>1.0550000000000281E-2</v>
      </c>
      <c r="Y2062">
        <f>TREND(H2060:H2064,G2060:G2064,G2062)</f>
        <v>49.758744815941746</v>
      </c>
      <c r="Z2062">
        <f>ABS((Y2062-H2062)/80*100)</f>
        <v>0.30156898007281718</v>
      </c>
      <c r="AH2062">
        <f>H2062-AG2018</f>
        <v>50.588182500000002</v>
      </c>
      <c r="AI2062">
        <f>100*(AH2062-O2062)/80</f>
        <v>0.74577812500000285</v>
      </c>
    </row>
    <row r="2063" spans="1:41" x14ac:dyDescent="0.35">
      <c r="A2063" t="s">
        <v>293</v>
      </c>
      <c r="B2063" t="s">
        <v>1111</v>
      </c>
      <c r="C2063" t="s">
        <v>1948</v>
      </c>
      <c r="D2063">
        <v>70</v>
      </c>
      <c r="E2063">
        <v>70</v>
      </c>
      <c r="F2063">
        <v>0.5</v>
      </c>
      <c r="G2063">
        <v>0.49994699999999997</v>
      </c>
      <c r="H2063">
        <v>69.696875000000006</v>
      </c>
      <c r="J2063">
        <v>11973</v>
      </c>
      <c r="N2063" t="s">
        <v>202</v>
      </c>
      <c r="O2063">
        <f t="shared" si="96"/>
        <v>69.997879999999995</v>
      </c>
      <c r="P2063">
        <f t="shared" si="97"/>
        <v>-0.37625624999998664</v>
      </c>
      <c r="Q2063">
        <f t="shared" si="98"/>
        <v>0.37625624999998664</v>
      </c>
      <c r="Y2063">
        <f>TREND(H2060:H2064,G2060:G2064,G2063)</f>
        <v>69.77130819561026</v>
      </c>
      <c r="Z2063">
        <f>ABS((Y2063-H2063)/80*100)</f>
        <v>9.3041494512817735E-2</v>
      </c>
      <c r="AH2063">
        <f>H2063-AG2018</f>
        <v>70.285057500000008</v>
      </c>
      <c r="AI2063">
        <f>100*(AH2063-O2063)/80</f>
        <v>0.35897187500001593</v>
      </c>
    </row>
    <row r="2064" spans="1:41" x14ac:dyDescent="0.35">
      <c r="A2064" t="s">
        <v>293</v>
      </c>
      <c r="B2064" t="s">
        <v>1111</v>
      </c>
      <c r="C2064" t="s">
        <v>1985</v>
      </c>
      <c r="D2064">
        <v>70</v>
      </c>
      <c r="E2064">
        <v>70</v>
      </c>
      <c r="F2064">
        <v>1</v>
      </c>
      <c r="G2064">
        <v>0.99991799999999997</v>
      </c>
      <c r="H2064">
        <v>89.746875000000003</v>
      </c>
      <c r="J2064">
        <v>11986</v>
      </c>
      <c r="N2064" t="s">
        <v>202</v>
      </c>
      <c r="O2064">
        <f t="shared" si="96"/>
        <v>89.99672000000001</v>
      </c>
      <c r="P2064">
        <f t="shared" si="97"/>
        <v>-0.31230625000000956</v>
      </c>
      <c r="Q2064">
        <f t="shared" si="98"/>
        <v>0.31230625000000956</v>
      </c>
      <c r="Y2064">
        <f>TREND(H2060:H2064,G2060:G2064,G2064)</f>
        <v>89.776389240992415</v>
      </c>
      <c r="Z2064">
        <f>ABS((Y2064-H2064)/80*100)</f>
        <v>3.6892801240515638E-2</v>
      </c>
      <c r="AH2064">
        <f>H2064-AG2018</f>
        <v>90.335057500000005</v>
      </c>
      <c r="AI2064">
        <f>100*(AH2064-O2064)/80</f>
        <v>0.42292187499999301</v>
      </c>
    </row>
    <row r="2065" spans="1:41" x14ac:dyDescent="0.35">
      <c r="A2065" t="s">
        <v>293</v>
      </c>
      <c r="B2065" t="s">
        <v>1111</v>
      </c>
      <c r="C2065" t="s">
        <v>2021</v>
      </c>
      <c r="D2065">
        <v>70</v>
      </c>
      <c r="E2065">
        <v>70</v>
      </c>
      <c r="F2065">
        <v>0</v>
      </c>
      <c r="G2065">
        <v>-1.47E-4</v>
      </c>
      <c r="H2065">
        <v>49.6640625</v>
      </c>
      <c r="J2065">
        <v>11999</v>
      </c>
      <c r="N2065" t="s">
        <v>202</v>
      </c>
      <c r="O2065">
        <f t="shared" si="96"/>
        <v>49.994120000000002</v>
      </c>
      <c r="P2065">
        <f t="shared" si="97"/>
        <v>-0.41257187500000292</v>
      </c>
      <c r="Q2065">
        <f t="shared" si="98"/>
        <v>0.41257187500000292</v>
      </c>
      <c r="Y2065">
        <f>TREND(H2060:H2064,G2060:G2064,G2065)</f>
        <v>49.761305614841895</v>
      </c>
      <c r="Z2065">
        <f>ABS((Y2065-H2065)/80*100)</f>
        <v>0.12155389355236856</v>
      </c>
      <c r="AH2065">
        <f>H2065-AG2018</f>
        <v>50.252245000000002</v>
      </c>
      <c r="AI2065">
        <f>100*(AH2065-O2065)/80</f>
        <v>0.32265624999999964</v>
      </c>
    </row>
    <row r="2066" spans="1:41" x14ac:dyDescent="0.35">
      <c r="A2066" t="s">
        <v>293</v>
      </c>
      <c r="B2066" t="s">
        <v>1111</v>
      </c>
      <c r="C2066" t="s">
        <v>2058</v>
      </c>
      <c r="D2066">
        <v>70</v>
      </c>
      <c r="E2066">
        <v>70</v>
      </c>
      <c r="F2066">
        <v>-1</v>
      </c>
      <c r="G2066">
        <v>-1.000208</v>
      </c>
      <c r="H2066">
        <v>9.7515625000000004</v>
      </c>
      <c r="J2066">
        <v>12019</v>
      </c>
      <c r="N2066" t="s">
        <v>202</v>
      </c>
      <c r="O2066">
        <f t="shared" si="96"/>
        <v>9.9916800000000006</v>
      </c>
      <c r="P2066">
        <f t="shared" si="97"/>
        <v>-0.30014687500000026</v>
      </c>
      <c r="Q2066">
        <f t="shared" si="98"/>
        <v>0.30014687500000026</v>
      </c>
      <c r="Y2066">
        <f>TREND(H2060:H2064,G2060:G2064,G2066)</f>
        <v>9.7463820386226416</v>
      </c>
      <c r="Z2066">
        <f>ABS((Y2066-H2066)/80*100)</f>
        <v>6.4755767216984061E-3</v>
      </c>
      <c r="AH2066">
        <f>H2066-AG2018</f>
        <v>10.339745000000002</v>
      </c>
      <c r="AI2066">
        <f>100*(AH2066-O2066)/80</f>
        <v>0.43508125000000231</v>
      </c>
    </row>
    <row r="2067" spans="1:41" x14ac:dyDescent="0.35">
      <c r="A2067" t="s">
        <v>293</v>
      </c>
      <c r="B2067" t="s">
        <v>1111</v>
      </c>
      <c r="C2067" t="s">
        <v>2094</v>
      </c>
      <c r="D2067">
        <v>85</v>
      </c>
      <c r="E2067">
        <v>85</v>
      </c>
      <c r="F2067">
        <v>-1</v>
      </c>
      <c r="G2067">
        <v>-1.00014</v>
      </c>
      <c r="H2067">
        <v>10.362500000000001</v>
      </c>
      <c r="J2067">
        <v>18092</v>
      </c>
      <c r="N2067" t="s">
        <v>202</v>
      </c>
      <c r="O2067">
        <f t="shared" si="96"/>
        <v>9.9943999999999988</v>
      </c>
      <c r="P2067">
        <f t="shared" si="97"/>
        <v>0.46012500000000234</v>
      </c>
      <c r="Q2067">
        <f t="shared" si="98"/>
        <v>0.46012500000000234</v>
      </c>
      <c r="S2067">
        <v>50.303125000000001</v>
      </c>
      <c r="T2067">
        <v>0.38480625000000046</v>
      </c>
      <c r="U2067">
        <v>90.465625000000003</v>
      </c>
      <c r="V2067">
        <v>0.57748124999998041</v>
      </c>
      <c r="W2067">
        <v>80.10312194824219</v>
      </c>
      <c r="X2067">
        <f>(W2067-80)/80*100</f>
        <v>0.12890243530273793</v>
      </c>
      <c r="Y2067">
        <f>TREND(H2067:H2071,G2067:G2071,G2067)</f>
        <v>10.281315665201774</v>
      </c>
      <c r="Z2067">
        <f>ABS((Y2067-H2067)/80*100)</f>
        <v>0.10148041849778355</v>
      </c>
      <c r="AA2067">
        <f>MAX(Z2067:Z2071)</f>
        <v>0.10148041849778355</v>
      </c>
      <c r="AB2067">
        <f>IF(ABS(MAX(P2067:P2073)) &gt; ABS(MIN(P2067:P2073)),MAX(P2067:P2073), MIN(P2067:P2073))</f>
        <v>0.57748124999998041</v>
      </c>
      <c r="AC2067">
        <f>IF(ABS(AB2068)&gt;ABS(AB2067),AB2068,AB2067)</f>
        <v>0.57748124999998041</v>
      </c>
      <c r="AH2067">
        <f>H2067-AG2018</f>
        <v>10.950682500000003</v>
      </c>
      <c r="AI2067">
        <f>100*(AH2067-O2067)/80</f>
        <v>1.1953531250000049</v>
      </c>
      <c r="AJ2067">
        <v>50.891307500000003</v>
      </c>
      <c r="AK2067">
        <v>1.120034375000003</v>
      </c>
      <c r="AL2067">
        <v>91.053807500000005</v>
      </c>
      <c r="AM2067">
        <v>1.312709374999983</v>
      </c>
      <c r="AN2067">
        <f>IF(ABS(MAX(AI2067:AI2073)) &gt; ABS(MIN(AI2067:AI2073)),MAX(AI2067:AI2073), MIN(AI2067:AI2073))</f>
        <v>1.312709374999983</v>
      </c>
      <c r="AO2067">
        <f>IF(ABS(AN2068)&gt;ABS(AN2067),AN2068,AN2067)</f>
        <v>1.312709374999983</v>
      </c>
    </row>
    <row r="2068" spans="1:41" x14ac:dyDescent="0.35">
      <c r="A2068" t="s">
        <v>293</v>
      </c>
      <c r="B2068" t="s">
        <v>1111</v>
      </c>
      <c r="C2068" t="s">
        <v>2130</v>
      </c>
      <c r="D2068">
        <v>85</v>
      </c>
      <c r="E2068">
        <v>85</v>
      </c>
      <c r="F2068">
        <v>-0.5</v>
      </c>
      <c r="G2068">
        <v>-0.50023499999999999</v>
      </c>
      <c r="H2068">
        <v>30.232812500000001</v>
      </c>
      <c r="J2068">
        <v>18118</v>
      </c>
      <c r="N2068" t="s">
        <v>202</v>
      </c>
      <c r="O2068">
        <f t="shared" si="96"/>
        <v>29.990600000000001</v>
      </c>
      <c r="P2068">
        <f t="shared" si="97"/>
        <v>0.30276562500000104</v>
      </c>
      <c r="Q2068">
        <f t="shared" si="98"/>
        <v>0.30276562500000104</v>
      </c>
      <c r="Y2068">
        <f>TREND(H2067:H2071,G2067:G2071,G2068)</f>
        <v>30.310289076063562</v>
      </c>
      <c r="Z2068">
        <f>ABS((Y2068-H2068)/80*100)</f>
        <v>9.6845720079450359E-2</v>
      </c>
      <c r="AB2068">
        <f>IF(ABS(T2067) &gt; ABS(V2067),T2067,V2067)</f>
        <v>0.57748124999998041</v>
      </c>
      <c r="AH2068">
        <f>H2068-AG2018</f>
        <v>30.820995000000003</v>
      </c>
      <c r="AI2068">
        <f>100*(AH2068-O2068)/80</f>
        <v>1.0379937500000036</v>
      </c>
      <c r="AN2068">
        <f>IF(ABS(AK2067) &gt; ABS(AM2067),AK2067,AM2067)</f>
        <v>1.312709374999983</v>
      </c>
    </row>
    <row r="2069" spans="1:41" x14ac:dyDescent="0.35">
      <c r="A2069" t="s">
        <v>293</v>
      </c>
      <c r="B2069" t="s">
        <v>1111</v>
      </c>
      <c r="C2069" t="s">
        <v>2166</v>
      </c>
      <c r="D2069">
        <v>85</v>
      </c>
      <c r="E2069">
        <v>85</v>
      </c>
      <c r="F2069">
        <v>0</v>
      </c>
      <c r="G2069">
        <v>-1.18E-4</v>
      </c>
      <c r="H2069">
        <v>50.303125000000001</v>
      </c>
      <c r="J2069">
        <v>18126</v>
      </c>
      <c r="N2069" t="s">
        <v>202</v>
      </c>
      <c r="O2069">
        <f t="shared" si="96"/>
        <v>49.995280000000001</v>
      </c>
      <c r="P2069">
        <f t="shared" si="97"/>
        <v>0.38480625000000046</v>
      </c>
      <c r="Q2069">
        <f t="shared" si="98"/>
        <v>0.38480625000000046</v>
      </c>
      <c r="Y2069">
        <f>TREND(H2067:H2071,G2067:G2071,G2069)</f>
        <v>50.347756385492275</v>
      </c>
      <c r="Z2069">
        <f>ABS((Y2069-H2069)/80*100)</f>
        <v>5.5789231865341904E-2</v>
      </c>
      <c r="AH2069">
        <f>H2069-AG2018</f>
        <v>50.891307500000003</v>
      </c>
      <c r="AI2069">
        <f>100*(AH2069-O2069)/80</f>
        <v>1.120034375000003</v>
      </c>
    </row>
    <row r="2070" spans="1:41" x14ac:dyDescent="0.35">
      <c r="A2070" t="s">
        <v>293</v>
      </c>
      <c r="B2070" t="s">
        <v>1111</v>
      </c>
      <c r="C2070" t="s">
        <v>2204</v>
      </c>
      <c r="D2070">
        <v>85</v>
      </c>
      <c r="E2070">
        <v>85</v>
      </c>
      <c r="F2070">
        <v>0.5</v>
      </c>
      <c r="G2070">
        <v>0.49989699999999998</v>
      </c>
      <c r="H2070">
        <v>70.378124999999997</v>
      </c>
      <c r="J2070">
        <v>18148</v>
      </c>
      <c r="N2070" t="s">
        <v>202</v>
      </c>
      <c r="O2070">
        <f t="shared" si="96"/>
        <v>69.99588</v>
      </c>
      <c r="P2070">
        <f t="shared" si="97"/>
        <v>0.47780624999999688</v>
      </c>
      <c r="Q2070">
        <f t="shared" si="98"/>
        <v>0.47780624999999688</v>
      </c>
      <c r="Y2070">
        <f>TREND(H2067:H2071,G2067:G2071,G2070)</f>
        <v>70.381137007874642</v>
      </c>
      <c r="Z2070">
        <f>ABS((Y2070-H2070)/80*100)</f>
        <v>3.7650098433061885E-3</v>
      </c>
      <c r="AH2070">
        <f>H2070-AG2018</f>
        <v>70.966307499999999</v>
      </c>
      <c r="AI2070">
        <f>100*(AH2070-O2070)/80</f>
        <v>1.2130343749999994</v>
      </c>
    </row>
    <row r="2071" spans="1:41" x14ac:dyDescent="0.35">
      <c r="A2071" t="s">
        <v>293</v>
      </c>
      <c r="B2071" t="s">
        <v>1111</v>
      </c>
      <c r="C2071" t="s">
        <v>2240</v>
      </c>
      <c r="D2071">
        <v>85</v>
      </c>
      <c r="E2071">
        <v>85</v>
      </c>
      <c r="F2071">
        <v>1</v>
      </c>
      <c r="G2071">
        <v>1.0000910000000001</v>
      </c>
      <c r="H2071">
        <v>90.465625000000003</v>
      </c>
      <c r="J2071">
        <v>18161</v>
      </c>
      <c r="N2071" t="s">
        <v>202</v>
      </c>
      <c r="O2071">
        <f t="shared" si="96"/>
        <v>90.003640000000019</v>
      </c>
      <c r="P2071">
        <f t="shared" si="97"/>
        <v>0.57748124999998041</v>
      </c>
      <c r="Q2071">
        <f t="shared" si="98"/>
        <v>0.57748124999998041</v>
      </c>
      <c r="Y2071">
        <f>TREND(H2067:H2071,G2067:G2071,G2071)</f>
        <v>90.421689365367769</v>
      </c>
      <c r="Z2071">
        <f>ABS((Y2071-H2071)/80*100)</f>
        <v>5.4919543290292701E-2</v>
      </c>
      <c r="AH2071">
        <f>H2071-AG2018</f>
        <v>91.053807500000005</v>
      </c>
      <c r="AI2071">
        <f>100*(AH2071-O2071)/80</f>
        <v>1.312709374999983</v>
      </c>
    </row>
    <row r="2072" spans="1:41" x14ac:dyDescent="0.35">
      <c r="A2072" t="s">
        <v>293</v>
      </c>
      <c r="B2072" t="s">
        <v>1111</v>
      </c>
      <c r="C2072" t="s">
        <v>2276</v>
      </c>
      <c r="D2072">
        <v>85</v>
      </c>
      <c r="E2072">
        <v>85</v>
      </c>
      <c r="F2072">
        <v>0</v>
      </c>
      <c r="G2072">
        <v>3.6000000000000001E-5</v>
      </c>
      <c r="H2072">
        <v>50.239062500000003</v>
      </c>
      <c r="J2072">
        <v>18172</v>
      </c>
      <c r="N2072" t="s">
        <v>202</v>
      </c>
      <c r="O2072">
        <f t="shared" si="96"/>
        <v>50.001439999999995</v>
      </c>
      <c r="P2072">
        <f t="shared" si="97"/>
        <v>0.29702812500000952</v>
      </c>
      <c r="Q2072">
        <f t="shared" si="98"/>
        <v>0.29702812500000952</v>
      </c>
      <c r="Y2072">
        <f>TREND(H2067:H2071,G2067:G2071,G2072)</f>
        <v>50.353926481621087</v>
      </c>
      <c r="Z2072">
        <f>ABS((Y2072-H2072)/80*100)</f>
        <v>0.14357997702635572</v>
      </c>
      <c r="AH2072">
        <f>H2072-AG2018</f>
        <v>50.827245000000005</v>
      </c>
      <c r="AI2072">
        <f>100*(AH2072-O2072)/80</f>
        <v>1.0322562500000121</v>
      </c>
    </row>
    <row r="2073" spans="1:41" x14ac:dyDescent="0.35">
      <c r="A2073" t="s">
        <v>293</v>
      </c>
      <c r="B2073" t="s">
        <v>1111</v>
      </c>
      <c r="C2073" t="s">
        <v>2313</v>
      </c>
      <c r="D2073">
        <v>85</v>
      </c>
      <c r="E2073">
        <v>85</v>
      </c>
      <c r="F2073">
        <v>-1</v>
      </c>
      <c r="G2073">
        <v>-1.0000290000000001</v>
      </c>
      <c r="H2073">
        <v>10.4203125</v>
      </c>
      <c r="J2073">
        <v>18187</v>
      </c>
      <c r="N2073" t="s">
        <v>202</v>
      </c>
      <c r="O2073">
        <f t="shared" si="96"/>
        <v>9.9988399999999977</v>
      </c>
      <c r="P2073">
        <f t="shared" si="97"/>
        <v>0.52684062500000239</v>
      </c>
      <c r="Q2073">
        <f t="shared" si="98"/>
        <v>0.52684062500000239</v>
      </c>
      <c r="Y2073">
        <f>TREND(H2067:H2071,G2067:G2071,G2073)</f>
        <v>10.285762942281629</v>
      </c>
      <c r="Z2073">
        <f>ABS((Y2073-H2073)/80*100)</f>
        <v>0.16818694714796356</v>
      </c>
      <c r="AH2073">
        <f>H2073-AG2018</f>
        <v>11.008495000000002</v>
      </c>
      <c r="AI2073">
        <f>100*(AH2073-O2073)/80</f>
        <v>1.262068750000005</v>
      </c>
    </row>
    <row r="2074" spans="1:41" x14ac:dyDescent="0.35">
      <c r="A2074" t="s">
        <v>293</v>
      </c>
      <c r="B2074" t="s">
        <v>1111</v>
      </c>
      <c r="C2074" t="s">
        <v>2350</v>
      </c>
      <c r="D2074">
        <v>25</v>
      </c>
      <c r="E2074">
        <v>25</v>
      </c>
      <c r="F2074">
        <v>-1</v>
      </c>
      <c r="G2074">
        <v>-1.000278</v>
      </c>
      <c r="H2074">
        <v>10.771875</v>
      </c>
      <c r="J2074">
        <v>-5823</v>
      </c>
      <c r="N2074" t="s">
        <v>202</v>
      </c>
      <c r="O2074">
        <f t="shared" si="96"/>
        <v>9.98888</v>
      </c>
      <c r="P2074">
        <f t="shared" si="97"/>
        <v>0.97874374999999958</v>
      </c>
      <c r="Q2074">
        <f t="shared" si="98"/>
        <v>0.97874374999999958</v>
      </c>
      <c r="S2074">
        <v>50.932812499999997</v>
      </c>
      <c r="T2074">
        <v>1.1635656250000004</v>
      </c>
      <c r="U2074">
        <v>91.037499999999994</v>
      </c>
      <c r="V2074">
        <v>1.2989249999999863</v>
      </c>
      <c r="W2074">
        <v>80.265623474121099</v>
      </c>
      <c r="X2074">
        <f>(W2074-80)/80*100</f>
        <v>0.33202934265137429</v>
      </c>
      <c r="Y2074">
        <f>TREND(H2074:H2078,G2074:G2078,G2074)</f>
        <v>10.707674061168277</v>
      </c>
      <c r="Z2074">
        <f>ABS((Y2074-H2074)/80*100)</f>
        <v>8.0251173539653831E-2</v>
      </c>
      <c r="AA2074">
        <f>MAX(Z2074:Z2078)</f>
        <v>0.16278969947425725</v>
      </c>
      <c r="AB2074">
        <f>IF(ABS(MAX(P2074:P2080)) &gt; ABS(MIN(P2074:P2080)),MAX(P2074:P2080), MIN(P2074:P2080))</f>
        <v>1.3063000000000002</v>
      </c>
      <c r="AC2074">
        <f>IF(ABS(AB2075)&gt;ABS(AB2074),AB2075,AB2074)</f>
        <v>1.3063000000000002</v>
      </c>
      <c r="AH2074">
        <f>H2074-AG2018</f>
        <v>11.360057500000002</v>
      </c>
      <c r="AI2074">
        <f>100*(AH2074-O2074)/80</f>
        <v>1.7139718750000021</v>
      </c>
      <c r="AJ2074">
        <v>51.520994999999999</v>
      </c>
      <c r="AK2074">
        <v>1.8987937500000029</v>
      </c>
      <c r="AL2074">
        <v>91.625682499999996</v>
      </c>
      <c r="AM2074">
        <v>2.0341531249999889</v>
      </c>
      <c r="AN2074">
        <f>IF(ABS(MAX(AI2074:AI2080)) &gt; ABS(MIN(AI2074:AI2080)),MAX(AI2074:AI2080), MIN(AI2074:AI2080))</f>
        <v>2.0415281250000028</v>
      </c>
      <c r="AO2074">
        <f>IF(ABS(AN2075)&gt;ABS(AN2074),AN2075,AN2074)</f>
        <v>2.0415281250000028</v>
      </c>
    </row>
    <row r="2075" spans="1:41" x14ac:dyDescent="0.35">
      <c r="A2075" t="s">
        <v>293</v>
      </c>
      <c r="B2075" t="s">
        <v>1111</v>
      </c>
      <c r="C2075" t="s">
        <v>2387</v>
      </c>
      <c r="D2075">
        <v>25</v>
      </c>
      <c r="E2075">
        <v>25</v>
      </c>
      <c r="F2075">
        <v>-0.5</v>
      </c>
      <c r="G2075">
        <v>-0.49980799999999997</v>
      </c>
      <c r="H2075">
        <v>30.684374999999999</v>
      </c>
      <c r="J2075">
        <v>-5852</v>
      </c>
      <c r="N2075" t="s">
        <v>202</v>
      </c>
      <c r="O2075">
        <f t="shared" si="96"/>
        <v>30.007680000000001</v>
      </c>
      <c r="P2075">
        <f t="shared" si="97"/>
        <v>0.84586874999999839</v>
      </c>
      <c r="Q2075">
        <f t="shared" si="98"/>
        <v>0.84586874999999839</v>
      </c>
      <c r="Y2075">
        <f>TREND(H2074:H2078,G2074:G2078,G2075)</f>
        <v>30.814606759579405</v>
      </c>
      <c r="Z2075">
        <f>ABS((Y2075-H2075)/80*100)</f>
        <v>0.16278969947425725</v>
      </c>
      <c r="AB2075">
        <f>IF(ABS(T2074) &gt; ABS(V2074),T2074,V2074)</f>
        <v>1.2989249999999863</v>
      </c>
      <c r="AH2075">
        <f>H2075-AG2018</f>
        <v>31.272557500000001</v>
      </c>
      <c r="AI2075">
        <f>100*(AH2075-O2075)/80</f>
        <v>1.581096875000001</v>
      </c>
      <c r="AN2075">
        <f>IF(ABS(AK2074) &gt; ABS(AM2074),AK2074,AM2074)</f>
        <v>2.0341531249999889</v>
      </c>
    </row>
    <row r="2076" spans="1:41" x14ac:dyDescent="0.35">
      <c r="A2076" t="s">
        <v>293</v>
      </c>
      <c r="B2076" t="s">
        <v>1111</v>
      </c>
      <c r="C2076" t="s">
        <v>2423</v>
      </c>
      <c r="D2076">
        <v>25</v>
      </c>
      <c r="E2076">
        <v>25</v>
      </c>
      <c r="F2076">
        <v>0</v>
      </c>
      <c r="G2076">
        <v>4.8999999999999998E-5</v>
      </c>
      <c r="H2076">
        <v>50.932812499999997</v>
      </c>
      <c r="J2076">
        <v>-5880</v>
      </c>
      <c r="N2076" t="s">
        <v>202</v>
      </c>
      <c r="O2076">
        <f t="shared" si="96"/>
        <v>50.001959999999997</v>
      </c>
      <c r="P2076">
        <f t="shared" si="97"/>
        <v>1.1635656250000004</v>
      </c>
      <c r="Q2076">
        <f t="shared" si="98"/>
        <v>1.1635656250000004</v>
      </c>
      <c r="Y2076">
        <f>TREND(H2074:H2078,G2074:G2078,G2076)</f>
        <v>50.896911508774544</v>
      </c>
      <c r="Z2076">
        <f>ABS((Y2076-H2076)/80*100)</f>
        <v>4.4876239031816922E-2</v>
      </c>
      <c r="AH2076">
        <f>H2076-AG2018</f>
        <v>51.520994999999999</v>
      </c>
      <c r="AI2076">
        <f>100*(AH2076-O2076)/80</f>
        <v>1.8987937500000029</v>
      </c>
    </row>
    <row r="2077" spans="1:41" x14ac:dyDescent="0.35">
      <c r="A2077" t="s">
        <v>293</v>
      </c>
      <c r="B2077" t="s">
        <v>1111</v>
      </c>
      <c r="C2077" t="s">
        <v>2460</v>
      </c>
      <c r="D2077">
        <v>25</v>
      </c>
      <c r="E2077">
        <v>25</v>
      </c>
      <c r="F2077">
        <v>0.5</v>
      </c>
      <c r="G2077">
        <v>0.50012400000000001</v>
      </c>
      <c r="H2077">
        <v>71.05</v>
      </c>
      <c r="J2077">
        <v>-5902</v>
      </c>
      <c r="N2077" t="s">
        <v>202</v>
      </c>
      <c r="O2077">
        <f t="shared" si="96"/>
        <v>70.004959999999997</v>
      </c>
      <c r="P2077">
        <f t="shared" si="97"/>
        <v>1.3063000000000002</v>
      </c>
      <c r="Q2077">
        <f t="shared" si="98"/>
        <v>1.3063000000000002</v>
      </c>
      <c r="Y2077">
        <f>TREND(H2074:H2078,G2074:G2078,G2077)</f>
        <v>70.987974647739804</v>
      </c>
      <c r="Z2077">
        <f>ABS((Y2077-H2077)/80*100)</f>
        <v>7.7531690325240987E-2</v>
      </c>
      <c r="AH2077">
        <f>H2077-AG2018</f>
        <v>71.638182499999999</v>
      </c>
      <c r="AI2077">
        <f>100*(AH2077-O2077)/80</f>
        <v>2.0415281250000028</v>
      </c>
    </row>
    <row r="2078" spans="1:41" x14ac:dyDescent="0.35">
      <c r="A2078" t="s">
        <v>293</v>
      </c>
      <c r="B2078" t="s">
        <v>1111</v>
      </c>
      <c r="C2078" t="s">
        <v>2497</v>
      </c>
      <c r="D2078">
        <v>25</v>
      </c>
      <c r="E2078">
        <v>24.9</v>
      </c>
      <c r="F2078">
        <v>1</v>
      </c>
      <c r="G2078">
        <v>0.99995900000000004</v>
      </c>
      <c r="H2078">
        <v>91.037499999999994</v>
      </c>
      <c r="J2078">
        <v>-5935</v>
      </c>
      <c r="N2078" t="s">
        <v>202</v>
      </c>
      <c r="O2078">
        <f t="shared" si="96"/>
        <v>89.998360000000005</v>
      </c>
      <c r="P2078">
        <f t="shared" si="97"/>
        <v>1.2989249999999863</v>
      </c>
      <c r="Q2078">
        <f t="shared" si="98"/>
        <v>1.2989249999999863</v>
      </c>
      <c r="Y2078">
        <f>TREND(H2074:H2078,G2074:G2078,G2078)</f>
        <v>91.069395522737949</v>
      </c>
      <c r="Z2078">
        <f>ABS((Y2078-H2078)/80*100)</f>
        <v>3.9869403422443384E-2</v>
      </c>
      <c r="AH2078">
        <f>H2078-AG2018</f>
        <v>91.625682499999996</v>
      </c>
      <c r="AI2078">
        <f>100*(AH2078-O2078)/80</f>
        <v>2.0341531249999889</v>
      </c>
    </row>
    <row r="2079" spans="1:41" x14ac:dyDescent="0.35">
      <c r="A2079" t="s">
        <v>293</v>
      </c>
      <c r="B2079" t="s">
        <v>1111</v>
      </c>
      <c r="C2079" t="s">
        <v>2534</v>
      </c>
      <c r="D2079">
        <v>25</v>
      </c>
      <c r="E2079">
        <v>25</v>
      </c>
      <c r="F2079">
        <v>0</v>
      </c>
      <c r="G2079">
        <v>-9.7E-5</v>
      </c>
      <c r="H2079">
        <v>50.912500000000001</v>
      </c>
      <c r="J2079">
        <v>-5950</v>
      </c>
      <c r="N2079" t="s">
        <v>202</v>
      </c>
      <c r="O2079">
        <f t="shared" si="96"/>
        <v>49.996119999999998</v>
      </c>
      <c r="P2079">
        <f t="shared" si="97"/>
        <v>1.1454750000000047</v>
      </c>
      <c r="Q2079">
        <f t="shared" si="98"/>
        <v>1.1454750000000047</v>
      </c>
      <c r="Y2079">
        <f>TREND(H2074:H2078,G2074:G2078,G2079)</f>
        <v>50.891045798194547</v>
      </c>
      <c r="Z2079">
        <f>ABS((Y2079-H2079)/80*100)</f>
        <v>2.6817752256818039E-2</v>
      </c>
      <c r="AH2079">
        <f>H2079-AG2018</f>
        <v>51.500682500000003</v>
      </c>
      <c r="AI2079">
        <f>100*(AH2079-O2079)/80</f>
        <v>1.8807031250000072</v>
      </c>
    </row>
    <row r="2080" spans="1:41" x14ac:dyDescent="0.35">
      <c r="A2080" t="s">
        <v>293</v>
      </c>
      <c r="B2080" t="s">
        <v>1111</v>
      </c>
      <c r="C2080" t="s">
        <v>2569</v>
      </c>
      <c r="D2080">
        <v>25</v>
      </c>
      <c r="E2080">
        <v>25</v>
      </c>
      <c r="F2080">
        <v>-1</v>
      </c>
      <c r="G2080">
        <v>-1.000122</v>
      </c>
      <c r="H2080">
        <v>10.824999999999999</v>
      </c>
      <c r="J2080">
        <v>-5970</v>
      </c>
      <c r="N2080" t="s">
        <v>202</v>
      </c>
      <c r="O2080">
        <f t="shared" si="96"/>
        <v>9.9951200000000018</v>
      </c>
      <c r="P2080">
        <f t="shared" si="97"/>
        <v>1.0373499999999969</v>
      </c>
      <c r="Q2080">
        <f t="shared" si="98"/>
        <v>1.0373499999999969</v>
      </c>
      <c r="Y2080">
        <f>TREND(H2074:H2078,G2074:G2078,G2080)</f>
        <v>10.713941532746901</v>
      </c>
      <c r="Z2080">
        <f>ABS((Y2080-H2080)/80*100)</f>
        <v>0.13882308406637289</v>
      </c>
      <c r="AH2080">
        <f>H2080-AG2018</f>
        <v>11.413182500000001</v>
      </c>
      <c r="AI2080">
        <f>100*(AH2080-O2080)/80</f>
        <v>1.7725781249999994</v>
      </c>
    </row>
    <row r="2081" spans="1:41" x14ac:dyDescent="0.35">
      <c r="A2081" t="s">
        <v>295</v>
      </c>
      <c r="B2081" t="s">
        <v>231</v>
      </c>
      <c r="C2081" t="s">
        <v>294</v>
      </c>
      <c r="D2081">
        <v>25</v>
      </c>
      <c r="E2081">
        <v>25</v>
      </c>
      <c r="F2081">
        <v>-1</v>
      </c>
      <c r="G2081">
        <v>-1.0000249999999999</v>
      </c>
      <c r="H2081">
        <v>10.043749999999999</v>
      </c>
      <c r="J2081">
        <v>-6197</v>
      </c>
      <c r="N2081" t="s">
        <v>203</v>
      </c>
      <c r="O2081">
        <f t="shared" si="96"/>
        <v>9.9990000000000023</v>
      </c>
      <c r="P2081">
        <f t="shared" si="97"/>
        <v>5.5937499999996199E-2</v>
      </c>
      <c r="Q2081">
        <f t="shared" si="98"/>
        <v>5.5937499999996199E-2</v>
      </c>
      <c r="S2081">
        <v>50.064062499999999</v>
      </c>
      <c r="T2081">
        <v>7.9128124999998661E-2</v>
      </c>
      <c r="U2081">
        <v>90.381249999999994</v>
      </c>
      <c r="V2081">
        <v>0.48181249999998954</v>
      </c>
      <c r="W2081">
        <v>80.337498474121091</v>
      </c>
      <c r="X2081">
        <f>(W2081-80)/80*100</f>
        <v>0.42187309265136363</v>
      </c>
      <c r="Y2081">
        <f>TREND(H2081:H2085,G2081:G2085,G2081)</f>
        <v>9.9647332768059016</v>
      </c>
      <c r="Z2081">
        <f>ABS((Y2081-H2081)/80*100)</f>
        <v>9.8770903992622117E-2</v>
      </c>
      <c r="AA2081">
        <f>MAX(Z2081:Z2085)</f>
        <v>0.11517653963794672</v>
      </c>
      <c r="AB2081">
        <f>IF(ABS(MAX(P2081:P2087)) &gt; ABS(MIN(P2081:P2087)),MAX(P2081:P2087), MIN(P2081:P2087))</f>
        <v>0.48181249999998954</v>
      </c>
      <c r="AC2081">
        <f>IF(ABS(AB2082)&gt;ABS(AB2081),AB2082,AB2081)</f>
        <v>0.48181249999998954</v>
      </c>
      <c r="AD2081">
        <f>MAX(AD2082:AD2083)</f>
        <v>0.13631250000000206</v>
      </c>
      <c r="AE2081">
        <f>MAX(AE2082:AE2102)</f>
        <v>0.31369375000000144</v>
      </c>
      <c r="AF2081">
        <f>MAX(AD2081,AA2081)</f>
        <v>0.13631250000000206</v>
      </c>
      <c r="AG2081">
        <f>H2083-O2083</f>
        <v>6.3302499999998929E-2</v>
      </c>
      <c r="AH2081">
        <f>H2081-AG2081</f>
        <v>9.9804475000000004</v>
      </c>
      <c r="AI2081">
        <f>100*(AH2081-O2081)/80</f>
        <v>-2.3190625000002463E-2</v>
      </c>
      <c r="AJ2081">
        <v>50.00076</v>
      </c>
      <c r="AK2081">
        <v>0</v>
      </c>
      <c r="AL2081">
        <v>90.317947500000002</v>
      </c>
      <c r="AM2081">
        <v>0.40268437499999976</v>
      </c>
      <c r="AN2081">
        <f>IF(ABS(MAX(AI2081:AI2087)) &gt; ABS(MIN(AI2081:AI2087)),MAX(AI2081:AI2087), MIN(AI2081:AI2087))</f>
        <v>0.40268437499999976</v>
      </c>
      <c r="AO2081">
        <f>IF(ABS(AN2082)&gt;ABS(AN2081),AN2082,AN2081)</f>
        <v>0.40268437499999976</v>
      </c>
    </row>
    <row r="2082" spans="1:41" x14ac:dyDescent="0.35">
      <c r="A2082" t="s">
        <v>295</v>
      </c>
      <c r="B2082" t="s">
        <v>231</v>
      </c>
      <c r="C2082" t="s">
        <v>338</v>
      </c>
      <c r="D2082">
        <v>25</v>
      </c>
      <c r="E2082">
        <v>25</v>
      </c>
      <c r="F2082">
        <v>-0.5</v>
      </c>
      <c r="G2082">
        <v>-0.50001200000000001</v>
      </c>
      <c r="H2082">
        <v>30.0078125</v>
      </c>
      <c r="J2082">
        <v>-6191</v>
      </c>
      <c r="N2082" t="s">
        <v>203</v>
      </c>
      <c r="O2082">
        <f t="shared" si="96"/>
        <v>29.99952</v>
      </c>
      <c r="P2082">
        <f t="shared" si="97"/>
        <v>1.036562499999949E-2</v>
      </c>
      <c r="Q2082">
        <f t="shared" si="98"/>
        <v>1.036562499999949E-2</v>
      </c>
      <c r="Y2082">
        <f>TREND(H2081:H2085,G2081:G2085,G2082)</f>
        <v>30.060106796939156</v>
      </c>
      <c r="Z2082">
        <f>ABS((Y2082-H2082)/80*100)</f>
        <v>6.5367871173944714E-2</v>
      </c>
      <c r="AB2082">
        <f>IF(ABS(T2081) &gt; ABS(V2081),T2081,V2081)</f>
        <v>0.48181249999998954</v>
      </c>
      <c r="AD2082">
        <f>ABS(P2083-P2086)</f>
        <v>0.11758125000000064</v>
      </c>
      <c r="AE2082">
        <f>ABS(P2109-P2081)</f>
        <v>0.23466250000000022</v>
      </c>
      <c r="AH2082">
        <f>H2082-AG2081</f>
        <v>29.944510000000001</v>
      </c>
      <c r="AI2082">
        <f>100*(AH2082-O2082)/80</f>
        <v>-6.8762499999999172E-2</v>
      </c>
      <c r="AN2082">
        <f>IF(ABS(AK2081) &gt; ABS(AM2081),AK2081,AM2081)</f>
        <v>0.40268437499999976</v>
      </c>
    </row>
    <row r="2083" spans="1:41" x14ac:dyDescent="0.35">
      <c r="A2083" t="s">
        <v>295</v>
      </c>
      <c r="B2083" t="s">
        <v>231</v>
      </c>
      <c r="C2083" t="s">
        <v>374</v>
      </c>
      <c r="D2083">
        <v>25</v>
      </c>
      <c r="E2083">
        <v>25</v>
      </c>
      <c r="F2083">
        <v>0</v>
      </c>
      <c r="G2083">
        <v>1.9000000000000001E-5</v>
      </c>
      <c r="H2083">
        <v>50.064062499999999</v>
      </c>
      <c r="J2083">
        <v>-6193</v>
      </c>
      <c r="N2083" t="s">
        <v>203</v>
      </c>
      <c r="O2083">
        <f t="shared" si="96"/>
        <v>50.00076</v>
      </c>
      <c r="P2083">
        <f t="shared" si="97"/>
        <v>7.9128124999998661E-2</v>
      </c>
      <c r="Q2083">
        <f t="shared" si="98"/>
        <v>7.9128124999998661E-2</v>
      </c>
      <c r="Y2083">
        <f>TREND(H2081:H2085,G2081:G2085,G2083)</f>
        <v>50.156203731710356</v>
      </c>
      <c r="Z2083">
        <f>ABS((Y2083-H2083)/80*100)</f>
        <v>0.11517653963794672</v>
      </c>
      <c r="AD2083">
        <f>ABS(P2081-P2087)</f>
        <v>0.13631250000000206</v>
      </c>
      <c r="AE2083">
        <f>ABS(P2110-P2082)</f>
        <v>0.18479062499999976</v>
      </c>
      <c r="AH2083">
        <f>H2083-AG2081</f>
        <v>50.00076</v>
      </c>
      <c r="AI2083">
        <f>100*(AH2083-O2083)/80</f>
        <v>0</v>
      </c>
    </row>
    <row r="2084" spans="1:41" x14ac:dyDescent="0.35">
      <c r="A2084" t="s">
        <v>295</v>
      </c>
      <c r="B2084" t="s">
        <v>231</v>
      </c>
      <c r="C2084" t="s">
        <v>411</v>
      </c>
      <c r="D2084">
        <v>25</v>
      </c>
      <c r="E2084">
        <v>25</v>
      </c>
      <c r="F2084">
        <v>0.5</v>
      </c>
      <c r="G2084">
        <v>0.50014599999999998</v>
      </c>
      <c r="H2084">
        <v>70.28125</v>
      </c>
      <c r="J2084">
        <v>-6199</v>
      </c>
      <c r="N2084" t="s">
        <v>203</v>
      </c>
      <c r="O2084">
        <f t="shared" si="96"/>
        <v>70.005840000000006</v>
      </c>
      <c r="P2084">
        <f t="shared" si="97"/>
        <v>0.34426249999999214</v>
      </c>
      <c r="Q2084">
        <f t="shared" si="98"/>
        <v>0.34426249999999214</v>
      </c>
      <c r="Y2084">
        <f>TREND(H2081:H2085,G2081:G2085,G2084)</f>
        <v>70.256158877883934</v>
      </c>
      <c r="Z2084">
        <f>ABS((Y2084-H2084)/80*100)</f>
        <v>3.1363902645082931E-2</v>
      </c>
      <c r="AE2084">
        <f>ABS(P2111-P2083)</f>
        <v>0.1167249999999953</v>
      </c>
      <c r="AH2084">
        <f>H2084-AG2081</f>
        <v>70.217947500000008</v>
      </c>
      <c r="AI2084">
        <f>100*(AH2084-O2084)/80</f>
        <v>0.26513437500000236</v>
      </c>
    </row>
    <row r="2085" spans="1:41" x14ac:dyDescent="0.35">
      <c r="A2085" t="s">
        <v>295</v>
      </c>
      <c r="B2085" t="s">
        <v>231</v>
      </c>
      <c r="C2085" t="s">
        <v>448</v>
      </c>
      <c r="D2085">
        <v>25</v>
      </c>
      <c r="E2085">
        <v>25</v>
      </c>
      <c r="F2085">
        <v>1</v>
      </c>
      <c r="G2085">
        <v>0.99989499999999998</v>
      </c>
      <c r="H2085">
        <v>90.381249999999994</v>
      </c>
      <c r="J2085">
        <v>-6184</v>
      </c>
      <c r="N2085" t="s">
        <v>203</v>
      </c>
      <c r="O2085">
        <f t="shared" si="96"/>
        <v>89.995800000000003</v>
      </c>
      <c r="P2085">
        <f t="shared" si="97"/>
        <v>0.48181249999998954</v>
      </c>
      <c r="Q2085">
        <f t="shared" si="98"/>
        <v>0.48181249999998954</v>
      </c>
      <c r="Y2085">
        <f>TREND(H2081:H2085,G2081:G2085,G2085)</f>
        <v>90.340922316660681</v>
      </c>
      <c r="Z2085">
        <f>ABS((Y2085-H2085)/80*100)</f>
        <v>5.0409604174141975E-2</v>
      </c>
      <c r="AE2085">
        <f>ABS(P2112-P2084)</f>
        <v>0.10089062500000523</v>
      </c>
      <c r="AH2085">
        <f>H2085-AG2081</f>
        <v>90.317947500000002</v>
      </c>
      <c r="AI2085">
        <f>100*(AH2085-O2085)/80</f>
        <v>0.40268437499999976</v>
      </c>
    </row>
    <row r="2086" spans="1:41" x14ac:dyDescent="0.35">
      <c r="A2086" t="s">
        <v>295</v>
      </c>
      <c r="B2086" t="s">
        <v>231</v>
      </c>
      <c r="C2086" t="s">
        <v>485</v>
      </c>
      <c r="D2086">
        <v>25</v>
      </c>
      <c r="E2086">
        <v>25</v>
      </c>
      <c r="F2086">
        <v>0</v>
      </c>
      <c r="G2086">
        <v>-6.7000000000000002E-5</v>
      </c>
      <c r="H2086">
        <v>50.154687500000001</v>
      </c>
      <c r="J2086">
        <v>-6199</v>
      </c>
      <c r="N2086" t="s">
        <v>203</v>
      </c>
      <c r="O2086">
        <f t="shared" si="96"/>
        <v>49.997320000000002</v>
      </c>
      <c r="P2086">
        <f t="shared" si="97"/>
        <v>0.1967093749999993</v>
      </c>
      <c r="Q2086">
        <f t="shared" si="98"/>
        <v>0.1967093749999993</v>
      </c>
      <c r="Y2086">
        <f>TREND(H2081:H2085,G2081:G2085,G2086)</f>
        <v>50.152747417329067</v>
      </c>
      <c r="Z2086">
        <f>ABS((Y2086-H2086)/80*100)</f>
        <v>2.4251033386679666E-3</v>
      </c>
      <c r="AE2086">
        <f>ABS(P2113-P2085)</f>
        <v>8.2412499999993116E-2</v>
      </c>
      <c r="AH2086">
        <f>H2086-AG2081</f>
        <v>50.091385000000002</v>
      </c>
      <c r="AI2086">
        <f>100*(AH2086-O2086)/80</f>
        <v>0.11758125000000064</v>
      </c>
    </row>
    <row r="2087" spans="1:41" x14ac:dyDescent="0.35">
      <c r="A2087" t="s">
        <v>295</v>
      </c>
      <c r="B2087" t="s">
        <v>231</v>
      </c>
      <c r="C2087" t="s">
        <v>522</v>
      </c>
      <c r="D2087">
        <v>25</v>
      </c>
      <c r="E2087">
        <v>25</v>
      </c>
      <c r="F2087">
        <v>-1</v>
      </c>
      <c r="G2087">
        <v>-1.000095</v>
      </c>
      <c r="H2087">
        <v>10.15</v>
      </c>
      <c r="J2087">
        <v>-6197</v>
      </c>
      <c r="N2087" t="s">
        <v>203</v>
      </c>
      <c r="O2087">
        <f t="shared" si="96"/>
        <v>9.9962000000000018</v>
      </c>
      <c r="P2087">
        <f t="shared" si="97"/>
        <v>0.19224999999999826</v>
      </c>
      <c r="Q2087">
        <f t="shared" si="98"/>
        <v>0.19224999999999826</v>
      </c>
      <c r="Y2087">
        <f>TREND(H2081:H2085,G2081:G2085,G2087)</f>
        <v>9.9619199976583346</v>
      </c>
      <c r="Z2087">
        <f>ABS((Y2087-H2087)/80*100)</f>
        <v>0.23510000292708222</v>
      </c>
      <c r="AE2087">
        <f>ABS(P2114-P2086)</f>
        <v>4.3424999999999159E-2</v>
      </c>
      <c r="AH2087">
        <f>H2087-AG2081</f>
        <v>10.086697500000001</v>
      </c>
      <c r="AI2087">
        <f>100*(AH2087-O2087)/80</f>
        <v>0.11312187499999959</v>
      </c>
    </row>
    <row r="2088" spans="1:41" x14ac:dyDescent="0.35">
      <c r="A2088" t="s">
        <v>295</v>
      </c>
      <c r="B2088" t="s">
        <v>231</v>
      </c>
      <c r="C2088" t="s">
        <v>559</v>
      </c>
      <c r="D2088">
        <v>-20</v>
      </c>
      <c r="E2088">
        <v>-20</v>
      </c>
      <c r="F2088">
        <v>-1</v>
      </c>
      <c r="G2088">
        <v>-1.0000530000000001</v>
      </c>
      <c r="H2088">
        <v>9.8234375000000007</v>
      </c>
      <c r="J2088">
        <v>-24409</v>
      </c>
      <c r="N2088" t="s">
        <v>203</v>
      </c>
      <c r="O2088">
        <f t="shared" si="96"/>
        <v>9.9978799999999968</v>
      </c>
      <c r="P2088">
        <f t="shared" si="97"/>
        <v>-0.21805312499999507</v>
      </c>
      <c r="Q2088">
        <f t="shared" si="98"/>
        <v>0.21805312499999507</v>
      </c>
      <c r="S2088">
        <v>49.993749999999999</v>
      </c>
      <c r="T2088">
        <v>3.8987500000002839E-2</v>
      </c>
      <c r="U2088">
        <v>90.410937500000003</v>
      </c>
      <c r="V2088">
        <v>0.52047187499999481</v>
      </c>
      <c r="W2088">
        <v>80.58749694824219</v>
      </c>
      <c r="X2088">
        <f>(W2088-80)/80*100</f>
        <v>0.73437118530273793</v>
      </c>
      <c r="Y2088">
        <f>TREND(H2088:H2092,G2088:G2092,G2088)</f>
        <v>9.7516173197119826</v>
      </c>
      <c r="Z2088">
        <f>ABS((Y2088-H2088)/80*100)</f>
        <v>8.9775225360022581E-2</v>
      </c>
      <c r="AA2088">
        <f>MAX(Z2088:Z2092)</f>
        <v>9.7705890020360897E-2</v>
      </c>
      <c r="AB2088">
        <f>IF(ABS(MAX(P2088:P2094)) &gt; ABS(MIN(P2088:P2094)),MAX(P2088:P2094), MIN(P2088:P2094))</f>
        <v>0.52047187499999481</v>
      </c>
      <c r="AC2088">
        <f>IF(ABS(AB2089)&gt;ABS(AB2088),AB2089,AB2088)</f>
        <v>0.52047187499999481</v>
      </c>
      <c r="AE2088">
        <f>ABS(P2115-P2087)</f>
        <v>0.13725312500000753</v>
      </c>
      <c r="AH2088">
        <f>H2088-AG2081</f>
        <v>9.7601350000000018</v>
      </c>
      <c r="AI2088">
        <f>100*(AH2088-O2088)/80</f>
        <v>-0.29718124999999374</v>
      </c>
      <c r="AJ2088">
        <v>49.9304475</v>
      </c>
      <c r="AK2088">
        <v>-4.0140624999995822E-2</v>
      </c>
      <c r="AL2088">
        <v>90.347634999999997</v>
      </c>
      <c r="AM2088">
        <v>0.44134374999998727</v>
      </c>
      <c r="AN2088">
        <f>IF(ABS(MAX(AI2088:AI2094)) &gt; ABS(MIN(AI2088:AI2094)),MAX(AI2088:AI2094), MIN(AI2088:AI2094))</f>
        <v>0.44134374999998727</v>
      </c>
      <c r="AO2088">
        <f>IF(ABS(AN2089)&gt;ABS(AN2088),AN2089,AN2088)</f>
        <v>0.44134374999998727</v>
      </c>
    </row>
    <row r="2089" spans="1:41" x14ac:dyDescent="0.35">
      <c r="A2089" t="s">
        <v>295</v>
      </c>
      <c r="B2089" t="s">
        <v>231</v>
      </c>
      <c r="C2089" t="s">
        <v>596</v>
      </c>
      <c r="D2089">
        <v>-20</v>
      </c>
      <c r="E2089">
        <v>-20</v>
      </c>
      <c r="F2089">
        <v>-0.5</v>
      </c>
      <c r="G2089">
        <v>-0.50010299999999996</v>
      </c>
      <c r="H2089">
        <v>29.834375000000001</v>
      </c>
      <c r="J2089">
        <v>-24437</v>
      </c>
      <c r="N2089" t="s">
        <v>203</v>
      </c>
      <c r="O2089">
        <f t="shared" si="96"/>
        <v>29.99588</v>
      </c>
      <c r="P2089">
        <f t="shared" si="97"/>
        <v>-0.20188124999999779</v>
      </c>
      <c r="Q2089">
        <f t="shared" si="98"/>
        <v>0.20188124999999779</v>
      </c>
      <c r="Y2089">
        <f>TREND(H2088:H2092,G2088:G2092,G2089)</f>
        <v>29.91253971201629</v>
      </c>
      <c r="Z2089">
        <f>ABS((Y2089-H2089)/80*100)</f>
        <v>9.7705890020360897E-2</v>
      </c>
      <c r="AB2089">
        <f>IF(ABS(T2088) &gt; ABS(V2088),T2088,V2088)</f>
        <v>0.52047187499999481</v>
      </c>
      <c r="AE2089">
        <f>ABS(P2137-P2081)</f>
        <v>9.5034375000002669E-2</v>
      </c>
      <c r="AH2089">
        <f>H2089-AG2081</f>
        <v>29.771072500000002</v>
      </c>
      <c r="AI2089">
        <f>100*(AH2089-O2089)/80</f>
        <v>-0.28100937499999645</v>
      </c>
      <c r="AN2089">
        <f>IF(ABS(AK2088) &gt; ABS(AM2088),AK2088,AM2088)</f>
        <v>0.44134374999998727</v>
      </c>
    </row>
    <row r="2090" spans="1:41" x14ac:dyDescent="0.35">
      <c r="A2090" t="s">
        <v>295</v>
      </c>
      <c r="B2090" t="s">
        <v>231</v>
      </c>
      <c r="C2090" t="s">
        <v>633</v>
      </c>
      <c r="D2090">
        <v>-20</v>
      </c>
      <c r="E2090">
        <v>-20</v>
      </c>
      <c r="F2090">
        <v>0</v>
      </c>
      <c r="G2090">
        <v>-9.3599999999999998E-4</v>
      </c>
      <c r="H2090">
        <v>49.993749999999999</v>
      </c>
      <c r="J2090">
        <v>-24445</v>
      </c>
      <c r="N2090" t="s">
        <v>203</v>
      </c>
      <c r="O2090">
        <f t="shared" si="96"/>
        <v>49.962559999999996</v>
      </c>
      <c r="P2090">
        <f t="shared" si="97"/>
        <v>3.8987500000002839E-2</v>
      </c>
      <c r="Q2090">
        <f t="shared" si="98"/>
        <v>3.8987500000002839E-2</v>
      </c>
      <c r="Y2090">
        <f>TREND(H2088:H2092,G2088:G2092,G2090)</f>
        <v>50.041886942338046</v>
      </c>
      <c r="Z2090">
        <f>ABS((Y2090-H2090)/80*100)</f>
        <v>6.0171177922558876E-2</v>
      </c>
      <c r="AE2090">
        <f>ABS(P2138-P2082)</f>
        <v>0.12890312500000167</v>
      </c>
      <c r="AH2090">
        <f>H2090-AG2081</f>
        <v>49.9304475</v>
      </c>
      <c r="AI2090">
        <f>100*(AH2090-O2090)/80</f>
        <v>-4.0140624999995822E-2</v>
      </c>
    </row>
    <row r="2091" spans="1:41" x14ac:dyDescent="0.35">
      <c r="A2091" t="s">
        <v>295</v>
      </c>
      <c r="B2091" t="s">
        <v>231</v>
      </c>
      <c r="C2091" t="s">
        <v>669</v>
      </c>
      <c r="D2091">
        <v>-20</v>
      </c>
      <c r="E2091">
        <v>-20</v>
      </c>
      <c r="F2091">
        <v>0.5</v>
      </c>
      <c r="G2091">
        <v>0.49984000000000001</v>
      </c>
      <c r="H2091">
        <v>70.279687499999994</v>
      </c>
      <c r="J2091">
        <v>-24454</v>
      </c>
      <c r="N2091" t="s">
        <v>203</v>
      </c>
      <c r="O2091">
        <f t="shared" si="96"/>
        <v>69.993600000000001</v>
      </c>
      <c r="P2091">
        <f t="shared" si="97"/>
        <v>0.35760937499999201</v>
      </c>
      <c r="Q2091">
        <f t="shared" si="98"/>
        <v>0.35760937499999201</v>
      </c>
      <c r="Y2091">
        <f>TREND(H2088:H2092,G2088:G2092,G2091)</f>
        <v>70.236118509351911</v>
      </c>
      <c r="Z2091">
        <f>ABS((Y2091-H2091)/80*100)</f>
        <v>5.4461238310103972E-2</v>
      </c>
      <c r="AE2091">
        <f>ABS(P2139-P2083)</f>
        <v>5.5125000000000313E-3</v>
      </c>
      <c r="AH2091">
        <f>H2091-AG2081</f>
        <v>70.216385000000002</v>
      </c>
      <c r="AI2091">
        <f>100*(AH2091-O2091)/80</f>
        <v>0.27848125000000223</v>
      </c>
    </row>
    <row r="2092" spans="1:41" x14ac:dyDescent="0.35">
      <c r="A2092" t="s">
        <v>295</v>
      </c>
      <c r="B2092" t="s">
        <v>231</v>
      </c>
      <c r="C2092" t="s">
        <v>705</v>
      </c>
      <c r="D2092">
        <v>-20</v>
      </c>
      <c r="E2092">
        <v>-20</v>
      </c>
      <c r="F2092">
        <v>1</v>
      </c>
      <c r="G2092">
        <v>0.99986399999999998</v>
      </c>
      <c r="H2092">
        <v>90.410937500000003</v>
      </c>
      <c r="J2092">
        <v>-24456</v>
      </c>
      <c r="N2092" t="s">
        <v>203</v>
      </c>
      <c r="O2092">
        <f t="shared" si="96"/>
        <v>89.994560000000007</v>
      </c>
      <c r="P2092">
        <f t="shared" si="97"/>
        <v>0.52047187499999481</v>
      </c>
      <c r="Q2092">
        <f t="shared" si="98"/>
        <v>0.52047187499999481</v>
      </c>
      <c r="Y2092">
        <f>TREND(H2088:H2092,G2088:G2092,G2092)</f>
        <v>90.400025016581765</v>
      </c>
      <c r="Z2092">
        <f>ABS((Y2092-H2092)/80*100)</f>
        <v>1.3640604272797676E-2</v>
      </c>
      <c r="AE2092">
        <f>ABS(P2140-P2084)</f>
        <v>1.3518750000010016E-2</v>
      </c>
      <c r="AH2092">
        <f>H2092-AG2081</f>
        <v>90.347634999999997</v>
      </c>
      <c r="AI2092">
        <f>100*(AH2092-O2092)/80</f>
        <v>0.44134374999998727</v>
      </c>
    </row>
    <row r="2093" spans="1:41" x14ac:dyDescent="0.35">
      <c r="A2093" t="s">
        <v>295</v>
      </c>
      <c r="B2093" t="s">
        <v>231</v>
      </c>
      <c r="C2093" t="s">
        <v>742</v>
      </c>
      <c r="D2093">
        <v>-20</v>
      </c>
      <c r="E2093">
        <v>-20</v>
      </c>
      <c r="F2093">
        <v>0</v>
      </c>
      <c r="G2093">
        <v>-2.7399999999999999E-4</v>
      </c>
      <c r="H2093">
        <v>50.0234375</v>
      </c>
      <c r="J2093">
        <v>-24462</v>
      </c>
      <c r="N2093" t="s">
        <v>203</v>
      </c>
      <c r="O2093">
        <f t="shared" si="96"/>
        <v>49.989040000000003</v>
      </c>
      <c r="P2093">
        <f t="shared" si="97"/>
        <v>4.2996874999996493E-2</v>
      </c>
      <c r="Q2093">
        <f t="shared" si="98"/>
        <v>4.2996874999996493E-2</v>
      </c>
      <c r="Y2093">
        <f>TREND(H2088:H2092,G2088:G2092,G2093)</f>
        <v>50.068582673158538</v>
      </c>
      <c r="Z2093">
        <f>ABS((Y2093-H2093)/80*100)</f>
        <v>5.6431466448172429E-2</v>
      </c>
      <c r="AE2093">
        <f>ABS(P2141-P2085)</f>
        <v>3.7553124999991638E-2</v>
      </c>
      <c r="AH2093">
        <f>H2093-AG2081</f>
        <v>49.960135000000001</v>
      </c>
      <c r="AI2093">
        <f>100*(AH2093-O2093)/80</f>
        <v>-3.6131250000002169E-2</v>
      </c>
    </row>
    <row r="2094" spans="1:41" x14ac:dyDescent="0.35">
      <c r="A2094" t="s">
        <v>295</v>
      </c>
      <c r="B2094" t="s">
        <v>231</v>
      </c>
      <c r="C2094" t="s">
        <v>778</v>
      </c>
      <c r="D2094">
        <v>-20</v>
      </c>
      <c r="E2094">
        <v>-20.100000000000001</v>
      </c>
      <c r="F2094">
        <v>-1</v>
      </c>
      <c r="G2094">
        <v>-1.0000089999999999</v>
      </c>
      <c r="H2094">
        <v>9.7640624999999996</v>
      </c>
      <c r="J2094">
        <v>-24454</v>
      </c>
      <c r="N2094" t="s">
        <v>203</v>
      </c>
      <c r="O2094">
        <f t="shared" si="96"/>
        <v>9.999640000000003</v>
      </c>
      <c r="P2094">
        <f t="shared" si="97"/>
        <v>-0.29447187500000416</v>
      </c>
      <c r="Q2094">
        <f t="shared" si="98"/>
        <v>0.29447187500000416</v>
      </c>
      <c r="Y2094">
        <f>TREND(H2088:H2092,G2088:G2092,G2094)</f>
        <v>9.7533916583163673</v>
      </c>
      <c r="Z2094">
        <f>ABS((Y2094-H2094)/80*100)</f>
        <v>1.3338552104540378E-2</v>
      </c>
      <c r="AE2094">
        <f>ABS(P2142-P2086)</f>
        <v>3.3196874999994463E-2</v>
      </c>
      <c r="AH2094">
        <f>H2094-AG2081</f>
        <v>9.7007600000000007</v>
      </c>
      <c r="AI2094">
        <f>100*(AH2094-O2094)/80</f>
        <v>-0.37360000000000282</v>
      </c>
    </row>
    <row r="2095" spans="1:41" x14ac:dyDescent="0.35">
      <c r="A2095" t="s">
        <v>295</v>
      </c>
      <c r="B2095" t="s">
        <v>231</v>
      </c>
      <c r="C2095" t="s">
        <v>814</v>
      </c>
      <c r="D2095">
        <v>0</v>
      </c>
      <c r="E2095">
        <v>-0.2</v>
      </c>
      <c r="F2095">
        <v>-1</v>
      </c>
      <c r="G2095">
        <v>-1.0001549999999999</v>
      </c>
      <c r="H2095">
        <v>10.19375</v>
      </c>
      <c r="J2095">
        <v>-16682</v>
      </c>
      <c r="N2095" t="s">
        <v>203</v>
      </c>
      <c r="O2095">
        <f t="shared" si="96"/>
        <v>9.9938000000000038</v>
      </c>
      <c r="P2095">
        <f t="shared" si="97"/>
        <v>0.24993749999999482</v>
      </c>
      <c r="Q2095">
        <f t="shared" si="98"/>
        <v>0.24993749999999482</v>
      </c>
      <c r="S2095">
        <v>50.109375</v>
      </c>
      <c r="T2095">
        <v>0.15396875000000421</v>
      </c>
      <c r="U2095">
        <v>90.465625000000003</v>
      </c>
      <c r="V2095">
        <v>0.59928125000000776</v>
      </c>
      <c r="W2095">
        <v>80.271871948242193</v>
      </c>
      <c r="X2095">
        <f>(W2095-80)/80*100</f>
        <v>0.33983993530274148</v>
      </c>
      <c r="Y2095">
        <f>TREND(H2095:H2099,G2095:G2099,G2095)</f>
        <v>10.084927774230287</v>
      </c>
      <c r="Z2095">
        <f>ABS((Y2095-H2095)/80*100)</f>
        <v>0.13602778221214029</v>
      </c>
      <c r="AA2095">
        <f>MAX(Z2095:Z2099)</f>
        <v>0.15777674488066218</v>
      </c>
      <c r="AB2095">
        <f>IF(ABS(MAX(P2095:P2101)) &gt; ABS(MIN(P2095:P2101)),MAX(P2095:P2101), MIN(P2095:P2101))</f>
        <v>0.59928125000000776</v>
      </c>
      <c r="AC2095">
        <f>IF(ABS(AB2096)&gt;ABS(AB2095),AB2096,AB2095)</f>
        <v>0.59928125000000776</v>
      </c>
      <c r="AE2095">
        <f>ABS(P2143-P2087)</f>
        <v>6.4353124999998457E-2</v>
      </c>
      <c r="AH2095">
        <f>H2095-AG2081</f>
        <v>10.130447500000001</v>
      </c>
      <c r="AI2095">
        <f>100*(AH2095-O2095)/80</f>
        <v>0.17080937499999616</v>
      </c>
      <c r="AJ2095">
        <v>50.046072500000001</v>
      </c>
      <c r="AK2095">
        <v>7.4840625000005545E-2</v>
      </c>
      <c r="AL2095">
        <v>90.402322499999997</v>
      </c>
      <c r="AM2095">
        <v>0.52015312500000022</v>
      </c>
      <c r="AN2095">
        <f>IF(ABS(MAX(AI2095:AI2101)) &gt; ABS(MIN(AI2095:AI2101)),MAX(AI2095:AI2101), MIN(AI2095:AI2101))</f>
        <v>0.52015312500000022</v>
      </c>
      <c r="AO2095">
        <f>IF(ABS(AN2096)&gt;ABS(AN2095),AN2096,AN2095)</f>
        <v>0.52015312500000022</v>
      </c>
    </row>
    <row r="2096" spans="1:41" x14ac:dyDescent="0.35">
      <c r="A2096" t="s">
        <v>295</v>
      </c>
      <c r="B2096" t="s">
        <v>231</v>
      </c>
      <c r="C2096" t="s">
        <v>851</v>
      </c>
      <c r="D2096">
        <v>0</v>
      </c>
      <c r="E2096">
        <v>0.1</v>
      </c>
      <c r="F2096">
        <v>-0.5</v>
      </c>
      <c r="G2096">
        <v>-0.499917</v>
      </c>
      <c r="H2096">
        <v>30.109375</v>
      </c>
      <c r="J2096">
        <v>-16649</v>
      </c>
      <c r="N2096" t="s">
        <v>203</v>
      </c>
      <c r="O2096">
        <f t="shared" si="96"/>
        <v>30.003320000000002</v>
      </c>
      <c r="P2096">
        <f t="shared" si="97"/>
        <v>0.13256874999999724</v>
      </c>
      <c r="Q2096">
        <f t="shared" si="98"/>
        <v>0.13256874999999724</v>
      </c>
      <c r="Y2096">
        <f>TREND(H2095:H2099,G2095:G2099,G2096)</f>
        <v>30.173634798533985</v>
      </c>
      <c r="Z2096">
        <f>ABS((Y2096-H2096)/80*100)</f>
        <v>8.0324748167481808E-2</v>
      </c>
      <c r="AB2096">
        <f>IF(ABS(T2095) &gt; ABS(V2095),T2095,V2095)</f>
        <v>0.59928125000000776</v>
      </c>
      <c r="AE2096">
        <f>ABS(P2137-P2109)</f>
        <v>0.13962812499999755</v>
      </c>
      <c r="AH2096">
        <f>H2096-AG2081</f>
        <v>30.046072500000001</v>
      </c>
      <c r="AI2096">
        <f>100*(AH2096-O2096)/80</f>
        <v>5.3440624999998576E-2</v>
      </c>
      <c r="AN2096">
        <f>IF(ABS(AK2095) &gt; ABS(AM2095),AK2095,AM2095)</f>
        <v>0.52015312500000022</v>
      </c>
    </row>
    <row r="2097" spans="1:41" x14ac:dyDescent="0.35">
      <c r="A2097" t="s">
        <v>295</v>
      </c>
      <c r="B2097" t="s">
        <v>231</v>
      </c>
      <c r="C2097" t="s">
        <v>887</v>
      </c>
      <c r="D2097">
        <v>0</v>
      </c>
      <c r="E2097">
        <v>0</v>
      </c>
      <c r="F2097">
        <v>0</v>
      </c>
      <c r="G2097">
        <v>-3.4499999999999998E-4</v>
      </c>
      <c r="H2097">
        <v>50.109375</v>
      </c>
      <c r="J2097">
        <v>-16627</v>
      </c>
      <c r="N2097" t="s">
        <v>203</v>
      </c>
      <c r="O2097">
        <f t="shared" si="96"/>
        <v>49.986199999999997</v>
      </c>
      <c r="P2097">
        <f t="shared" si="97"/>
        <v>0.15396875000000421</v>
      </c>
      <c r="Q2097">
        <f t="shared" si="98"/>
        <v>0.15396875000000421</v>
      </c>
      <c r="Y2097">
        <f>TREND(H2095:H2099,G2095:G2099,G2097)</f>
        <v>50.23559639590453</v>
      </c>
      <c r="Z2097">
        <f>ABS((Y2097-H2097)/80*100)</f>
        <v>0.15777674488066218</v>
      </c>
      <c r="AE2097">
        <f>ABS(P2138-P2110)</f>
        <v>0.31369375000000144</v>
      </c>
      <c r="AH2097">
        <f>H2097-AG2081</f>
        <v>50.046072500000001</v>
      </c>
      <c r="AI2097">
        <f>100*(AH2097-O2097)/80</f>
        <v>7.4840625000005545E-2</v>
      </c>
    </row>
    <row r="2098" spans="1:41" x14ac:dyDescent="0.35">
      <c r="A2098" t="s">
        <v>295</v>
      </c>
      <c r="B2098" t="s">
        <v>231</v>
      </c>
      <c r="C2098" t="s">
        <v>923</v>
      </c>
      <c r="D2098">
        <v>0</v>
      </c>
      <c r="E2098">
        <v>0</v>
      </c>
      <c r="F2098">
        <v>0.5</v>
      </c>
      <c r="G2098">
        <v>0.50012999999999996</v>
      </c>
      <c r="H2098">
        <v>70.34375</v>
      </c>
      <c r="J2098">
        <v>-16600</v>
      </c>
      <c r="N2098" t="s">
        <v>203</v>
      </c>
      <c r="O2098">
        <f t="shared" si="96"/>
        <v>70.005200000000002</v>
      </c>
      <c r="P2098">
        <f t="shared" si="97"/>
        <v>0.42318749999999739</v>
      </c>
      <c r="Q2098">
        <f t="shared" si="98"/>
        <v>0.42318749999999739</v>
      </c>
      <c r="Y2098">
        <f>TREND(H2095:H2099,G2095:G2099,G2098)</f>
        <v>70.333820936999757</v>
      </c>
      <c r="Z2098">
        <f>ABS((Y2098-H2098)/80*100)</f>
        <v>1.2411328750303596E-2</v>
      </c>
      <c r="AE2098">
        <f>ABS(P2139-P2111)</f>
        <v>0.11121249999999527</v>
      </c>
      <c r="AH2098">
        <f>H2098-AG2081</f>
        <v>70.280447500000008</v>
      </c>
      <c r="AI2098">
        <f>100*(AH2098-O2098)/80</f>
        <v>0.34405937500000761</v>
      </c>
    </row>
    <row r="2099" spans="1:41" x14ac:dyDescent="0.35">
      <c r="A2099" t="s">
        <v>295</v>
      </c>
      <c r="B2099" t="s">
        <v>231</v>
      </c>
      <c r="C2099" t="s">
        <v>960</v>
      </c>
      <c r="D2099">
        <v>0</v>
      </c>
      <c r="E2099">
        <v>0.1</v>
      </c>
      <c r="F2099">
        <v>1</v>
      </c>
      <c r="G2099">
        <v>0.99965499999999996</v>
      </c>
      <c r="H2099">
        <v>90.465625000000003</v>
      </c>
      <c r="J2099">
        <v>-16587</v>
      </c>
      <c r="N2099" t="s">
        <v>203</v>
      </c>
      <c r="O2099">
        <f t="shared" si="96"/>
        <v>89.986199999999997</v>
      </c>
      <c r="P2099">
        <f t="shared" si="97"/>
        <v>0.59928125000000776</v>
      </c>
      <c r="Q2099">
        <f t="shared" si="98"/>
        <v>0.59928125000000776</v>
      </c>
      <c r="Y2099">
        <f>TREND(H2095:H2099,G2095:G2099,G2099)</f>
        <v>90.393895094331469</v>
      </c>
      <c r="Z2099">
        <f>ABS((Y2099-H2099)/80*100)</f>
        <v>8.9662382085666792E-2</v>
      </c>
      <c r="AE2099">
        <f>ABS(P2140-P2112)</f>
        <v>8.7371874999995214E-2</v>
      </c>
      <c r="AH2099">
        <f>H2099-AG2081</f>
        <v>90.402322499999997</v>
      </c>
      <c r="AI2099">
        <f>100*(AH2099-O2099)/80</f>
        <v>0.52015312500000022</v>
      </c>
    </row>
    <row r="2100" spans="1:41" x14ac:dyDescent="0.35">
      <c r="A2100" t="s">
        <v>295</v>
      </c>
      <c r="B2100" t="s">
        <v>231</v>
      </c>
      <c r="C2100" t="s">
        <v>997</v>
      </c>
      <c r="D2100">
        <v>0</v>
      </c>
      <c r="E2100">
        <v>0</v>
      </c>
      <c r="F2100">
        <v>0</v>
      </c>
      <c r="G2100">
        <v>-4.5300000000000001E-4</v>
      </c>
      <c r="H2100">
        <v>50.157812499999999</v>
      </c>
      <c r="J2100">
        <v>-16560</v>
      </c>
      <c r="N2100" t="s">
        <v>203</v>
      </c>
      <c r="O2100">
        <f t="shared" si="96"/>
        <v>49.981879999999997</v>
      </c>
      <c r="P2100">
        <f t="shared" si="97"/>
        <v>0.21991562500000228</v>
      </c>
      <c r="Q2100">
        <f t="shared" si="98"/>
        <v>0.21991562500000228</v>
      </c>
      <c r="Y2100">
        <f>TREND(H2095:H2099,G2095:G2099,G2100)</f>
        <v>50.231259299645103</v>
      </c>
      <c r="Z2100">
        <f>ABS((Y2100-H2100)/80*100)</f>
        <v>9.1808499556380596E-2</v>
      </c>
      <c r="AE2100">
        <f>ABS(P2141-P2113)</f>
        <v>4.4859375000001478E-2</v>
      </c>
      <c r="AH2100">
        <f>H2100-AG2081</f>
        <v>50.09451</v>
      </c>
      <c r="AI2100">
        <f>100*(AH2100-O2100)/80</f>
        <v>0.14078750000000362</v>
      </c>
    </row>
    <row r="2101" spans="1:41" x14ac:dyDescent="0.35">
      <c r="A2101" t="s">
        <v>295</v>
      </c>
      <c r="B2101" t="s">
        <v>231</v>
      </c>
      <c r="C2101" t="s">
        <v>1033</v>
      </c>
      <c r="D2101">
        <v>0</v>
      </c>
      <c r="E2101">
        <v>-0.1</v>
      </c>
      <c r="F2101">
        <v>-1</v>
      </c>
      <c r="G2101">
        <v>-0.99976299999999996</v>
      </c>
      <c r="H2101">
        <v>10.2203125</v>
      </c>
      <c r="J2101">
        <v>-16534</v>
      </c>
      <c r="N2101" t="s">
        <v>203</v>
      </c>
      <c r="O2101">
        <f t="shared" si="96"/>
        <v>10.009480000000002</v>
      </c>
      <c r="P2101">
        <f t="shared" si="97"/>
        <v>0.26354062499999831</v>
      </c>
      <c r="Q2101">
        <f t="shared" si="98"/>
        <v>0.26354062499999831</v>
      </c>
      <c r="Y2101">
        <f>TREND(H2095:H2099,G2095:G2099,G2101)</f>
        <v>10.100669827320068</v>
      </c>
      <c r="Z2101">
        <f>ABS((Y2101-H2101)/80*100)</f>
        <v>0.14955334084991501</v>
      </c>
      <c r="AE2101">
        <f>ABS(P2142-P2114)</f>
        <v>7.6621874999993622E-2</v>
      </c>
      <c r="AH2101">
        <f>H2101-AG2081</f>
        <v>10.157010000000001</v>
      </c>
      <c r="AI2101">
        <f>100*(AH2101-O2101)/80</f>
        <v>0.18441249999999965</v>
      </c>
    </row>
    <row r="2102" spans="1:41" x14ac:dyDescent="0.35">
      <c r="A2102" t="s">
        <v>295</v>
      </c>
      <c r="B2102" t="s">
        <v>231</v>
      </c>
      <c r="C2102" t="s">
        <v>1069</v>
      </c>
      <c r="D2102">
        <v>10</v>
      </c>
      <c r="E2102">
        <v>10</v>
      </c>
      <c r="F2102">
        <v>-1</v>
      </c>
      <c r="G2102">
        <v>-1.0000899999999999</v>
      </c>
      <c r="H2102">
        <v>10.221875000000001</v>
      </c>
      <c r="J2102">
        <v>-12343</v>
      </c>
      <c r="N2102" t="s">
        <v>203</v>
      </c>
      <c r="O2102">
        <f t="shared" si="96"/>
        <v>9.9964000000000031</v>
      </c>
      <c r="P2102">
        <f t="shared" si="97"/>
        <v>0.28184374999999706</v>
      </c>
      <c r="Q2102">
        <f t="shared" si="98"/>
        <v>0.28184374999999706</v>
      </c>
      <c r="S2102">
        <v>50.168750000000003</v>
      </c>
      <c r="T2102">
        <v>0.20573749999999613</v>
      </c>
      <c r="U2102">
        <v>90.40625</v>
      </c>
      <c r="V2102">
        <v>0.48981250000000642</v>
      </c>
      <c r="W2102">
        <v>80.184375000000003</v>
      </c>
      <c r="X2102">
        <f>(W2102-80)/80*100</f>
        <v>0.23046875000000355</v>
      </c>
      <c r="Y2102">
        <f>TREND(H2102:H2106,G2102:G2106,G2102)</f>
        <v>10.127207194162573</v>
      </c>
      <c r="Z2102">
        <f>ABS((Y2102-H2102)/80*100)</f>
        <v>0.11833475729678522</v>
      </c>
      <c r="AA2102">
        <f>MAX(Z2102:Z2106)</f>
        <v>0.11833475729678522</v>
      </c>
      <c r="AB2102">
        <f>IF(ABS(MAX(P2102:P2108)) &gt; ABS(MIN(P2102:P2108)),MAX(P2102:P2108), MIN(P2102:P2108))</f>
        <v>0.48981250000000642</v>
      </c>
      <c r="AC2102">
        <f>IF(ABS(AB2103)&gt;ABS(AB2102),AB2103,AB2102)</f>
        <v>0.48981250000000642</v>
      </c>
      <c r="AE2102">
        <f>ABS(P2143-P2115)</f>
        <v>0.20160625000000598</v>
      </c>
      <c r="AH2102">
        <f>H2102-AG2081</f>
        <v>10.158572500000002</v>
      </c>
      <c r="AI2102">
        <f>100*(AH2102-O2102)/80</f>
        <v>0.2027156249999984</v>
      </c>
      <c r="AJ2102">
        <v>50.105447500000004</v>
      </c>
      <c r="AK2102">
        <v>0.12660937499999747</v>
      </c>
      <c r="AL2102">
        <v>90.342947500000008</v>
      </c>
      <c r="AM2102">
        <v>0.41068437500001664</v>
      </c>
      <c r="AN2102">
        <f>IF(ABS(MAX(AI2102:AI2108)) &gt; ABS(MIN(AI2102:AI2108)),MAX(AI2102:AI2108), MIN(AI2102:AI2108))</f>
        <v>0.41068437500001664</v>
      </c>
      <c r="AO2102">
        <f>IF(ABS(AN2103)&gt;ABS(AN2102),AN2103,AN2102)</f>
        <v>0.41068437500001664</v>
      </c>
    </row>
    <row r="2103" spans="1:41" x14ac:dyDescent="0.35">
      <c r="A2103" t="s">
        <v>295</v>
      </c>
      <c r="B2103" t="s">
        <v>231</v>
      </c>
      <c r="C2103" t="s">
        <v>1105</v>
      </c>
      <c r="D2103">
        <v>10</v>
      </c>
      <c r="E2103">
        <v>10</v>
      </c>
      <c r="F2103">
        <v>-0.5</v>
      </c>
      <c r="G2103">
        <v>-0.49994300000000003</v>
      </c>
      <c r="H2103">
        <v>30.104687500000001</v>
      </c>
      <c r="J2103">
        <v>-12334</v>
      </c>
      <c r="N2103" t="s">
        <v>203</v>
      </c>
      <c r="O2103">
        <f t="shared" si="96"/>
        <v>30.002279999999999</v>
      </c>
      <c r="P2103">
        <f t="shared" si="97"/>
        <v>0.1280093750000022</v>
      </c>
      <c r="Q2103">
        <f t="shared" si="98"/>
        <v>0.1280093750000022</v>
      </c>
      <c r="Y2103">
        <f>TREND(H2102:H2106,G2102:G2106,G2103)</f>
        <v>30.194798036065034</v>
      </c>
      <c r="Z2103">
        <f>ABS((Y2103-H2103)/80*100)</f>
        <v>0.11263817008129173</v>
      </c>
      <c r="AB2103">
        <f>IF(ABS(T2102) &gt; ABS(V2102),T2102,V2102)</f>
        <v>0.48981250000000642</v>
      </c>
      <c r="AH2103">
        <f>H2103-AG2081</f>
        <v>30.041385000000002</v>
      </c>
      <c r="AI2103">
        <f>100*(AH2103-O2103)/80</f>
        <v>4.888125000000354E-2</v>
      </c>
      <c r="AN2103">
        <f>IF(ABS(AK2102) &gt; ABS(AM2102),AK2102,AM2102)</f>
        <v>0.41068437500001664</v>
      </c>
    </row>
    <row r="2104" spans="1:41" x14ac:dyDescent="0.35">
      <c r="A2104" t="s">
        <v>295</v>
      </c>
      <c r="B2104" t="s">
        <v>1111</v>
      </c>
      <c r="C2104" t="s">
        <v>1142</v>
      </c>
      <c r="D2104">
        <v>10</v>
      </c>
      <c r="E2104">
        <v>10</v>
      </c>
      <c r="F2104">
        <v>0</v>
      </c>
      <c r="G2104">
        <v>1.0399999999999999E-4</v>
      </c>
      <c r="H2104">
        <v>50.168750000000003</v>
      </c>
      <c r="J2104">
        <v>-12322</v>
      </c>
      <c r="N2104" t="s">
        <v>203</v>
      </c>
      <c r="O2104">
        <f t="shared" si="96"/>
        <v>50.004160000000006</v>
      </c>
      <c r="P2104">
        <f t="shared" si="97"/>
        <v>0.20573749999999613</v>
      </c>
      <c r="Q2104">
        <f t="shared" si="98"/>
        <v>0.20573749999999613</v>
      </c>
      <c r="Y2104">
        <f>TREND(H2102:H2106,G2102:G2106,G2104)</f>
        <v>50.258376539426649</v>
      </c>
      <c r="Z2104">
        <f>ABS((Y2104-H2104)/80*100)</f>
        <v>0.11203317428330807</v>
      </c>
      <c r="AH2104">
        <f>H2104-AG2081</f>
        <v>50.105447500000004</v>
      </c>
      <c r="AI2104">
        <f>100*(AH2104-O2104)/80</f>
        <v>0.12660937499999747</v>
      </c>
    </row>
    <row r="2105" spans="1:41" x14ac:dyDescent="0.35">
      <c r="A2105" t="s">
        <v>295</v>
      </c>
      <c r="B2105" t="s">
        <v>1111</v>
      </c>
      <c r="C2105" t="s">
        <v>1179</v>
      </c>
      <c r="D2105">
        <v>10</v>
      </c>
      <c r="E2105">
        <v>10</v>
      </c>
      <c r="F2105">
        <v>0.5</v>
      </c>
      <c r="G2105">
        <v>0.49982399999999999</v>
      </c>
      <c r="H2105">
        <v>70.379687500000003</v>
      </c>
      <c r="J2105">
        <v>-12324</v>
      </c>
      <c r="N2105" t="s">
        <v>203</v>
      </c>
      <c r="O2105">
        <f t="shared" si="96"/>
        <v>69.992960000000011</v>
      </c>
      <c r="P2105">
        <f t="shared" si="97"/>
        <v>0.48340937499999015</v>
      </c>
      <c r="Q2105">
        <f t="shared" si="98"/>
        <v>0.48340937499999015</v>
      </c>
      <c r="Y2105">
        <f>TREND(H2102:H2106,G2102:G2106,G2105)</f>
        <v>70.308834695759685</v>
      </c>
      <c r="Z2105">
        <f>ABS((Y2105-H2105)/80*100)</f>
        <v>8.8566005300396711E-2</v>
      </c>
      <c r="AH2105">
        <f>H2105-AG2081</f>
        <v>70.316384999999997</v>
      </c>
      <c r="AI2105">
        <f>100*(AH2105-O2105)/80</f>
        <v>0.40428124999998261</v>
      </c>
    </row>
    <row r="2106" spans="1:41" x14ac:dyDescent="0.35">
      <c r="A2106" t="s">
        <v>295</v>
      </c>
      <c r="B2106" t="s">
        <v>1111</v>
      </c>
      <c r="C2106" t="s">
        <v>1216</v>
      </c>
      <c r="D2106">
        <v>10</v>
      </c>
      <c r="E2106">
        <v>10</v>
      </c>
      <c r="F2106">
        <v>1</v>
      </c>
      <c r="G2106">
        <v>1.0003599999999999</v>
      </c>
      <c r="H2106">
        <v>90.40625</v>
      </c>
      <c r="J2106">
        <v>-12311</v>
      </c>
      <c r="N2106" t="s">
        <v>203</v>
      </c>
      <c r="O2106">
        <f t="shared" si="96"/>
        <v>90.014399999999995</v>
      </c>
      <c r="P2106">
        <f t="shared" si="97"/>
        <v>0.48981250000000642</v>
      </c>
      <c r="Q2106">
        <f t="shared" si="98"/>
        <v>0.48981250000000642</v>
      </c>
      <c r="Y2106">
        <f>TREND(H2102:H2106,G2102:G2106,G2106)</f>
        <v>90.392033534586062</v>
      </c>
      <c r="Z2106">
        <f>ABS((Y2106-H2106)/80*100)</f>
        <v>1.77705817674223E-2</v>
      </c>
      <c r="AH2106">
        <f>H2106-AG2081</f>
        <v>90.342947500000008</v>
      </c>
      <c r="AI2106">
        <f>100*(AH2106-O2106)/80</f>
        <v>0.41068437500001664</v>
      </c>
    </row>
    <row r="2107" spans="1:41" x14ac:dyDescent="0.35">
      <c r="A2107" t="s">
        <v>295</v>
      </c>
      <c r="B2107" t="s">
        <v>1111</v>
      </c>
      <c r="C2107" t="s">
        <v>1253</v>
      </c>
      <c r="D2107">
        <v>10</v>
      </c>
      <c r="E2107">
        <v>10</v>
      </c>
      <c r="F2107">
        <v>0</v>
      </c>
      <c r="G2107">
        <v>-3.9199999999999999E-4</v>
      </c>
      <c r="H2107">
        <v>50.170312500000001</v>
      </c>
      <c r="J2107">
        <v>-12300</v>
      </c>
      <c r="N2107" t="s">
        <v>203</v>
      </c>
      <c r="O2107">
        <f t="shared" si="96"/>
        <v>49.984320000000004</v>
      </c>
      <c r="P2107">
        <f t="shared" si="97"/>
        <v>0.23249062499999695</v>
      </c>
      <c r="Q2107">
        <f t="shared" si="98"/>
        <v>0.23249062499999695</v>
      </c>
      <c r="Y2107">
        <f>TREND(H2102:H2106,G2102:G2106,G2107)</f>
        <v>50.238475340264038</v>
      </c>
      <c r="Z2107">
        <f>ABS((Y2107-H2107)/80*100)</f>
        <v>8.520355033004634E-2</v>
      </c>
      <c r="AH2107">
        <f>H2107-AG2081</f>
        <v>50.107010000000002</v>
      </c>
      <c r="AI2107">
        <f>100*(AH2107-O2107)/80</f>
        <v>0.15336249999999829</v>
      </c>
    </row>
    <row r="2108" spans="1:41" x14ac:dyDescent="0.35">
      <c r="A2108" t="s">
        <v>295</v>
      </c>
      <c r="B2108" t="s">
        <v>1111</v>
      </c>
      <c r="C2108" t="s">
        <v>1289</v>
      </c>
      <c r="D2108">
        <v>10</v>
      </c>
      <c r="E2108">
        <v>10</v>
      </c>
      <c r="F2108">
        <v>-1</v>
      </c>
      <c r="G2108">
        <v>-1.0005390000000001</v>
      </c>
      <c r="H2108">
        <v>10.25625</v>
      </c>
      <c r="J2108">
        <v>-12298</v>
      </c>
      <c r="N2108" t="s">
        <v>203</v>
      </c>
      <c r="O2108">
        <f t="shared" si="96"/>
        <v>9.9784399999999973</v>
      </c>
      <c r="P2108">
        <f t="shared" si="97"/>
        <v>0.34726250000000292</v>
      </c>
      <c r="Q2108">
        <f t="shared" si="98"/>
        <v>0.34726250000000292</v>
      </c>
      <c r="Y2108">
        <f>TREND(H2102:H2106,G2102:G2106,G2108)</f>
        <v>10.109191794114153</v>
      </c>
      <c r="Z2108">
        <f>ABS((Y2108-H2108)/80*100)</f>
        <v>0.18382275735730813</v>
      </c>
      <c r="AH2108">
        <f>H2108-AG2081</f>
        <v>10.192947500000001</v>
      </c>
      <c r="AI2108">
        <f>100*(AH2108-O2108)/80</f>
        <v>0.26813437500000425</v>
      </c>
    </row>
    <row r="2109" spans="1:41" x14ac:dyDescent="0.35">
      <c r="A2109" t="s">
        <v>295</v>
      </c>
      <c r="B2109" t="s">
        <v>1111</v>
      </c>
      <c r="C2109" t="s">
        <v>1325</v>
      </c>
      <c r="D2109">
        <v>25</v>
      </c>
      <c r="E2109">
        <v>25</v>
      </c>
      <c r="F2109">
        <v>-1</v>
      </c>
      <c r="G2109">
        <v>-1.0001869999999999</v>
      </c>
      <c r="H2109">
        <v>10.225</v>
      </c>
      <c r="J2109">
        <v>-6350</v>
      </c>
      <c r="N2109" t="s">
        <v>203</v>
      </c>
      <c r="O2109">
        <f t="shared" si="96"/>
        <v>9.9925200000000025</v>
      </c>
      <c r="P2109">
        <f t="shared" si="97"/>
        <v>0.29059999999999642</v>
      </c>
      <c r="Q2109">
        <f t="shared" si="98"/>
        <v>0.29059999999999642</v>
      </c>
      <c r="S2109">
        <v>50.151562499999997</v>
      </c>
      <c r="T2109">
        <v>0.19585312499999397</v>
      </c>
      <c r="U2109">
        <v>90.325000000000003</v>
      </c>
      <c r="V2109">
        <v>0.39939999999999642</v>
      </c>
      <c r="W2109">
        <v>80.099996948242193</v>
      </c>
      <c r="X2109">
        <f>(W2109-80)/80*100</f>
        <v>0.12499618530274147</v>
      </c>
      <c r="Y2109">
        <f>TREND(H2109:H2113,G2109:G2113,G2109)</f>
        <v>10.161893204791198</v>
      </c>
      <c r="Z2109">
        <f>ABS((Y2109-H2109)/80*100)</f>
        <v>7.8883494011001698E-2</v>
      </c>
      <c r="AA2109">
        <f>MAX(Z2109:Z2113)</f>
        <v>0.10937426960669684</v>
      </c>
      <c r="AB2109">
        <f>IF(ABS(MAX(P2109:P2115)) &gt; ABS(MIN(P2109:P2115)),MAX(P2109:P2115), MIN(P2109:P2115))</f>
        <v>0.44515312499999737</v>
      </c>
      <c r="AC2109">
        <f>IF(ABS(AB2110)&gt;ABS(AB2109),AB2110,AB2109)</f>
        <v>0.44515312499999737</v>
      </c>
      <c r="AH2109">
        <f>H2109-AG2081</f>
        <v>10.161697500000001</v>
      </c>
      <c r="AI2109">
        <f>100*(AH2109-O2109)/80</f>
        <v>0.21147187499999776</v>
      </c>
      <c r="AJ2109">
        <v>50.088259999999998</v>
      </c>
      <c r="AK2109">
        <v>0.1167249999999953</v>
      </c>
      <c r="AL2109">
        <v>90.261697499999997</v>
      </c>
      <c r="AM2109">
        <v>0.32027187499998888</v>
      </c>
      <c r="AN2109">
        <f>IF(ABS(MAX(AI2109:AI2115)) &gt; ABS(MIN(AI2109:AI2115)),MAX(AI2109:AI2115), MIN(AI2109:AI2115))</f>
        <v>0.36602500000000759</v>
      </c>
      <c r="AO2109">
        <f>IF(ABS(AN2110)&gt;ABS(AN2109),AN2110,AN2109)</f>
        <v>0.36602500000000759</v>
      </c>
    </row>
    <row r="2110" spans="1:41" x14ac:dyDescent="0.35">
      <c r="A2110" t="s">
        <v>295</v>
      </c>
      <c r="B2110" t="s">
        <v>1111</v>
      </c>
      <c r="C2110" t="s">
        <v>1362</v>
      </c>
      <c r="D2110">
        <v>25</v>
      </c>
      <c r="E2110">
        <v>25</v>
      </c>
      <c r="F2110">
        <v>-0.5</v>
      </c>
      <c r="G2110">
        <v>-0.50007500000000005</v>
      </c>
      <c r="H2110">
        <v>30.153124999999999</v>
      </c>
      <c r="J2110">
        <v>-6345</v>
      </c>
      <c r="N2110" t="s">
        <v>203</v>
      </c>
      <c r="O2110">
        <f t="shared" si="96"/>
        <v>29.997</v>
      </c>
      <c r="P2110">
        <f t="shared" si="97"/>
        <v>0.19515624999999925</v>
      </c>
      <c r="Q2110">
        <f t="shared" si="98"/>
        <v>0.19515624999999925</v>
      </c>
      <c r="Y2110">
        <f>TREND(H2109:H2113,G2109:G2113,G2110)</f>
        <v>30.203783731592814</v>
      </c>
      <c r="Z2110">
        <f>ABS((Y2110-H2110)/80*100)</f>
        <v>6.3323414491018859E-2</v>
      </c>
      <c r="AB2110">
        <f>IF(ABS(T2109) &gt; ABS(V2109),T2109,V2109)</f>
        <v>0.39939999999999642</v>
      </c>
      <c r="AH2110">
        <f>H2110-AG2081</f>
        <v>30.0898225</v>
      </c>
      <c r="AI2110">
        <f>100*(AH2110-O2110)/80</f>
        <v>0.11602812500000059</v>
      </c>
      <c r="AN2110">
        <f>IF(ABS(AK2109) &gt; ABS(AM2109),AK2109,AM2109)</f>
        <v>0.32027187499998888</v>
      </c>
    </row>
    <row r="2111" spans="1:41" x14ac:dyDescent="0.35">
      <c r="A2111" t="s">
        <v>295</v>
      </c>
      <c r="B2111" t="s">
        <v>1111</v>
      </c>
      <c r="C2111" t="s">
        <v>1398</v>
      </c>
      <c r="D2111">
        <v>25</v>
      </c>
      <c r="E2111">
        <v>25</v>
      </c>
      <c r="F2111">
        <v>0</v>
      </c>
      <c r="G2111">
        <v>-1.2799999999999999E-4</v>
      </c>
      <c r="H2111">
        <v>50.151562499999997</v>
      </c>
      <c r="J2111">
        <v>-6335</v>
      </c>
      <c r="N2111" t="s">
        <v>203</v>
      </c>
      <c r="O2111">
        <f t="shared" si="96"/>
        <v>49.994880000000002</v>
      </c>
      <c r="P2111">
        <f t="shared" si="97"/>
        <v>0.19585312499999397</v>
      </c>
      <c r="Q2111">
        <f t="shared" si="98"/>
        <v>0.19585312499999397</v>
      </c>
      <c r="Y2111">
        <f>TREND(H2109:H2113,G2109:G2113,G2111)</f>
        <v>50.239061915685355</v>
      </c>
      <c r="Z2111">
        <f>ABS((Y2111-H2111)/80*100)</f>
        <v>0.10937426960669684</v>
      </c>
      <c r="AH2111">
        <f>H2111-AG2081</f>
        <v>50.088259999999998</v>
      </c>
      <c r="AI2111">
        <f>100*(AH2111-O2111)/80</f>
        <v>0.1167249999999953</v>
      </c>
    </row>
    <row r="2112" spans="1:41" x14ac:dyDescent="0.35">
      <c r="A2112" t="s">
        <v>295</v>
      </c>
      <c r="B2112" t="s">
        <v>1111</v>
      </c>
      <c r="C2112" t="s">
        <v>1435</v>
      </c>
      <c r="D2112">
        <v>25</v>
      </c>
      <c r="E2112">
        <v>25</v>
      </c>
      <c r="F2112">
        <v>0.5</v>
      </c>
      <c r="G2112">
        <v>0.499886</v>
      </c>
      <c r="H2112">
        <v>70.3515625</v>
      </c>
      <c r="J2112">
        <v>-6324</v>
      </c>
      <c r="N2112" t="s">
        <v>203</v>
      </c>
      <c r="O2112">
        <f t="shared" si="96"/>
        <v>69.995440000000002</v>
      </c>
      <c r="P2112">
        <f t="shared" si="97"/>
        <v>0.44515312499999737</v>
      </c>
      <c r="Q2112">
        <f t="shared" si="98"/>
        <v>0.44515312499999737</v>
      </c>
      <c r="Y2112">
        <f>TREND(H2109:H2113,G2109:G2113,G2112)</f>
        <v>70.277025111665836</v>
      </c>
      <c r="Z2112">
        <f>ABS((Y2112-H2112)/80*100)</f>
        <v>9.3171735417705293E-2</v>
      </c>
      <c r="AH2112">
        <f>H2112-AG2081</f>
        <v>70.288260000000008</v>
      </c>
      <c r="AI2112">
        <f>100*(AH2112-O2112)/80</f>
        <v>0.36602500000000759</v>
      </c>
    </row>
    <row r="2113" spans="1:41" x14ac:dyDescent="0.35">
      <c r="A2113" t="s">
        <v>295</v>
      </c>
      <c r="B2113" t="s">
        <v>1111</v>
      </c>
      <c r="C2113" t="s">
        <v>1472</v>
      </c>
      <c r="D2113">
        <v>25</v>
      </c>
      <c r="E2113">
        <v>25</v>
      </c>
      <c r="F2113">
        <v>1</v>
      </c>
      <c r="G2113">
        <v>1.0001370000000001</v>
      </c>
      <c r="H2113">
        <v>90.325000000000003</v>
      </c>
      <c r="J2113">
        <v>-6320</v>
      </c>
      <c r="N2113" t="s">
        <v>203</v>
      </c>
      <c r="O2113">
        <f t="shared" si="96"/>
        <v>90.005480000000006</v>
      </c>
      <c r="P2113">
        <f t="shared" si="97"/>
        <v>0.39939999999999642</v>
      </c>
      <c r="Q2113">
        <f t="shared" si="98"/>
        <v>0.39939999999999642</v>
      </c>
      <c r="Y2113">
        <f>TREND(H2109:H2113,G2109:G2113,G2113)</f>
        <v>90.324486036264801</v>
      </c>
      <c r="Z2113">
        <f>ABS((Y2113-H2113)/80*100)</f>
        <v>6.4245466900203496E-4</v>
      </c>
      <c r="AH2113">
        <f>H2113-AG2081</f>
        <v>90.261697499999997</v>
      </c>
      <c r="AI2113">
        <f>100*(AH2113-O2113)/80</f>
        <v>0.32027187499998888</v>
      </c>
    </row>
    <row r="2114" spans="1:41" x14ac:dyDescent="0.35">
      <c r="A2114" t="s">
        <v>295</v>
      </c>
      <c r="B2114" t="s">
        <v>1111</v>
      </c>
      <c r="C2114" t="s">
        <v>1509</v>
      </c>
      <c r="D2114">
        <v>25</v>
      </c>
      <c r="E2114">
        <v>25</v>
      </c>
      <c r="F2114">
        <v>0</v>
      </c>
      <c r="G2114">
        <v>1.9999999999999999E-6</v>
      </c>
      <c r="H2114">
        <v>50.192187500000003</v>
      </c>
      <c r="J2114">
        <v>-6314</v>
      </c>
      <c r="N2114" t="s">
        <v>203</v>
      </c>
      <c r="O2114">
        <f t="shared" si="96"/>
        <v>50.000080000000004</v>
      </c>
      <c r="P2114">
        <f t="shared" si="97"/>
        <v>0.24013437499999846</v>
      </c>
      <c r="Q2114">
        <f t="shared" si="98"/>
        <v>0.24013437499999846</v>
      </c>
      <c r="Y2114">
        <f>TREND(H2109:H2113,G2109:G2113,G2114)</f>
        <v>50.244271640244023</v>
      </c>
      <c r="Z2114">
        <f>ABS((Y2114-H2114)/80*100)</f>
        <v>6.5105175305024687E-2</v>
      </c>
      <c r="AH2114">
        <f>H2114-AG2081</f>
        <v>50.128885000000004</v>
      </c>
      <c r="AI2114">
        <f>100*(AH2114-O2114)/80</f>
        <v>0.1610062499999998</v>
      </c>
    </row>
    <row r="2115" spans="1:41" x14ac:dyDescent="0.35">
      <c r="A2115" t="s">
        <v>295</v>
      </c>
      <c r="B2115" t="s">
        <v>1111</v>
      </c>
      <c r="C2115" t="s">
        <v>1545</v>
      </c>
      <c r="D2115">
        <v>25</v>
      </c>
      <c r="E2115">
        <v>25</v>
      </c>
      <c r="F2115">
        <v>-1</v>
      </c>
      <c r="G2115">
        <v>-1.0003010000000001</v>
      </c>
      <c r="H2115">
        <v>10.2515625</v>
      </c>
      <c r="J2115">
        <v>-6305</v>
      </c>
      <c r="N2115" t="s">
        <v>203</v>
      </c>
      <c r="O2115">
        <f t="shared" si="96"/>
        <v>9.9879599999999957</v>
      </c>
      <c r="P2115">
        <f t="shared" si="97"/>
        <v>0.32950312500000578</v>
      </c>
      <c r="Q2115">
        <f t="shared" si="98"/>
        <v>0.32950312500000578</v>
      </c>
      <c r="Y2115">
        <f>TREND(H2109:H2113,G2109:G2113,G2115)</f>
        <v>10.157324677101279</v>
      </c>
      <c r="Z2115">
        <f>ABS((Y2115-H2115)/80*100)</f>
        <v>0.1177972786234016</v>
      </c>
      <c r="AH2115">
        <f>H2115-AG2081</f>
        <v>10.188260000000001</v>
      </c>
      <c r="AI2115">
        <f>100*(AH2115-O2115)/80</f>
        <v>0.25037500000000712</v>
      </c>
    </row>
    <row r="2116" spans="1:41" x14ac:dyDescent="0.35">
      <c r="A2116" t="s">
        <v>295</v>
      </c>
      <c r="B2116" t="s">
        <v>1111</v>
      </c>
      <c r="C2116" t="s">
        <v>1582</v>
      </c>
      <c r="D2116">
        <v>50</v>
      </c>
      <c r="E2116">
        <v>50</v>
      </c>
      <c r="F2116">
        <v>-1</v>
      </c>
      <c r="G2116">
        <v>-1.000102</v>
      </c>
      <c r="H2116">
        <v>10.167187500000001</v>
      </c>
      <c r="J2116">
        <v>3562</v>
      </c>
      <c r="N2116" t="s">
        <v>203</v>
      </c>
      <c r="O2116">
        <f t="shared" si="96"/>
        <v>9.9959199999999981</v>
      </c>
      <c r="P2116">
        <f t="shared" si="97"/>
        <v>0.21408437500000321</v>
      </c>
      <c r="Q2116">
        <f t="shared" si="98"/>
        <v>0.21408437500000321</v>
      </c>
      <c r="S2116">
        <v>50.184375000000003</v>
      </c>
      <c r="T2116">
        <v>0.24076875000000442</v>
      </c>
      <c r="U2116">
        <v>90.293750000000003</v>
      </c>
      <c r="V2116">
        <v>0.36733749999999787</v>
      </c>
      <c r="W2116">
        <v>80.12655944824219</v>
      </c>
      <c r="X2116">
        <f>(W2116-80)/80*100</f>
        <v>0.15819931030273793</v>
      </c>
      <c r="Y2116">
        <f>TREND(H2116:H2120,G2116:G2120,G2116)</f>
        <v>10.127134545320089</v>
      </c>
      <c r="Z2116">
        <f>ABS((Y2116-H2116)/80*100)</f>
        <v>5.0066193349889161E-2</v>
      </c>
      <c r="AA2116">
        <f>MAX(Z2116:Z2120)</f>
        <v>7.2911135562279128E-2</v>
      </c>
      <c r="AB2116">
        <f>IF(ABS(MAX(P2116:P2122)) &gt; ABS(MIN(P2116:P2122)),MAX(P2116:P2122), MIN(P2116:P2122))</f>
        <v>0.40457812500001467</v>
      </c>
      <c r="AC2116">
        <f>IF(ABS(AB2117)&gt;ABS(AB2116),AB2117,AB2116)</f>
        <v>0.40457812500001467</v>
      </c>
      <c r="AH2116">
        <f>H2116-AG2081</f>
        <v>10.103885000000002</v>
      </c>
      <c r="AI2116">
        <f>100*(AH2116-O2116)/80</f>
        <v>0.13495625000000455</v>
      </c>
      <c r="AJ2116">
        <v>50.121072500000004</v>
      </c>
      <c r="AK2116">
        <v>0.16164062500000576</v>
      </c>
      <c r="AL2116">
        <v>90.230447499999997</v>
      </c>
      <c r="AM2116">
        <v>0.28820937499999033</v>
      </c>
      <c r="AN2116">
        <f>IF(ABS(MAX(AI2116:AI2122)) &gt; ABS(MIN(AI2116:AI2122)),MAX(AI2116:AI2122), MIN(AI2116:AI2122))</f>
        <v>0.32545000000002489</v>
      </c>
      <c r="AO2116">
        <f>IF(ABS(AN2117)&gt;ABS(AN2116),AN2117,AN2116)</f>
        <v>0.32545000000002489</v>
      </c>
    </row>
    <row r="2117" spans="1:41" x14ac:dyDescent="0.35">
      <c r="A2117" t="s">
        <v>295</v>
      </c>
      <c r="B2117" t="s">
        <v>1111</v>
      </c>
      <c r="C2117" t="s">
        <v>1618</v>
      </c>
      <c r="D2117">
        <v>50</v>
      </c>
      <c r="E2117">
        <v>50</v>
      </c>
      <c r="F2117">
        <v>-0.5</v>
      </c>
      <c r="G2117">
        <v>-0.50015299999999996</v>
      </c>
      <c r="H2117">
        <v>30.115625000000001</v>
      </c>
      <c r="J2117">
        <v>3581</v>
      </c>
      <c r="N2117" t="s">
        <v>203</v>
      </c>
      <c r="O2117">
        <f t="shared" si="96"/>
        <v>29.993880000000001</v>
      </c>
      <c r="P2117">
        <f t="shared" si="97"/>
        <v>0.15218125000000082</v>
      </c>
      <c r="Q2117">
        <f t="shared" si="98"/>
        <v>0.15218125000000082</v>
      </c>
      <c r="Y2117">
        <f>TREND(H2116:H2120,G2116:G2120,G2117)</f>
        <v>30.169800446958842</v>
      </c>
      <c r="Z2117">
        <f>ABS((Y2117-H2117)/80*100)</f>
        <v>6.7719308698550584E-2</v>
      </c>
      <c r="AB2117">
        <f>IF(ABS(T2116) &gt; ABS(V2116),T2116,V2116)</f>
        <v>0.36733749999999787</v>
      </c>
      <c r="AH2117">
        <f>H2117-AG2081</f>
        <v>30.052322500000002</v>
      </c>
      <c r="AI2117">
        <f>100*(AH2117-O2117)/80</f>
        <v>7.3053125000002161E-2</v>
      </c>
      <c r="AN2117">
        <f>IF(ABS(AK2116) &gt; ABS(AM2116),AK2116,AM2116)</f>
        <v>0.28820937499999033</v>
      </c>
    </row>
    <row r="2118" spans="1:41" x14ac:dyDescent="0.35">
      <c r="A2118" t="s">
        <v>295</v>
      </c>
      <c r="B2118" t="s">
        <v>1111</v>
      </c>
      <c r="C2118" t="s">
        <v>1655</v>
      </c>
      <c r="D2118">
        <v>50</v>
      </c>
      <c r="E2118">
        <v>50</v>
      </c>
      <c r="F2118">
        <v>0</v>
      </c>
      <c r="G2118">
        <v>-2.0599999999999999E-4</v>
      </c>
      <c r="H2118">
        <v>50.184375000000003</v>
      </c>
      <c r="J2118">
        <v>3608</v>
      </c>
      <c r="N2118" t="s">
        <v>203</v>
      </c>
      <c r="O2118">
        <f t="shared" si="96"/>
        <v>49.991759999999999</v>
      </c>
      <c r="P2118">
        <f t="shared" si="97"/>
        <v>0.24076875000000442</v>
      </c>
      <c r="Q2118">
        <f t="shared" si="98"/>
        <v>0.24076875000000442</v>
      </c>
      <c r="Y2118">
        <f>TREND(H2116:H2120,G2116:G2120,G2118)</f>
        <v>50.212386169755732</v>
      </c>
      <c r="Z2118">
        <f>ABS((Y2118-H2118)/80*100)</f>
        <v>3.5013962194661019E-2</v>
      </c>
      <c r="AH2118">
        <f>H2118-AG2081</f>
        <v>50.121072500000004</v>
      </c>
      <c r="AI2118">
        <f>100*(AH2118-O2118)/80</f>
        <v>0.16164062500000576</v>
      </c>
    </row>
    <row r="2119" spans="1:41" x14ac:dyDescent="0.35">
      <c r="A2119" t="s">
        <v>295</v>
      </c>
      <c r="B2119" t="s">
        <v>1111</v>
      </c>
      <c r="C2119" t="s">
        <v>1692</v>
      </c>
      <c r="D2119">
        <v>50</v>
      </c>
      <c r="E2119">
        <v>50</v>
      </c>
      <c r="F2119">
        <v>0.5</v>
      </c>
      <c r="G2119">
        <v>0.49975999999999998</v>
      </c>
      <c r="H2119">
        <v>70.314062500000006</v>
      </c>
      <c r="J2119">
        <v>3623</v>
      </c>
      <c r="N2119" t="s">
        <v>203</v>
      </c>
      <c r="O2119">
        <f t="shared" si="96"/>
        <v>69.990399999999994</v>
      </c>
      <c r="P2119">
        <f t="shared" si="97"/>
        <v>0.40457812500001467</v>
      </c>
      <c r="Q2119">
        <f t="shared" si="98"/>
        <v>0.40457812500001467</v>
      </c>
      <c r="Y2119">
        <f>TREND(H2116:H2120,G2116:G2120,G2119)</f>
        <v>70.255733591550182</v>
      </c>
      <c r="Z2119">
        <f>ABS((Y2119-H2119)/80*100)</f>
        <v>7.2911135562279128E-2</v>
      </c>
      <c r="AH2119">
        <f>H2119-AG2081</f>
        <v>70.250760000000014</v>
      </c>
      <c r="AI2119">
        <f>100*(AH2119-O2119)/80</f>
        <v>0.32545000000002489</v>
      </c>
    </row>
    <row r="2120" spans="1:41" x14ac:dyDescent="0.35">
      <c r="A2120" t="s">
        <v>295</v>
      </c>
      <c r="B2120" t="s">
        <v>1111</v>
      </c>
      <c r="C2120" t="s">
        <v>1729</v>
      </c>
      <c r="D2120">
        <v>50</v>
      </c>
      <c r="E2120">
        <v>50</v>
      </c>
      <c r="F2120">
        <v>1</v>
      </c>
      <c r="G2120">
        <v>0.99999700000000002</v>
      </c>
      <c r="H2120">
        <v>90.293750000000003</v>
      </c>
      <c r="J2120">
        <v>3642</v>
      </c>
      <c r="N2120" t="s">
        <v>203</v>
      </c>
      <c r="O2120">
        <f t="shared" si="96"/>
        <v>89.999880000000005</v>
      </c>
      <c r="P2120">
        <f t="shared" si="97"/>
        <v>0.36733749999999787</v>
      </c>
      <c r="Q2120">
        <f t="shared" si="98"/>
        <v>0.36733749999999787</v>
      </c>
      <c r="Y2120">
        <f>TREND(H2116:H2120,G2116:G2120,G2120)</f>
        <v>90.309945246415111</v>
      </c>
      <c r="Z2120">
        <f>ABS((Y2120-H2120)/80*100)</f>
        <v>2.0244058018885625E-2</v>
      </c>
      <c r="AH2120">
        <f>H2120-AG2081</f>
        <v>90.230447499999997</v>
      </c>
      <c r="AI2120">
        <f>100*(AH2120-O2120)/80</f>
        <v>0.28820937499999033</v>
      </c>
    </row>
    <row r="2121" spans="1:41" x14ac:dyDescent="0.35">
      <c r="A2121" t="s">
        <v>295</v>
      </c>
      <c r="B2121" t="s">
        <v>1111</v>
      </c>
      <c r="C2121" t="s">
        <v>1765</v>
      </c>
      <c r="D2121">
        <v>50</v>
      </c>
      <c r="E2121">
        <v>50</v>
      </c>
      <c r="F2121">
        <v>0</v>
      </c>
      <c r="G2121">
        <v>1.4E-5</v>
      </c>
      <c r="H2121">
        <v>50.1484375</v>
      </c>
      <c r="J2121">
        <v>3648</v>
      </c>
      <c r="N2121" t="s">
        <v>203</v>
      </c>
      <c r="O2121">
        <f t="shared" ref="O2121:O2184" si="99">(((G2121--1)*(40))+10)</f>
        <v>50.00056</v>
      </c>
      <c r="P2121">
        <f t="shared" ref="P2121:P2184" si="100">100*(H2121-O2121)/80</f>
        <v>0.18484687499999986</v>
      </c>
      <c r="Q2121">
        <f t="shared" ref="Q2121:Q2184" si="101">ABS(P2121)</f>
        <v>0.18484687499999986</v>
      </c>
      <c r="Y2121">
        <f>TREND(H2116:H2120,G2116:G2120,G2121)</f>
        <v>50.221205842359062</v>
      </c>
      <c r="Z2121">
        <f>ABS((Y2121-H2121)/80*100)</f>
        <v>9.0960427948827416E-2</v>
      </c>
      <c r="AH2121">
        <f>H2121-AG2081</f>
        <v>50.085135000000001</v>
      </c>
      <c r="AI2121">
        <f>100*(AH2121-O2121)/80</f>
        <v>0.10571875000000119</v>
      </c>
    </row>
    <row r="2122" spans="1:41" x14ac:dyDescent="0.35">
      <c r="A2122" t="s">
        <v>295</v>
      </c>
      <c r="B2122" t="s">
        <v>1111</v>
      </c>
      <c r="C2122" t="s">
        <v>1802</v>
      </c>
      <c r="D2122">
        <v>50</v>
      </c>
      <c r="E2122">
        <v>50</v>
      </c>
      <c r="F2122">
        <v>-1</v>
      </c>
      <c r="G2122">
        <v>-0.999834</v>
      </c>
      <c r="H2122">
        <v>10.199999999999999</v>
      </c>
      <c r="J2122">
        <v>3672</v>
      </c>
      <c r="N2122" t="s">
        <v>203</v>
      </c>
      <c r="O2122">
        <f t="shared" si="99"/>
        <v>10.006640000000001</v>
      </c>
      <c r="P2122">
        <f t="shared" si="100"/>
        <v>0.24169999999999803</v>
      </c>
      <c r="Q2122">
        <f t="shared" si="101"/>
        <v>0.24169999999999803</v>
      </c>
      <c r="Y2122">
        <f>TREND(H2116:H2120,G2116:G2120,G2122)</f>
        <v>10.137878510127784</v>
      </c>
      <c r="Z2122">
        <f>ABS((Y2122-H2122)/80*100)</f>
        <v>7.7651862340268885E-2</v>
      </c>
      <c r="AH2122">
        <f>H2122-AG2081</f>
        <v>10.1366975</v>
      </c>
      <c r="AI2122">
        <f>100*(AH2122-O2122)/80</f>
        <v>0.16257187499999937</v>
      </c>
    </row>
    <row r="2123" spans="1:41" x14ac:dyDescent="0.35">
      <c r="A2123" t="s">
        <v>295</v>
      </c>
      <c r="B2123" t="s">
        <v>1111</v>
      </c>
      <c r="C2123" t="s">
        <v>1839</v>
      </c>
      <c r="D2123">
        <v>70</v>
      </c>
      <c r="E2123">
        <v>70</v>
      </c>
      <c r="F2123">
        <v>-1</v>
      </c>
      <c r="G2123">
        <v>-1.0001819999999999</v>
      </c>
      <c r="H2123">
        <v>10.228125</v>
      </c>
      <c r="J2123">
        <v>11627</v>
      </c>
      <c r="N2123" t="s">
        <v>203</v>
      </c>
      <c r="O2123">
        <f t="shared" si="99"/>
        <v>9.9927200000000038</v>
      </c>
      <c r="P2123">
        <f t="shared" si="100"/>
        <v>0.29425624999999567</v>
      </c>
      <c r="Q2123">
        <f t="shared" si="101"/>
        <v>0.29425624999999567</v>
      </c>
      <c r="S2123">
        <v>50.168750000000003</v>
      </c>
      <c r="T2123">
        <v>0.23233750000000164</v>
      </c>
      <c r="U2123">
        <v>90.348437500000003</v>
      </c>
      <c r="V2123">
        <v>0.43804687499999773</v>
      </c>
      <c r="W2123">
        <v>80.120309448242182</v>
      </c>
      <c r="X2123">
        <f>(W2123-80)/80*100</f>
        <v>0.15038681030272727</v>
      </c>
      <c r="Y2123">
        <f>TREND(H2123:H2127,G2123:G2127,G2123)</f>
        <v>10.15256647175579</v>
      </c>
      <c r="Z2123">
        <f>ABS((Y2123-H2123)/80*100)</f>
        <v>9.4448160305262707E-2</v>
      </c>
      <c r="AA2123">
        <f>MAX(Z2123:Z2127)</f>
        <v>9.4559228915023219E-2</v>
      </c>
      <c r="AB2123">
        <f>IF(ABS(MAX(P2123:P2129)) &gt; ABS(MIN(P2123:P2129)),MAX(P2123:P2129), MIN(P2123:P2129))</f>
        <v>0.43804687499999773</v>
      </c>
      <c r="AC2123">
        <f>IF(ABS(AB2124)&gt;ABS(AB2123),AB2124,AB2123)</f>
        <v>0.43804687499999773</v>
      </c>
      <c r="AH2123">
        <f>H2123-AG2081</f>
        <v>10.164822500000001</v>
      </c>
      <c r="AI2123">
        <f>100*(AH2123-O2123)/80</f>
        <v>0.21512812499999701</v>
      </c>
      <c r="AJ2123">
        <v>50.105447500000004</v>
      </c>
      <c r="AK2123">
        <v>0.15320937500000298</v>
      </c>
      <c r="AL2123">
        <v>90.285134999999997</v>
      </c>
      <c r="AM2123">
        <v>0.35891874999999018</v>
      </c>
      <c r="AN2123">
        <f>IF(ABS(MAX(AI2123:AI2129)) &gt; ABS(MIN(AI2123:AI2129)),MAX(AI2123:AI2129), MIN(AI2123:AI2129))</f>
        <v>0.35891874999999018</v>
      </c>
      <c r="AO2123">
        <f>IF(ABS(AN2124)&gt;ABS(AN2123),AN2124,AN2123)</f>
        <v>0.35891874999999018</v>
      </c>
    </row>
    <row r="2124" spans="1:41" x14ac:dyDescent="0.35">
      <c r="A2124" t="s">
        <v>295</v>
      </c>
      <c r="B2124" t="s">
        <v>1111</v>
      </c>
      <c r="C2124" t="s">
        <v>1876</v>
      </c>
      <c r="D2124">
        <v>70</v>
      </c>
      <c r="E2124">
        <v>70</v>
      </c>
      <c r="F2124">
        <v>-0.5</v>
      </c>
      <c r="G2124">
        <v>-0.50013399999999997</v>
      </c>
      <c r="H2124">
        <v>30.123437500000001</v>
      </c>
      <c r="J2124">
        <v>11653</v>
      </c>
      <c r="N2124" t="s">
        <v>203</v>
      </c>
      <c r="O2124">
        <f t="shared" si="99"/>
        <v>29.99464</v>
      </c>
      <c r="P2124">
        <f t="shared" si="100"/>
        <v>0.16099687500000126</v>
      </c>
      <c r="Q2124">
        <f t="shared" si="101"/>
        <v>0.16099687500000126</v>
      </c>
      <c r="Y2124">
        <f>TREND(H2123:H2127,G2123:G2127,G2124)</f>
        <v>30.19908488313202</v>
      </c>
      <c r="Z2124">
        <f>ABS((Y2124-H2124)/80*100)</f>
        <v>9.4559228915023219E-2</v>
      </c>
      <c r="AB2124">
        <f>IF(ABS(T2123) &gt; ABS(V2123),T2123,V2123)</f>
        <v>0.43804687499999773</v>
      </c>
      <c r="AH2124">
        <f>H2124-AG2081</f>
        <v>30.060135000000002</v>
      </c>
      <c r="AI2124">
        <f>100*(AH2124-O2124)/80</f>
        <v>8.1868750000002599E-2</v>
      </c>
      <c r="AN2124">
        <f>IF(ABS(AK2123) &gt; ABS(AM2123),AK2123,AM2123)</f>
        <v>0.35891874999999018</v>
      </c>
    </row>
    <row r="2125" spans="1:41" x14ac:dyDescent="0.35">
      <c r="A2125" t="s">
        <v>295</v>
      </c>
      <c r="B2125" t="s">
        <v>1111</v>
      </c>
      <c r="C2125" t="s">
        <v>1913</v>
      </c>
      <c r="D2125">
        <v>70</v>
      </c>
      <c r="E2125">
        <v>70</v>
      </c>
      <c r="F2125">
        <v>0</v>
      </c>
      <c r="G2125">
        <v>-4.28E-4</v>
      </c>
      <c r="H2125">
        <v>50.168750000000003</v>
      </c>
      <c r="J2125">
        <v>11666</v>
      </c>
      <c r="N2125" t="s">
        <v>203</v>
      </c>
      <c r="O2125">
        <f t="shared" si="99"/>
        <v>49.982880000000002</v>
      </c>
      <c r="P2125">
        <f t="shared" si="100"/>
        <v>0.23233750000000164</v>
      </c>
      <c r="Q2125">
        <f t="shared" si="101"/>
        <v>0.23233750000000164</v>
      </c>
      <c r="Y2125">
        <f>TREND(H2123:H2127,G2123:G2127,G2125)</f>
        <v>50.231892792123098</v>
      </c>
      <c r="Z2125">
        <f>ABS((Y2125-H2125)/80*100)</f>
        <v>7.8928490153868935E-2</v>
      </c>
      <c r="AH2125">
        <f>H2125-AG2081</f>
        <v>50.105447500000004</v>
      </c>
      <c r="AI2125">
        <f>100*(AH2125-O2125)/80</f>
        <v>0.15320937500000298</v>
      </c>
    </row>
    <row r="2126" spans="1:41" x14ac:dyDescent="0.35">
      <c r="A2126" t="s">
        <v>295</v>
      </c>
      <c r="B2126" t="s">
        <v>1111</v>
      </c>
      <c r="C2126" t="s">
        <v>1949</v>
      </c>
      <c r="D2126">
        <v>70</v>
      </c>
      <c r="E2126">
        <v>70</v>
      </c>
      <c r="F2126">
        <v>0.5</v>
      </c>
      <c r="G2126">
        <v>0.49989899999999998</v>
      </c>
      <c r="H2126">
        <v>70.340625000000003</v>
      </c>
      <c r="J2126">
        <v>11689</v>
      </c>
      <c r="N2126" t="s">
        <v>203</v>
      </c>
      <c r="O2126">
        <f t="shared" si="99"/>
        <v>69.995959999999997</v>
      </c>
      <c r="P2126">
        <f t="shared" si="100"/>
        <v>0.43083125000000777</v>
      </c>
      <c r="Q2126">
        <f t="shared" si="101"/>
        <v>0.43083125000000777</v>
      </c>
      <c r="Y2126">
        <f>TREND(H2123:H2127,G2123:G2127,G2126)</f>
        <v>70.289596087024051</v>
      </c>
      <c r="Z2126">
        <f>ABS((Y2126-H2126)/80*100)</f>
        <v>6.3786141219939196E-2</v>
      </c>
      <c r="AH2126">
        <f>H2126-AG2081</f>
        <v>70.277322499999997</v>
      </c>
      <c r="AI2126">
        <f>100*(AH2126-O2126)/80</f>
        <v>0.35170312500000023</v>
      </c>
    </row>
    <row r="2127" spans="1:41" x14ac:dyDescent="0.35">
      <c r="A2127" t="s">
        <v>295</v>
      </c>
      <c r="B2127" t="s">
        <v>1111</v>
      </c>
      <c r="C2127" t="s">
        <v>1986</v>
      </c>
      <c r="D2127">
        <v>70</v>
      </c>
      <c r="E2127">
        <v>70</v>
      </c>
      <c r="F2127">
        <v>1</v>
      </c>
      <c r="G2127">
        <v>0.99995000000000001</v>
      </c>
      <c r="H2127">
        <v>90.348437500000003</v>
      </c>
      <c r="J2127">
        <v>11701</v>
      </c>
      <c r="N2127" t="s">
        <v>203</v>
      </c>
      <c r="O2127">
        <f t="shared" si="99"/>
        <v>89.998000000000005</v>
      </c>
      <c r="P2127">
        <f t="shared" si="100"/>
        <v>0.43804687499999773</v>
      </c>
      <c r="Q2127">
        <f t="shared" si="101"/>
        <v>0.43804687499999773</v>
      </c>
      <c r="Y2127">
        <f>TREND(H2123:H2127,G2123:G2127,G2127)</f>
        <v>90.33623476596506</v>
      </c>
      <c r="Z2127">
        <f>ABS((Y2127-H2127)/80*100)</f>
        <v>1.5253417543679149E-2</v>
      </c>
      <c r="AH2127">
        <f>H2127-AG2081</f>
        <v>90.285134999999997</v>
      </c>
      <c r="AI2127">
        <f>100*(AH2127-O2127)/80</f>
        <v>0.35891874999999018</v>
      </c>
    </row>
    <row r="2128" spans="1:41" x14ac:dyDescent="0.35">
      <c r="A2128" t="s">
        <v>295</v>
      </c>
      <c r="B2128" t="s">
        <v>1111</v>
      </c>
      <c r="C2128" t="s">
        <v>2022</v>
      </c>
      <c r="D2128">
        <v>70</v>
      </c>
      <c r="E2128">
        <v>70</v>
      </c>
      <c r="F2128">
        <v>0</v>
      </c>
      <c r="G2128">
        <v>-1.5200000000000001E-4</v>
      </c>
      <c r="H2128">
        <v>50.176562500000003</v>
      </c>
      <c r="J2128">
        <v>11718</v>
      </c>
      <c r="N2128" t="s">
        <v>203</v>
      </c>
      <c r="O2128">
        <f t="shared" si="99"/>
        <v>49.993919999999996</v>
      </c>
      <c r="P2128">
        <f t="shared" si="100"/>
        <v>0.22830312500000893</v>
      </c>
      <c r="Q2128">
        <f t="shared" si="101"/>
        <v>0.22830312500000893</v>
      </c>
      <c r="Y2128">
        <f>TREND(H2123:H2127,G2123:G2127,G2128)</f>
        <v>50.242957408083043</v>
      </c>
      <c r="Z2128">
        <f>ABS((Y2128-H2128)/80*100)</f>
        <v>8.2993635103800756E-2</v>
      </c>
      <c r="AH2128">
        <f>H2128-AG2081</f>
        <v>50.113260000000004</v>
      </c>
      <c r="AI2128">
        <f>100*(AH2128-O2128)/80</f>
        <v>0.14917500000001027</v>
      </c>
    </row>
    <row r="2129" spans="1:41" x14ac:dyDescent="0.35">
      <c r="A2129" t="s">
        <v>295</v>
      </c>
      <c r="B2129" t="s">
        <v>1111</v>
      </c>
      <c r="C2129" t="s">
        <v>2059</v>
      </c>
      <c r="D2129">
        <v>70</v>
      </c>
      <c r="E2129">
        <v>70</v>
      </c>
      <c r="F2129">
        <v>-1</v>
      </c>
      <c r="G2129">
        <v>-1.000186</v>
      </c>
      <c r="H2129">
        <v>10.221875000000001</v>
      </c>
      <c r="J2129">
        <v>11731</v>
      </c>
      <c r="N2129" t="s">
        <v>203</v>
      </c>
      <c r="O2129">
        <f t="shared" si="99"/>
        <v>9.9925599999999992</v>
      </c>
      <c r="P2129">
        <f t="shared" si="100"/>
        <v>0.28664375000000186</v>
      </c>
      <c r="Q2129">
        <f t="shared" si="101"/>
        <v>0.28664375000000186</v>
      </c>
      <c r="Y2129">
        <f>TREND(H2123:H2127,G2123:G2127,G2129)</f>
        <v>10.152406115002748</v>
      </c>
      <c r="Z2129">
        <f>ABS((Y2129-H2129)/80*100)</f>
        <v>8.6836106246566125E-2</v>
      </c>
      <c r="AH2129">
        <f>H2129-AG2081</f>
        <v>10.158572500000002</v>
      </c>
      <c r="AI2129">
        <f>100*(AH2129-O2129)/80</f>
        <v>0.2075156250000032</v>
      </c>
    </row>
    <row r="2130" spans="1:41" x14ac:dyDescent="0.35">
      <c r="A2130" t="s">
        <v>295</v>
      </c>
      <c r="B2130" t="s">
        <v>1111</v>
      </c>
      <c r="C2130" t="s">
        <v>2095</v>
      </c>
      <c r="D2130">
        <v>85</v>
      </c>
      <c r="E2130">
        <v>85</v>
      </c>
      <c r="F2130">
        <v>-1</v>
      </c>
      <c r="G2130">
        <v>-1.0000819999999999</v>
      </c>
      <c r="H2130">
        <v>10.268750000000001</v>
      </c>
      <c r="J2130">
        <v>17703</v>
      </c>
      <c r="N2130" t="s">
        <v>203</v>
      </c>
      <c r="O2130">
        <f t="shared" si="99"/>
        <v>9.9967200000000034</v>
      </c>
      <c r="P2130">
        <f t="shared" si="100"/>
        <v>0.34003749999999666</v>
      </c>
      <c r="Q2130">
        <f t="shared" si="101"/>
        <v>0.34003749999999666</v>
      </c>
      <c r="S2130">
        <v>50.235937499999999</v>
      </c>
      <c r="T2130">
        <v>0.2975718749999956</v>
      </c>
      <c r="U2130">
        <v>90.379687500000003</v>
      </c>
      <c r="V2130">
        <v>0.46875937500001186</v>
      </c>
      <c r="W2130">
        <v>80.11093444824219</v>
      </c>
      <c r="X2130">
        <f>(W2130-80)/80*100</f>
        <v>0.13866806030273793</v>
      </c>
      <c r="Y2130">
        <f>TREND(H2130:H2134,G2130:G2134,G2130)</f>
        <v>10.207641043061699</v>
      </c>
      <c r="Z2130">
        <f>ABS((Y2130-H2130)/80*100)</f>
        <v>7.6386196172877341E-2</v>
      </c>
      <c r="AA2130">
        <f>MAX(Z2130:Z2134)</f>
        <v>7.6386196172877341E-2</v>
      </c>
      <c r="AB2130">
        <f>IF(ABS(MAX(P2130:P2136)) &gt; ABS(MIN(P2130:P2136)),MAX(P2130:P2136), MIN(P2130:P2136))</f>
        <v>0.46875937500001186</v>
      </c>
      <c r="AC2130">
        <f>IF(ABS(AB2131)&gt;ABS(AB2130),AB2131,AB2130)</f>
        <v>0.46875937500001186</v>
      </c>
      <c r="AH2130">
        <f>H2130-AG2081</f>
        <v>10.205447500000002</v>
      </c>
      <c r="AI2130">
        <f>100*(AH2130-O2130)/80</f>
        <v>0.260909374999998</v>
      </c>
      <c r="AJ2130">
        <v>50.172635</v>
      </c>
      <c r="AK2130">
        <v>0.21844374999999694</v>
      </c>
      <c r="AL2130">
        <v>90.316384999999997</v>
      </c>
      <c r="AM2130">
        <v>0.38963125000000431</v>
      </c>
      <c r="AN2130">
        <f>IF(ABS(MAX(AI2130:AI2136)) &gt; ABS(MIN(AI2130:AI2136)),MAX(AI2130:AI2136), MIN(AI2130:AI2136))</f>
        <v>0.38963125000000431</v>
      </c>
      <c r="AO2130">
        <f>IF(ABS(AN2131)&gt;ABS(AN2130),AN2131,AN2130)</f>
        <v>0.38963125000000431</v>
      </c>
    </row>
    <row r="2131" spans="1:41" x14ac:dyDescent="0.35">
      <c r="A2131" t="s">
        <v>295</v>
      </c>
      <c r="B2131" t="s">
        <v>1111</v>
      </c>
      <c r="C2131" t="s">
        <v>2131</v>
      </c>
      <c r="D2131">
        <v>85</v>
      </c>
      <c r="E2131">
        <v>85</v>
      </c>
      <c r="F2131">
        <v>-0.5</v>
      </c>
      <c r="G2131">
        <v>-0.50024000000000002</v>
      </c>
      <c r="H2131">
        <v>30.178125000000001</v>
      </c>
      <c r="J2131">
        <v>17720</v>
      </c>
      <c r="N2131" t="s">
        <v>203</v>
      </c>
      <c r="O2131">
        <f t="shared" si="99"/>
        <v>29.990400000000001</v>
      </c>
      <c r="P2131">
        <f t="shared" si="100"/>
        <v>0.23465625000000045</v>
      </c>
      <c r="Q2131">
        <f t="shared" si="101"/>
        <v>0.23465625000000045</v>
      </c>
      <c r="Y2131">
        <f>TREND(H2130:H2134,G2130:G2134,G2131)</f>
        <v>30.238546397124257</v>
      </c>
      <c r="Z2131">
        <f>ABS((Y2131-H2131)/80*100)</f>
        <v>7.5526746405318868E-2</v>
      </c>
      <c r="AB2131">
        <f>IF(ABS(T2130) &gt; ABS(V2130),T2130,V2130)</f>
        <v>0.46875937500001186</v>
      </c>
      <c r="AH2131">
        <f>H2131-AG2081</f>
        <v>30.114822500000002</v>
      </c>
      <c r="AI2131">
        <f>100*(AH2131-O2131)/80</f>
        <v>0.15552812500000179</v>
      </c>
      <c r="AN2131">
        <f>IF(ABS(AK2130) &gt; ABS(AM2130),AK2130,AM2130)</f>
        <v>0.38963125000000431</v>
      </c>
    </row>
    <row r="2132" spans="1:41" x14ac:dyDescent="0.35">
      <c r="A2132" t="s">
        <v>295</v>
      </c>
      <c r="B2132" t="s">
        <v>1111</v>
      </c>
      <c r="C2132" t="s">
        <v>2167</v>
      </c>
      <c r="D2132">
        <v>85</v>
      </c>
      <c r="E2132">
        <v>85</v>
      </c>
      <c r="F2132">
        <v>0</v>
      </c>
      <c r="G2132">
        <v>-5.3000000000000001E-5</v>
      </c>
      <c r="H2132">
        <v>50.235937499999999</v>
      </c>
      <c r="J2132">
        <v>17737</v>
      </c>
      <c r="N2132" t="s">
        <v>203</v>
      </c>
      <c r="O2132">
        <f t="shared" si="99"/>
        <v>49.997880000000002</v>
      </c>
      <c r="P2132">
        <f t="shared" si="100"/>
        <v>0.2975718749999956</v>
      </c>
      <c r="Q2132">
        <f t="shared" si="101"/>
        <v>0.2975718749999956</v>
      </c>
      <c r="Y2132">
        <f>TREND(H2130:H2134,G2130:G2134,G2132)</f>
        <v>50.283277444800298</v>
      </c>
      <c r="Z2132">
        <f>ABS((Y2132-H2132)/80*100)</f>
        <v>5.9174931000374187E-2</v>
      </c>
      <c r="AH2132">
        <f>H2132-AG2081</f>
        <v>50.172635</v>
      </c>
      <c r="AI2132">
        <f>100*(AH2132-O2132)/80</f>
        <v>0.21844374999999694</v>
      </c>
    </row>
    <row r="2133" spans="1:41" x14ac:dyDescent="0.35">
      <c r="A2133" t="s">
        <v>295</v>
      </c>
      <c r="B2133" t="s">
        <v>1111</v>
      </c>
      <c r="C2133" t="s">
        <v>2204</v>
      </c>
      <c r="D2133">
        <v>85</v>
      </c>
      <c r="E2133">
        <v>85</v>
      </c>
      <c r="F2133">
        <v>0.5</v>
      </c>
      <c r="G2133">
        <v>0.49989600000000001</v>
      </c>
      <c r="H2133">
        <v>70.349999999999994</v>
      </c>
      <c r="J2133">
        <v>17750</v>
      </c>
      <c r="N2133" t="s">
        <v>203</v>
      </c>
      <c r="O2133">
        <f t="shared" si="99"/>
        <v>69.995840000000001</v>
      </c>
      <c r="P2133">
        <f t="shared" si="100"/>
        <v>0.44269999999999143</v>
      </c>
      <c r="Q2133">
        <f t="shared" si="101"/>
        <v>0.44269999999999143</v>
      </c>
      <c r="Y2133">
        <f>TREND(H2130:H2134,G2130:G2134,G2133)</f>
        <v>70.318470767606755</v>
      </c>
      <c r="Z2133">
        <f>ABS((Y2133-H2133)/80*100)</f>
        <v>3.9411540491549601E-2</v>
      </c>
      <c r="AH2133">
        <f>H2133-AG2081</f>
        <v>70.286697500000002</v>
      </c>
      <c r="AI2133">
        <f>100*(AH2133-O2133)/80</f>
        <v>0.36357187500000165</v>
      </c>
    </row>
    <row r="2134" spans="1:41" x14ac:dyDescent="0.35">
      <c r="A2134" t="s">
        <v>295</v>
      </c>
      <c r="B2134" t="s">
        <v>1111</v>
      </c>
      <c r="C2134" t="s">
        <v>2241</v>
      </c>
      <c r="D2134">
        <v>85</v>
      </c>
      <c r="E2134">
        <v>85</v>
      </c>
      <c r="F2134">
        <v>1</v>
      </c>
      <c r="G2134">
        <v>1.0001169999999999</v>
      </c>
      <c r="H2134">
        <v>90.379687500000003</v>
      </c>
      <c r="J2134">
        <v>17762</v>
      </c>
      <c r="N2134" t="s">
        <v>203</v>
      </c>
      <c r="O2134">
        <f t="shared" si="99"/>
        <v>90.004679999999993</v>
      </c>
      <c r="P2134">
        <f t="shared" si="100"/>
        <v>0.46875937500001186</v>
      </c>
      <c r="Q2134">
        <f t="shared" si="101"/>
        <v>0.46875937500001186</v>
      </c>
      <c r="Y2134">
        <f>TREND(H2130:H2134,G2130:G2134,G2134)</f>
        <v>90.364564347407025</v>
      </c>
      <c r="Z2134">
        <f>ABS((Y2134-H2134)/80*100)</f>
        <v>1.8903940741221703E-2</v>
      </c>
      <c r="AH2134">
        <f>H2134-AG2081</f>
        <v>90.316384999999997</v>
      </c>
      <c r="AI2134">
        <f>100*(AH2134-O2134)/80</f>
        <v>0.38963125000000431</v>
      </c>
    </row>
    <row r="2135" spans="1:41" x14ac:dyDescent="0.35">
      <c r="A2135" t="s">
        <v>295</v>
      </c>
      <c r="B2135" t="s">
        <v>1111</v>
      </c>
      <c r="C2135" t="s">
        <v>2277</v>
      </c>
      <c r="D2135">
        <v>85</v>
      </c>
      <c r="E2135">
        <v>85</v>
      </c>
      <c r="F2135">
        <v>0</v>
      </c>
      <c r="G2135">
        <v>-9.0000000000000002E-6</v>
      </c>
      <c r="H2135">
        <v>50.1484375</v>
      </c>
      <c r="J2135">
        <v>17779</v>
      </c>
      <c r="N2135" t="s">
        <v>203</v>
      </c>
      <c r="O2135">
        <f t="shared" si="99"/>
        <v>49.999639999999999</v>
      </c>
      <c r="P2135">
        <f t="shared" si="100"/>
        <v>0.18599687500000073</v>
      </c>
      <c r="Q2135">
        <f t="shared" si="101"/>
        <v>0.18599687500000073</v>
      </c>
      <c r="Y2135">
        <f>TREND(H2130:H2134,G2130:G2134,G2135)</f>
        <v>50.285040721666945</v>
      </c>
      <c r="Z2135">
        <f>ABS((Y2135-H2135)/80*100)</f>
        <v>0.17075402708368159</v>
      </c>
      <c r="AH2135">
        <f>H2135-AG2081</f>
        <v>50.085135000000001</v>
      </c>
      <c r="AI2135">
        <f>100*(AH2135-O2135)/80</f>
        <v>0.10686875000000207</v>
      </c>
    </row>
    <row r="2136" spans="1:41" x14ac:dyDescent="0.35">
      <c r="A2136" t="s">
        <v>295</v>
      </c>
      <c r="B2136" t="s">
        <v>1111</v>
      </c>
      <c r="C2136" t="s">
        <v>2314</v>
      </c>
      <c r="D2136">
        <v>85</v>
      </c>
      <c r="E2136">
        <v>85</v>
      </c>
      <c r="F2136">
        <v>-1</v>
      </c>
      <c r="G2136">
        <v>-1.0002009999999999</v>
      </c>
      <c r="H2136">
        <v>10.2796875</v>
      </c>
      <c r="J2136">
        <v>17794</v>
      </c>
      <c r="N2136" t="s">
        <v>203</v>
      </c>
      <c r="O2136">
        <f t="shared" si="99"/>
        <v>9.9919600000000042</v>
      </c>
      <c r="P2136">
        <f t="shared" si="100"/>
        <v>0.35965937499999434</v>
      </c>
      <c r="Q2136">
        <f t="shared" si="101"/>
        <v>0.35965937499999434</v>
      </c>
      <c r="Y2136">
        <f>TREND(H2130:H2134,G2130:G2134,G2136)</f>
        <v>10.202872180626905</v>
      </c>
      <c r="Z2136">
        <f>ABS((Y2136-H2136)/80*100)</f>
        <v>9.6019149216368671E-2</v>
      </c>
      <c r="AH2136">
        <f>H2136-AG2081</f>
        <v>10.216385000000001</v>
      </c>
      <c r="AI2136">
        <f>100*(AH2136-O2136)/80</f>
        <v>0.28053124999999568</v>
      </c>
    </row>
    <row r="2137" spans="1:41" x14ac:dyDescent="0.35">
      <c r="A2137" t="s">
        <v>295</v>
      </c>
      <c r="B2137" t="s">
        <v>1111</v>
      </c>
      <c r="C2137" t="s">
        <v>2351</v>
      </c>
      <c r="D2137">
        <v>25</v>
      </c>
      <c r="E2137">
        <v>25</v>
      </c>
      <c r="F2137">
        <v>-1</v>
      </c>
      <c r="G2137">
        <v>-1.000246</v>
      </c>
      <c r="H2137">
        <v>10.1109375</v>
      </c>
      <c r="J2137">
        <v>-5831</v>
      </c>
      <c r="N2137" t="s">
        <v>203</v>
      </c>
      <c r="O2137">
        <f t="shared" si="99"/>
        <v>9.9901600000000013</v>
      </c>
      <c r="P2137">
        <f t="shared" si="100"/>
        <v>0.15097187499999887</v>
      </c>
      <c r="Q2137">
        <f t="shared" si="101"/>
        <v>0.15097187499999887</v>
      </c>
      <c r="S2137">
        <v>50.0703125</v>
      </c>
      <c r="T2137">
        <v>8.4640624999998693E-2</v>
      </c>
      <c r="U2137">
        <v>90.354687499999997</v>
      </c>
      <c r="V2137">
        <v>0.4442593749999979</v>
      </c>
      <c r="W2137">
        <v>80.243753051757807</v>
      </c>
      <c r="X2137">
        <f>(W2137-80)/80*100</f>
        <v>0.30469131469725852</v>
      </c>
      <c r="Y2137">
        <f>TREND(H2137:H2141,G2137:G2141,G2137)</f>
        <v>9.9671499108539336</v>
      </c>
      <c r="Z2137">
        <f>ABS((Y2137-H2137)/80*100)</f>
        <v>0.17973448643258338</v>
      </c>
      <c r="AA2137">
        <f>MAX(Z2137:Z2141)</f>
        <v>0.1961009549206594</v>
      </c>
      <c r="AB2137">
        <f>IF(ABS(MAX(P2137:P2143)) &gt; ABS(MIN(P2137:P2143)),MAX(P2137:P2143), MIN(P2137:P2143))</f>
        <v>0.4442593749999979</v>
      </c>
      <c r="AC2137">
        <f>IF(ABS(AB2138)&gt;ABS(AB2137),AB2138,AB2137)</f>
        <v>0.4442593749999979</v>
      </c>
      <c r="AH2137">
        <f>H2137-AG2081</f>
        <v>10.047635000000001</v>
      </c>
      <c r="AI2137">
        <f>100*(AH2137-O2137)/80</f>
        <v>7.1843750000000206E-2</v>
      </c>
      <c r="AJ2137">
        <v>50.007010000000001</v>
      </c>
      <c r="AK2137">
        <v>5.5125000000000313E-3</v>
      </c>
      <c r="AL2137">
        <v>90.291384999999991</v>
      </c>
      <c r="AM2137">
        <v>0.36513124999999036</v>
      </c>
      <c r="AN2137">
        <f>IF(ABS(MAX(AI2137:AI2143)) &gt; ABS(MIN(AI2137:AI2143)),MAX(AI2137:AI2143), MIN(AI2137:AI2143))</f>
        <v>0.36513124999999036</v>
      </c>
      <c r="AO2137">
        <f>IF(ABS(AN2138)&gt;ABS(AN2137),AN2138,AN2137)</f>
        <v>0.36513124999999036</v>
      </c>
    </row>
    <row r="2138" spans="1:41" x14ac:dyDescent="0.35">
      <c r="A2138" t="s">
        <v>295</v>
      </c>
      <c r="B2138" t="s">
        <v>1111</v>
      </c>
      <c r="C2138" t="s">
        <v>2388</v>
      </c>
      <c r="D2138">
        <v>25</v>
      </c>
      <c r="E2138">
        <v>25</v>
      </c>
      <c r="F2138">
        <v>-0.5</v>
      </c>
      <c r="G2138">
        <v>-0.499973</v>
      </c>
      <c r="H2138">
        <v>29.90625</v>
      </c>
      <c r="J2138">
        <v>-5854</v>
      </c>
      <c r="N2138" t="s">
        <v>203</v>
      </c>
      <c r="O2138">
        <f t="shared" si="99"/>
        <v>30.001080000000002</v>
      </c>
      <c r="P2138">
        <f t="shared" si="100"/>
        <v>-0.11853750000000218</v>
      </c>
      <c r="Q2138">
        <f t="shared" si="101"/>
        <v>0.11853750000000218</v>
      </c>
      <c r="Y2138">
        <f>TREND(H2137:H2141,G2137:G2141,G2138)</f>
        <v>30.063130763936528</v>
      </c>
      <c r="Z2138">
        <f>ABS((Y2138-H2138)/80*100)</f>
        <v>0.1961009549206594</v>
      </c>
      <c r="AB2138">
        <f>IF(ABS(T2137) &gt; ABS(V2137),T2137,V2137)</f>
        <v>0.4442593749999979</v>
      </c>
      <c r="AH2138">
        <f>H2138-AG2081</f>
        <v>29.842947500000001</v>
      </c>
      <c r="AI2138">
        <f>100*(AH2138-O2138)/80</f>
        <v>-0.19766562500000084</v>
      </c>
      <c r="AN2138">
        <f>IF(ABS(AK2137) &gt; ABS(AM2137),AK2137,AM2137)</f>
        <v>0.36513124999999036</v>
      </c>
    </row>
    <row r="2139" spans="1:41" x14ac:dyDescent="0.35">
      <c r="A2139" t="s">
        <v>295</v>
      </c>
      <c r="B2139" t="s">
        <v>1111</v>
      </c>
      <c r="C2139" t="s">
        <v>2424</v>
      </c>
      <c r="D2139">
        <v>25</v>
      </c>
      <c r="E2139">
        <v>25</v>
      </c>
      <c r="F2139">
        <v>0</v>
      </c>
      <c r="G2139">
        <v>6.4999999999999994E-5</v>
      </c>
      <c r="H2139">
        <v>50.0703125</v>
      </c>
      <c r="J2139">
        <v>-5886</v>
      </c>
      <c r="N2139" t="s">
        <v>203</v>
      </c>
      <c r="O2139">
        <f t="shared" si="99"/>
        <v>50.002600000000001</v>
      </c>
      <c r="P2139">
        <f t="shared" si="100"/>
        <v>8.4640624999998693E-2</v>
      </c>
      <c r="Q2139">
        <f t="shared" si="101"/>
        <v>8.4640624999998693E-2</v>
      </c>
      <c r="Y2139">
        <f>TREND(H2137:H2141,G2137:G2141,G2139)</f>
        <v>50.149671660234574</v>
      </c>
      <c r="Z2139">
        <f>ABS((Y2139-H2139)/80*100)</f>
        <v>9.9198950293217791E-2</v>
      </c>
      <c r="AH2139">
        <f>H2139-AG2081</f>
        <v>50.007010000000001</v>
      </c>
      <c r="AI2139">
        <f>100*(AH2139-O2139)/80</f>
        <v>5.5125000000000313E-3</v>
      </c>
    </row>
    <row r="2140" spans="1:41" x14ac:dyDescent="0.35">
      <c r="A2140" t="s">
        <v>295</v>
      </c>
      <c r="B2140" t="s">
        <v>1111</v>
      </c>
      <c r="C2140" t="s">
        <v>2461</v>
      </c>
      <c r="D2140">
        <v>25</v>
      </c>
      <c r="E2140">
        <v>25</v>
      </c>
      <c r="F2140">
        <v>0.5</v>
      </c>
      <c r="G2140">
        <v>0.50011000000000005</v>
      </c>
      <c r="H2140">
        <v>70.290625000000006</v>
      </c>
      <c r="J2140">
        <v>-5903</v>
      </c>
      <c r="N2140" t="s">
        <v>203</v>
      </c>
      <c r="O2140">
        <f t="shared" si="99"/>
        <v>70.004400000000004</v>
      </c>
      <c r="P2140">
        <f t="shared" si="100"/>
        <v>0.35778125000000216</v>
      </c>
      <c r="Q2140">
        <f t="shared" si="101"/>
        <v>0.35778125000000216</v>
      </c>
      <c r="Y2140">
        <f>TREND(H2137:H2141,G2137:G2141,G2140)</f>
        <v>70.236493746734709</v>
      </c>
      <c r="Z2140">
        <f>ABS((Y2140-H2140)/80*100)</f>
        <v>6.766406658162083E-2</v>
      </c>
      <c r="AH2140">
        <f>H2140-AG2081</f>
        <v>70.227322500000014</v>
      </c>
      <c r="AI2140">
        <f>100*(AH2140-O2140)/80</f>
        <v>0.27865312500001238</v>
      </c>
    </row>
    <row r="2141" spans="1:41" x14ac:dyDescent="0.35">
      <c r="A2141" t="s">
        <v>295</v>
      </c>
      <c r="B2141" t="s">
        <v>1111</v>
      </c>
      <c r="C2141" t="s">
        <v>2498</v>
      </c>
      <c r="D2141">
        <v>25</v>
      </c>
      <c r="E2141">
        <v>24.9</v>
      </c>
      <c r="F2141">
        <v>1</v>
      </c>
      <c r="G2141">
        <v>0.99998200000000004</v>
      </c>
      <c r="H2141">
        <v>90.354687499999997</v>
      </c>
      <c r="J2141">
        <v>-5924</v>
      </c>
      <c r="N2141" t="s">
        <v>203</v>
      </c>
      <c r="O2141">
        <f t="shared" si="99"/>
        <v>89.999279999999999</v>
      </c>
      <c r="P2141">
        <f t="shared" si="100"/>
        <v>0.4442593749999979</v>
      </c>
      <c r="Q2141">
        <f t="shared" si="101"/>
        <v>0.4442593749999979</v>
      </c>
      <c r="Y2141">
        <f>TREND(H2137:H2141,G2137:G2141,G2141)</f>
        <v>90.316366418240278</v>
      </c>
      <c r="Z2141">
        <f>ABS((Y2141-H2141)/80*100)</f>
        <v>4.7901352199648528E-2</v>
      </c>
      <c r="AH2141">
        <f>H2141-AG2081</f>
        <v>90.291384999999991</v>
      </c>
      <c r="AI2141">
        <f>100*(AH2141-O2141)/80</f>
        <v>0.36513124999999036</v>
      </c>
    </row>
    <row r="2142" spans="1:41" x14ac:dyDescent="0.35">
      <c r="A2142" t="s">
        <v>295</v>
      </c>
      <c r="B2142" t="s">
        <v>1111</v>
      </c>
      <c r="C2142" t="s">
        <v>2535</v>
      </c>
      <c r="D2142">
        <v>25</v>
      </c>
      <c r="E2142">
        <v>25</v>
      </c>
      <c r="F2142">
        <v>0</v>
      </c>
      <c r="G2142">
        <v>1.1E-5</v>
      </c>
      <c r="H2142">
        <v>50.131250000000001</v>
      </c>
      <c r="J2142">
        <v>-5939</v>
      </c>
      <c r="N2142" t="s">
        <v>203</v>
      </c>
      <c r="O2142">
        <f t="shared" si="99"/>
        <v>50.000439999999998</v>
      </c>
      <c r="P2142">
        <f t="shared" si="100"/>
        <v>0.16351250000000483</v>
      </c>
      <c r="Q2142">
        <f t="shared" si="101"/>
        <v>0.16351250000000483</v>
      </c>
      <c r="Y2142">
        <f>TREND(H2137:H2141,G2137:G2141,G2142)</f>
        <v>50.14750247867557</v>
      </c>
      <c r="Z2142">
        <f>ABS((Y2142-H2142)/80*100)</f>
        <v>2.0315598344460284E-2</v>
      </c>
      <c r="AH2142">
        <f>H2142-AG2081</f>
        <v>50.067947500000002</v>
      </c>
      <c r="AI2142">
        <f>100*(AH2142-O2142)/80</f>
        <v>8.4384375000006173E-2</v>
      </c>
    </row>
    <row r="2143" spans="1:41" x14ac:dyDescent="0.35">
      <c r="A2143" t="s">
        <v>295</v>
      </c>
      <c r="B2143" t="s">
        <v>1111</v>
      </c>
      <c r="C2143" t="s">
        <v>2570</v>
      </c>
      <c r="D2143">
        <v>25</v>
      </c>
      <c r="E2143">
        <v>25</v>
      </c>
      <c r="F2143">
        <v>-1</v>
      </c>
      <c r="G2143">
        <v>-1.000097</v>
      </c>
      <c r="H2143">
        <v>10.098437499999999</v>
      </c>
      <c r="J2143">
        <v>-5960</v>
      </c>
      <c r="N2143" t="s">
        <v>203</v>
      </c>
      <c r="O2143">
        <f t="shared" si="99"/>
        <v>9.9961199999999995</v>
      </c>
      <c r="P2143">
        <f t="shared" si="100"/>
        <v>0.1278968749999998</v>
      </c>
      <c r="Q2143">
        <f t="shared" si="101"/>
        <v>0.1278968749999998</v>
      </c>
      <c r="Y2143">
        <f>TREND(H2137:H2141,G2137:G2141,G2143)</f>
        <v>9.9731352451556248</v>
      </c>
      <c r="Z2143">
        <f>ABS((Y2143-H2143)/80*100)</f>
        <v>0.15662781855546815</v>
      </c>
      <c r="AH2143">
        <f>H2143-AG2081</f>
        <v>10.035135</v>
      </c>
      <c r="AI2143">
        <f>100*(AH2143-O2143)/80</f>
        <v>4.8768750000001138E-2</v>
      </c>
    </row>
    <row r="2144" spans="1:41" x14ac:dyDescent="0.35">
      <c r="A2144" t="s">
        <v>296</v>
      </c>
      <c r="B2144" t="s">
        <v>231</v>
      </c>
      <c r="C2144" t="s">
        <v>297</v>
      </c>
      <c r="D2144">
        <v>25</v>
      </c>
      <c r="E2144">
        <v>25</v>
      </c>
      <c r="F2144">
        <v>-1</v>
      </c>
      <c r="G2144">
        <v>-1.000062</v>
      </c>
      <c r="H2144">
        <v>10.134375</v>
      </c>
      <c r="J2144">
        <v>-6214</v>
      </c>
      <c r="N2144" t="s">
        <v>204</v>
      </c>
      <c r="O2144">
        <f t="shared" si="99"/>
        <v>9.9975199999999997</v>
      </c>
      <c r="P2144">
        <f t="shared" si="100"/>
        <v>0.17106875000000077</v>
      </c>
      <c r="Q2144">
        <f t="shared" si="101"/>
        <v>0.17106875000000077</v>
      </c>
      <c r="S2144">
        <v>50.046875</v>
      </c>
      <c r="T2144">
        <v>5.6793750000005971E-2</v>
      </c>
      <c r="U2144">
        <v>90.245312499999997</v>
      </c>
      <c r="V2144">
        <v>0.31234062499999382</v>
      </c>
      <c r="W2144">
        <v>80.110940551757807</v>
      </c>
      <c r="X2144">
        <f>(W2144-80)/80*100</f>
        <v>0.13867568969725852</v>
      </c>
      <c r="Y2144">
        <f>TREND(H2144:H2148,G2144:G2148,G2144)</f>
        <v>10.030987256541081</v>
      </c>
      <c r="Z2144">
        <f>ABS((Y2144-H2144)/80*100)</f>
        <v>0.12923467932364874</v>
      </c>
      <c r="AA2144">
        <f>MAX(Z2144:Z2148)</f>
        <v>0.12923467932364874</v>
      </c>
      <c r="AB2144">
        <f>IF(ABS(MAX(P2144:P2150)) &gt; ABS(MIN(P2144:P2150)),MAX(P2144:P2150), MIN(P2144:P2150))</f>
        <v>0.31234062499999382</v>
      </c>
      <c r="AC2144">
        <f>IF(ABS(AB2145)&gt;ABS(AB2144),AB2145,AB2144)</f>
        <v>0.31234062499999382</v>
      </c>
      <c r="AD2144">
        <f>MAX(AD2145:AD2146)</f>
        <v>0.12384687500000213</v>
      </c>
      <c r="AE2144">
        <f>MAX(AE2145:AE2165)</f>
        <v>0.28442812499999359</v>
      </c>
      <c r="AF2144">
        <f>MAX(AD2144,AA2144)</f>
        <v>0.12923467932364874</v>
      </c>
      <c r="AG2144">
        <f>H2146-O2146</f>
        <v>4.5435000000004777E-2</v>
      </c>
      <c r="AH2144">
        <f>H2144-AG2144</f>
        <v>10.088939999999996</v>
      </c>
      <c r="AI2144">
        <f>100*(AH2144-O2144)/80</f>
        <v>0.1142749999999948</v>
      </c>
      <c r="AJ2144">
        <v>50.001439999999995</v>
      </c>
      <c r="AK2144">
        <v>0</v>
      </c>
      <c r="AL2144">
        <v>90.199877499999985</v>
      </c>
      <c r="AM2144">
        <v>0.25554687499997897</v>
      </c>
      <c r="AN2144">
        <f>IF(ABS(MAX(AI2144:AI2150)) &gt; ABS(MIN(AI2144:AI2150)),MAX(AI2144:AI2150), MIN(AI2144:AI2150))</f>
        <v>0.25554687499997897</v>
      </c>
      <c r="AO2144">
        <f>IF(ABS(AN2145)&gt;ABS(AN2144),AN2145,AN2144)</f>
        <v>0.25554687499997897</v>
      </c>
    </row>
    <row r="2145" spans="1:41" x14ac:dyDescent="0.35">
      <c r="A2145" t="s">
        <v>296</v>
      </c>
      <c r="B2145" t="s">
        <v>231</v>
      </c>
      <c r="C2145" t="s">
        <v>339</v>
      </c>
      <c r="D2145">
        <v>25</v>
      </c>
      <c r="E2145">
        <v>25</v>
      </c>
      <c r="F2145">
        <v>-0.5</v>
      </c>
      <c r="G2145">
        <v>-0.50006200000000001</v>
      </c>
      <c r="H2145">
        <v>29.978124999999999</v>
      </c>
      <c r="J2145">
        <v>-6213</v>
      </c>
      <c r="N2145" t="s">
        <v>204</v>
      </c>
      <c r="O2145">
        <f t="shared" si="99"/>
        <v>29.997520000000002</v>
      </c>
      <c r="P2145">
        <f t="shared" si="100"/>
        <v>-2.4243750000003672E-2</v>
      </c>
      <c r="Q2145">
        <f t="shared" si="101"/>
        <v>2.4243750000003672E-2</v>
      </c>
      <c r="Y2145">
        <f>TREND(H2144:H2148,G2144:G2148,G2145)</f>
        <v>30.073069162270862</v>
      </c>
      <c r="Z2145">
        <f>ABS((Y2145-H2145)/80*100)</f>
        <v>0.11868020283857916</v>
      </c>
      <c r="AB2145">
        <f>IF(ABS(T2144) &gt; ABS(V2144),T2144,V2144)</f>
        <v>0.31234062499999382</v>
      </c>
      <c r="AD2145">
        <f>ABS(P2146-P2149)</f>
        <v>3.8456249999994085E-2</v>
      </c>
      <c r="AE2145">
        <f>ABS(P2172-P2144)</f>
        <v>9.8403124999999481E-2</v>
      </c>
      <c r="AH2145">
        <f>H2145-AG2144</f>
        <v>29.932689999999994</v>
      </c>
      <c r="AI2145">
        <f>100*(AH2145-O2145)/80</f>
        <v>-8.1037500000009643E-2</v>
      </c>
      <c r="AN2145">
        <f>IF(ABS(AK2144) &gt; ABS(AM2144),AK2144,AM2144)</f>
        <v>0.25554687499997897</v>
      </c>
    </row>
    <row r="2146" spans="1:41" x14ac:dyDescent="0.35">
      <c r="A2146" t="s">
        <v>296</v>
      </c>
      <c r="B2146" t="s">
        <v>231</v>
      </c>
      <c r="C2146" t="s">
        <v>375</v>
      </c>
      <c r="D2146">
        <v>25</v>
      </c>
      <c r="E2146">
        <v>25</v>
      </c>
      <c r="F2146">
        <v>0</v>
      </c>
      <c r="G2146">
        <v>3.6000000000000001E-5</v>
      </c>
      <c r="H2146">
        <v>50.046875</v>
      </c>
      <c r="J2146">
        <v>-6204</v>
      </c>
      <c r="N2146" t="s">
        <v>204</v>
      </c>
      <c r="O2146">
        <f t="shared" si="99"/>
        <v>50.001439999999995</v>
      </c>
      <c r="P2146">
        <f t="shared" si="100"/>
        <v>5.6793750000005971E-2</v>
      </c>
      <c r="Q2146">
        <f t="shared" si="101"/>
        <v>5.6793750000005971E-2</v>
      </c>
      <c r="Y2146">
        <f>TREND(H2144:H2148,G2144:G2148,G2146)</f>
        <v>50.119079316054162</v>
      </c>
      <c r="Z2146">
        <f>ABS((Y2146-H2146)/80*100)</f>
        <v>9.0255395067702082E-2</v>
      </c>
      <c r="AD2146">
        <f>ABS(P2144-P2150)</f>
        <v>0.12384687500000213</v>
      </c>
      <c r="AE2146">
        <f>ABS(P2173-P2145)</f>
        <v>0.13652500000000067</v>
      </c>
      <c r="AH2146">
        <f>H2146-AG2144</f>
        <v>50.001439999999995</v>
      </c>
      <c r="AI2146">
        <f>100*(AH2146-O2146)/80</f>
        <v>0</v>
      </c>
    </row>
    <row r="2147" spans="1:41" x14ac:dyDescent="0.35">
      <c r="A2147" t="s">
        <v>296</v>
      </c>
      <c r="B2147" t="s">
        <v>231</v>
      </c>
      <c r="C2147" t="s">
        <v>412</v>
      </c>
      <c r="D2147">
        <v>25</v>
      </c>
      <c r="E2147">
        <v>25</v>
      </c>
      <c r="F2147">
        <v>0.5</v>
      </c>
      <c r="G2147">
        <v>0.50018499999999999</v>
      </c>
      <c r="H2147">
        <v>70.182812499999997</v>
      </c>
      <c r="J2147">
        <v>-6214</v>
      </c>
      <c r="N2147" t="s">
        <v>204</v>
      </c>
      <c r="O2147">
        <f t="shared" si="99"/>
        <v>70.007400000000004</v>
      </c>
      <c r="P2147">
        <f t="shared" si="100"/>
        <v>0.21926562499999136</v>
      </c>
      <c r="Q2147">
        <f t="shared" si="101"/>
        <v>0.21926562499999136</v>
      </c>
      <c r="Y2147">
        <f>TREND(H2144:H2148,G2144:G2148,G2147)</f>
        <v>70.167133762191852</v>
      </c>
      <c r="Z2147">
        <f>ABS((Y2147-H2147)/80*100)</f>
        <v>1.9598422260180826E-2</v>
      </c>
      <c r="AE2147">
        <f>ABS(P2174-P2146)</f>
        <v>0.17044999999999533</v>
      </c>
      <c r="AH2147">
        <f>H2147-AG2144</f>
        <v>70.137377499999985</v>
      </c>
      <c r="AI2147">
        <f>100*(AH2147-O2147)/80</f>
        <v>0.16247187499997651</v>
      </c>
    </row>
    <row r="2148" spans="1:41" x14ac:dyDescent="0.35">
      <c r="A2148" t="s">
        <v>296</v>
      </c>
      <c r="B2148" t="s">
        <v>231</v>
      </c>
      <c r="C2148" t="s">
        <v>449</v>
      </c>
      <c r="D2148">
        <v>25</v>
      </c>
      <c r="E2148">
        <v>25</v>
      </c>
      <c r="F2148">
        <v>1</v>
      </c>
      <c r="G2148">
        <v>0.99988600000000005</v>
      </c>
      <c r="H2148">
        <v>90.245312499999997</v>
      </c>
      <c r="J2148">
        <v>-6210</v>
      </c>
      <c r="N2148" t="s">
        <v>204</v>
      </c>
      <c r="O2148">
        <f t="shared" si="99"/>
        <v>89.995440000000002</v>
      </c>
      <c r="P2148">
        <f t="shared" si="100"/>
        <v>0.31234062499999382</v>
      </c>
      <c r="Q2148">
        <f t="shared" si="101"/>
        <v>0.31234062499999382</v>
      </c>
      <c r="Y2148">
        <f>TREND(H2144:H2148,G2144:G2148,G2148)</f>
        <v>90.197230502942006</v>
      </c>
      <c r="Z2148">
        <f>ABS((Y2148-H2148)/80*100)</f>
        <v>6.0102496322489429E-2</v>
      </c>
      <c r="AE2148">
        <f>ABS(P2175-P2147)</f>
        <v>7.3443750000006247E-2</v>
      </c>
      <c r="AH2148">
        <f>H2148-AG2144</f>
        <v>90.199877499999985</v>
      </c>
      <c r="AI2148">
        <f>100*(AH2148-O2148)/80</f>
        <v>0.25554687499997897</v>
      </c>
    </row>
    <row r="2149" spans="1:41" x14ac:dyDescent="0.35">
      <c r="A2149" t="s">
        <v>296</v>
      </c>
      <c r="B2149" t="s">
        <v>231</v>
      </c>
      <c r="C2149" t="s">
        <v>486</v>
      </c>
      <c r="D2149">
        <v>25</v>
      </c>
      <c r="E2149">
        <v>25</v>
      </c>
      <c r="F2149">
        <v>0</v>
      </c>
      <c r="G2149">
        <v>-3.0000000000000001E-5</v>
      </c>
      <c r="H2149">
        <v>50.075000000000003</v>
      </c>
      <c r="J2149">
        <v>-6210</v>
      </c>
      <c r="N2149" t="s">
        <v>204</v>
      </c>
      <c r="O2149">
        <f t="shared" si="99"/>
        <v>49.998800000000003</v>
      </c>
      <c r="P2149">
        <f t="shared" si="100"/>
        <v>9.5250000000000057E-2</v>
      </c>
      <c r="Q2149">
        <f t="shared" si="101"/>
        <v>9.5250000000000057E-2</v>
      </c>
      <c r="Y2149">
        <f>TREND(H2144:H2148,G2144:G2148,G2149)</f>
        <v>50.116433761242611</v>
      </c>
      <c r="Z2149">
        <f>ABS((Y2149-H2149)/80*100)</f>
        <v>5.1792201553260142E-2</v>
      </c>
      <c r="AE2149">
        <f>ABS(P2176-P2148)</f>
        <v>3.7825000000015763E-2</v>
      </c>
      <c r="AH2149">
        <f>H2149-AG2144</f>
        <v>50.029564999999998</v>
      </c>
      <c r="AI2149">
        <f>100*(AH2149-O2149)/80</f>
        <v>3.8456249999994085E-2</v>
      </c>
    </row>
    <row r="2150" spans="1:41" x14ac:dyDescent="0.35">
      <c r="A2150" t="s">
        <v>296</v>
      </c>
      <c r="B2150" t="s">
        <v>231</v>
      </c>
      <c r="C2150" t="s">
        <v>523</v>
      </c>
      <c r="D2150">
        <v>25</v>
      </c>
      <c r="E2150">
        <v>25</v>
      </c>
      <c r="F2150">
        <v>-1</v>
      </c>
      <c r="G2150">
        <v>-1.000046</v>
      </c>
      <c r="H2150">
        <v>10.035937499999999</v>
      </c>
      <c r="J2150">
        <v>-6217</v>
      </c>
      <c r="N2150" t="s">
        <v>204</v>
      </c>
      <c r="O2150">
        <f t="shared" si="99"/>
        <v>9.9981600000000004</v>
      </c>
      <c r="P2150">
        <f t="shared" si="100"/>
        <v>4.7221874999998636E-2</v>
      </c>
      <c r="Q2150">
        <f t="shared" si="101"/>
        <v>4.7221874999998636E-2</v>
      </c>
      <c r="Y2150">
        <f>TREND(H2144:H2148,G2144:G2148,G2150)</f>
        <v>10.031628603162062</v>
      </c>
      <c r="Z2150">
        <f>ABS((Y2150-H2150)/80*100)</f>
        <v>5.3861210474215326E-3</v>
      </c>
      <c r="AE2150">
        <f>ABS(P2177-P2149)</f>
        <v>0.12299999999999756</v>
      </c>
      <c r="AH2150">
        <f>H2150-AG2144</f>
        <v>9.9905024999999945</v>
      </c>
      <c r="AI2150">
        <f>100*(AH2150-O2150)/80</f>
        <v>-9.5718750000073349E-3</v>
      </c>
    </row>
    <row r="2151" spans="1:41" x14ac:dyDescent="0.35">
      <c r="A2151" t="s">
        <v>296</v>
      </c>
      <c r="B2151" t="s">
        <v>231</v>
      </c>
      <c r="C2151" t="s">
        <v>560</v>
      </c>
      <c r="D2151">
        <v>-20</v>
      </c>
      <c r="E2151">
        <v>-20.100000000000001</v>
      </c>
      <c r="F2151">
        <v>-1</v>
      </c>
      <c r="G2151">
        <v>-1.0000389999999999</v>
      </c>
      <c r="H2151">
        <v>10.146875</v>
      </c>
      <c r="J2151">
        <v>-24497</v>
      </c>
      <c r="N2151" t="s">
        <v>204</v>
      </c>
      <c r="O2151">
        <f t="shared" si="99"/>
        <v>9.998440000000004</v>
      </c>
      <c r="P2151">
        <f t="shared" si="100"/>
        <v>0.18554374999999457</v>
      </c>
      <c r="Q2151">
        <f t="shared" si="101"/>
        <v>0.18554374999999457</v>
      </c>
      <c r="S2151">
        <v>50.1796875</v>
      </c>
      <c r="T2151">
        <v>0.2709093749999969</v>
      </c>
      <c r="U2151">
        <v>90.387500000000003</v>
      </c>
      <c r="V2151">
        <v>0.49017499999999714</v>
      </c>
      <c r="W2151">
        <v>80.240621948242193</v>
      </c>
      <c r="X2151">
        <f>(W2151-80)/80*100</f>
        <v>0.30077743530274148</v>
      </c>
      <c r="Y2151">
        <f>TREND(H2151:H2155,G2151:G2155,G2151)</f>
        <v>10.067280074352325</v>
      </c>
      <c r="Z2151">
        <f>ABS((Y2151-H2151)/80*100)</f>
        <v>9.9493657059592774E-2</v>
      </c>
      <c r="AA2151">
        <f>MAX(Z2151:Z2155)</f>
        <v>0.1363537778824675</v>
      </c>
      <c r="AB2151">
        <f>IF(ABS(MAX(P2151:P2157)) &gt; ABS(MIN(P2151:P2157)),MAX(P2151:P2157), MIN(P2151:P2157))</f>
        <v>0.49017499999999714</v>
      </c>
      <c r="AC2151">
        <f>IF(ABS(AB2152)&gt;ABS(AB2151),AB2152,AB2151)</f>
        <v>0.49017499999999714</v>
      </c>
      <c r="AE2151">
        <f>ABS(P2178-P2150)</f>
        <v>0.28324375000000401</v>
      </c>
      <c r="AH2151">
        <f>H2151-AG2144</f>
        <v>10.101439999999995</v>
      </c>
      <c r="AI2151">
        <f>100*(AH2151-O2151)/80</f>
        <v>0.1287499999999886</v>
      </c>
      <c r="AJ2151">
        <v>50.134252499999995</v>
      </c>
      <c r="AK2151">
        <v>0.21411562499999093</v>
      </c>
      <c r="AL2151">
        <v>90.342064999999991</v>
      </c>
      <c r="AM2151">
        <v>0.43338124999998229</v>
      </c>
      <c r="AN2151">
        <f>IF(ABS(MAX(AI2151:AI2157)) &gt; ABS(MIN(AI2151:AI2157)),MAX(AI2151:AI2157), MIN(AI2151:AI2157))</f>
        <v>0.43338124999998229</v>
      </c>
      <c r="AO2151">
        <f>IF(ABS(AN2152)&gt;ABS(AN2151),AN2152,AN2151)</f>
        <v>0.43338124999998229</v>
      </c>
    </row>
    <row r="2152" spans="1:41" x14ac:dyDescent="0.35">
      <c r="A2152" t="s">
        <v>296</v>
      </c>
      <c r="B2152" t="s">
        <v>231</v>
      </c>
      <c r="C2152" t="s">
        <v>597</v>
      </c>
      <c r="D2152">
        <v>-20</v>
      </c>
      <c r="E2152">
        <v>-20</v>
      </c>
      <c r="F2152">
        <v>-0.5</v>
      </c>
      <c r="G2152">
        <v>-0.50006799999999996</v>
      </c>
      <c r="H2152">
        <v>30.034375000000001</v>
      </c>
      <c r="J2152">
        <v>-24512</v>
      </c>
      <c r="N2152" t="s">
        <v>204</v>
      </c>
      <c r="O2152">
        <f t="shared" si="99"/>
        <v>29.997280000000003</v>
      </c>
      <c r="P2152">
        <f t="shared" si="100"/>
        <v>4.6368749999996517E-2</v>
      </c>
      <c r="Q2152">
        <f t="shared" si="101"/>
        <v>4.6368749999996517E-2</v>
      </c>
      <c r="Y2152">
        <f>TREND(H2151:H2155,G2151:G2155,G2152)</f>
        <v>30.143458022305975</v>
      </c>
      <c r="Z2152">
        <f>ABS((Y2152-H2152)/80*100)</f>
        <v>0.1363537778824675</v>
      </c>
      <c r="AB2152">
        <f>IF(ABS(T2151) &gt; ABS(V2151),T2151,V2151)</f>
        <v>0.49017499999999714</v>
      </c>
      <c r="AE2152">
        <f>ABS(P2200-P2144)</f>
        <v>9.3259375000001032E-2</v>
      </c>
      <c r="AH2152">
        <f>H2152-AG2144</f>
        <v>29.988939999999996</v>
      </c>
      <c r="AI2152">
        <f>100*(AH2152-O2152)/80</f>
        <v>-1.0425000000009454E-2</v>
      </c>
      <c r="AN2152">
        <f>IF(ABS(AK2151) &gt; ABS(AM2151),AK2151,AM2151)</f>
        <v>0.43338124999998229</v>
      </c>
    </row>
    <row r="2153" spans="1:41" x14ac:dyDescent="0.35">
      <c r="A2153" t="s">
        <v>296</v>
      </c>
      <c r="B2153" t="s">
        <v>231</v>
      </c>
      <c r="C2153" t="s">
        <v>634</v>
      </c>
      <c r="D2153">
        <v>-20</v>
      </c>
      <c r="E2153">
        <v>-20</v>
      </c>
      <c r="F2153">
        <v>0</v>
      </c>
      <c r="G2153">
        <v>-9.2599999999999996E-4</v>
      </c>
      <c r="H2153">
        <v>50.1796875</v>
      </c>
      <c r="J2153">
        <v>-24512</v>
      </c>
      <c r="N2153" t="s">
        <v>204</v>
      </c>
      <c r="O2153">
        <f t="shared" si="99"/>
        <v>49.962960000000002</v>
      </c>
      <c r="P2153">
        <f t="shared" si="100"/>
        <v>0.2709093749999969</v>
      </c>
      <c r="Q2153">
        <f t="shared" si="101"/>
        <v>0.2709093749999969</v>
      </c>
      <c r="Y2153">
        <f>TREND(H2151:H2155,G2151:G2155,G2153)</f>
        <v>50.186347736504359</v>
      </c>
      <c r="Z2153">
        <f>ABS((Y2153-H2153)/80*100)</f>
        <v>8.3252956304491477E-3</v>
      </c>
      <c r="AE2153">
        <f>ABS(P2201-P2145)</f>
        <v>0.14790312499999292</v>
      </c>
      <c r="AH2153">
        <f>H2153-AG2144</f>
        <v>50.134252499999995</v>
      </c>
      <c r="AI2153">
        <f>100*(AH2153-O2153)/80</f>
        <v>0.21411562499999093</v>
      </c>
    </row>
    <row r="2154" spans="1:41" x14ac:dyDescent="0.35">
      <c r="A2154" t="s">
        <v>296</v>
      </c>
      <c r="B2154" t="s">
        <v>231</v>
      </c>
      <c r="C2154" t="s">
        <v>670</v>
      </c>
      <c r="D2154">
        <v>-20</v>
      </c>
      <c r="E2154">
        <v>-20</v>
      </c>
      <c r="F2154">
        <v>0.5</v>
      </c>
      <c r="G2154">
        <v>0.49997000000000003</v>
      </c>
      <c r="H2154">
        <v>70.321875000000006</v>
      </c>
      <c r="J2154">
        <v>-24529</v>
      </c>
      <c r="N2154" t="s">
        <v>204</v>
      </c>
      <c r="O2154">
        <f t="shared" si="99"/>
        <v>69.998800000000003</v>
      </c>
      <c r="P2154">
        <f t="shared" si="100"/>
        <v>0.40384375000000361</v>
      </c>
      <c r="Q2154">
        <f t="shared" si="101"/>
        <v>0.40384375000000361</v>
      </c>
      <c r="Y2154">
        <f>TREND(H2151:H2155,G2151:G2155,G2154)</f>
        <v>70.299668767960569</v>
      </c>
      <c r="Z2154">
        <f>ABS((Y2154-H2154)/80*100)</f>
        <v>2.7757790049296457E-2</v>
      </c>
      <c r="AE2154">
        <f>ABS(P2202-P2146)</f>
        <v>9.5856250000005971E-2</v>
      </c>
      <c r="AH2154">
        <f>H2154-AG2144</f>
        <v>70.276440000000008</v>
      </c>
      <c r="AI2154">
        <f>100*(AH2154-O2154)/80</f>
        <v>0.34705000000000652</v>
      </c>
    </row>
    <row r="2155" spans="1:41" x14ac:dyDescent="0.35">
      <c r="A2155" t="s">
        <v>296</v>
      </c>
      <c r="B2155" t="s">
        <v>231</v>
      </c>
      <c r="C2155" t="s">
        <v>706</v>
      </c>
      <c r="D2155">
        <v>-20</v>
      </c>
      <c r="E2155">
        <v>-20</v>
      </c>
      <c r="F2155">
        <v>1</v>
      </c>
      <c r="G2155">
        <v>0.999884</v>
      </c>
      <c r="H2155">
        <v>90.387500000000003</v>
      </c>
      <c r="J2155">
        <v>-24529</v>
      </c>
      <c r="N2155" t="s">
        <v>204</v>
      </c>
      <c r="O2155">
        <f t="shared" si="99"/>
        <v>89.995360000000005</v>
      </c>
      <c r="P2155">
        <f t="shared" si="100"/>
        <v>0.49017499999999714</v>
      </c>
      <c r="Q2155">
        <f t="shared" si="101"/>
        <v>0.49017499999999714</v>
      </c>
      <c r="Y2155">
        <f>TREND(H2151:H2155,G2151:G2155,G2155)</f>
        <v>90.373557898876754</v>
      </c>
      <c r="Z2155">
        <f>ABS((Y2155-H2155)/80*100)</f>
        <v>1.7427626404060703E-2</v>
      </c>
      <c r="AE2155">
        <f>ABS(P2203-P2147)</f>
        <v>1.8421874999994259E-2</v>
      </c>
      <c r="AH2155">
        <f>H2155-AG2144</f>
        <v>90.342064999999991</v>
      </c>
      <c r="AI2155">
        <f>100*(AH2155-O2155)/80</f>
        <v>0.43338124999998229</v>
      </c>
    </row>
    <row r="2156" spans="1:41" x14ac:dyDescent="0.35">
      <c r="A2156" t="s">
        <v>296</v>
      </c>
      <c r="B2156" t="s">
        <v>231</v>
      </c>
      <c r="C2156" t="s">
        <v>743</v>
      </c>
      <c r="D2156">
        <v>-20</v>
      </c>
      <c r="E2156">
        <v>-20</v>
      </c>
      <c r="F2156">
        <v>0</v>
      </c>
      <c r="G2156">
        <v>-8.6000000000000003E-5</v>
      </c>
      <c r="H2156">
        <v>50.176562500000003</v>
      </c>
      <c r="J2156">
        <v>-24529</v>
      </c>
      <c r="N2156" t="s">
        <v>204</v>
      </c>
      <c r="O2156">
        <f t="shared" si="99"/>
        <v>49.996560000000002</v>
      </c>
      <c r="P2156">
        <f t="shared" si="100"/>
        <v>0.22500312500000064</v>
      </c>
      <c r="Q2156">
        <f t="shared" si="101"/>
        <v>0.22500312500000064</v>
      </c>
      <c r="Y2156">
        <f>TREND(H2151:H2155,G2151:G2155,G2156)</f>
        <v>50.22007767179317</v>
      </c>
      <c r="Z2156">
        <f>ABS((Y2156-H2156)/80*100)</f>
        <v>5.43939647414593E-2</v>
      </c>
      <c r="AE2156">
        <f>ABS(P2204-P2148)</f>
        <v>5.5428124999998829E-2</v>
      </c>
      <c r="AH2156">
        <f>H2156-AG2144</f>
        <v>50.131127499999998</v>
      </c>
      <c r="AI2156">
        <f>100*(AH2156-O2156)/80</f>
        <v>0.16820937499999467</v>
      </c>
    </row>
    <row r="2157" spans="1:41" x14ac:dyDescent="0.35">
      <c r="A2157" t="s">
        <v>296</v>
      </c>
      <c r="B2157" t="s">
        <v>231</v>
      </c>
      <c r="C2157" t="s">
        <v>779</v>
      </c>
      <c r="D2157">
        <v>-20</v>
      </c>
      <c r="E2157">
        <v>-20.100000000000001</v>
      </c>
      <c r="F2157">
        <v>-1</v>
      </c>
      <c r="G2157">
        <v>-1.000089</v>
      </c>
      <c r="H2157">
        <v>10.1</v>
      </c>
      <c r="J2157">
        <v>-24523</v>
      </c>
      <c r="N2157" t="s">
        <v>204</v>
      </c>
      <c r="O2157">
        <f t="shared" si="99"/>
        <v>9.9964399999999998</v>
      </c>
      <c r="P2157">
        <f t="shared" si="100"/>
        <v>0.12944999999999984</v>
      </c>
      <c r="Q2157">
        <f t="shared" si="101"/>
        <v>0.12944999999999984</v>
      </c>
      <c r="Y2157">
        <f>TREND(H2151:H2155,G2151:G2155,G2157)</f>
        <v>10.06527234010894</v>
      </c>
      <c r="Z2157">
        <f>ABS((Y2157-H2157)/80*100)</f>
        <v>4.340957486382413E-2</v>
      </c>
      <c r="AE2157">
        <f>ABS(P2205-P2149)</f>
        <v>0.10771562500000442</v>
      </c>
      <c r="AH2157">
        <f>H2157-AG2144</f>
        <v>10.054564999999995</v>
      </c>
      <c r="AI2157">
        <f>100*(AH2157-O2157)/80</f>
        <v>7.2656249999993872E-2</v>
      </c>
    </row>
    <row r="2158" spans="1:41" x14ac:dyDescent="0.35">
      <c r="A2158" t="s">
        <v>296</v>
      </c>
      <c r="B2158" t="s">
        <v>231</v>
      </c>
      <c r="C2158" t="s">
        <v>815</v>
      </c>
      <c r="D2158">
        <v>0</v>
      </c>
      <c r="E2158">
        <v>-0.2</v>
      </c>
      <c r="F2158">
        <v>-1</v>
      </c>
      <c r="G2158">
        <v>-0.99995800000000001</v>
      </c>
      <c r="H2158">
        <v>10.2640625</v>
      </c>
      <c r="J2158">
        <v>-16704</v>
      </c>
      <c r="N2158" t="s">
        <v>204</v>
      </c>
      <c r="O2158">
        <f t="shared" si="99"/>
        <v>10.00168</v>
      </c>
      <c r="P2158">
        <f t="shared" si="100"/>
        <v>0.32797812499999912</v>
      </c>
      <c r="Q2158">
        <f t="shared" si="101"/>
        <v>0.32797812499999912</v>
      </c>
      <c r="S2158">
        <v>50.181249999999999</v>
      </c>
      <c r="T2158">
        <v>0.24766249999999879</v>
      </c>
      <c r="U2158">
        <v>90.385937499999997</v>
      </c>
      <c r="V2158">
        <v>0.50117187499999716</v>
      </c>
      <c r="W2158">
        <v>80.121878051757818</v>
      </c>
      <c r="X2158">
        <f>(W2158-80)/80*100</f>
        <v>0.15234756469727273</v>
      </c>
      <c r="Y2158">
        <f>TREND(H2158:H2162,G2158:G2162,G2158)</f>
        <v>10.177118978066758</v>
      </c>
      <c r="Z2158">
        <f>ABS((Y2158-H2158)/80*100)</f>
        <v>0.10867940241655161</v>
      </c>
      <c r="AA2158">
        <f>MAX(Z2158:Z2162)</f>
        <v>0.10867940241655161</v>
      </c>
      <c r="AB2158">
        <f>IF(ABS(MAX(P2158:P2164)) &gt; ABS(MIN(P2158:P2164)),MAX(P2158:P2164), MIN(P2158:P2164))</f>
        <v>0.50117187499999716</v>
      </c>
      <c r="AC2158">
        <f>IF(ABS(AB2159)&gt;ABS(AB2158),AB2159,AB2158)</f>
        <v>0.50117187499999716</v>
      </c>
      <c r="AE2158">
        <f>ABS(P2206-P2150)</f>
        <v>8.6940625000000438E-2</v>
      </c>
      <c r="AH2158">
        <f>H2158-AG2144</f>
        <v>10.218627499999995</v>
      </c>
      <c r="AI2158">
        <f>100*(AH2158-O2158)/80</f>
        <v>0.27118437499999315</v>
      </c>
      <c r="AJ2158">
        <v>50.135814999999994</v>
      </c>
      <c r="AK2158">
        <v>0.19086874999999281</v>
      </c>
      <c r="AL2158">
        <v>90.340502499999985</v>
      </c>
      <c r="AM2158">
        <v>0.4443781249999823</v>
      </c>
      <c r="AN2158">
        <f>IF(ABS(MAX(AI2158:AI2164)) &gt; ABS(MIN(AI2158:AI2164)),MAX(AI2158:AI2164), MIN(AI2158:AI2164))</f>
        <v>0.4443781249999823</v>
      </c>
      <c r="AO2158">
        <f>IF(ABS(AN2159)&gt;ABS(AN2158),AN2159,AN2158)</f>
        <v>0.4443781249999823</v>
      </c>
    </row>
    <row r="2159" spans="1:41" x14ac:dyDescent="0.35">
      <c r="A2159" t="s">
        <v>296</v>
      </c>
      <c r="B2159" t="s">
        <v>231</v>
      </c>
      <c r="C2159" t="s">
        <v>852</v>
      </c>
      <c r="D2159">
        <v>0</v>
      </c>
      <c r="E2159">
        <v>0.1</v>
      </c>
      <c r="F2159">
        <v>-0.5</v>
      </c>
      <c r="G2159">
        <v>-0.49995000000000001</v>
      </c>
      <c r="H2159">
        <v>30.1484375</v>
      </c>
      <c r="J2159">
        <v>-16670</v>
      </c>
      <c r="N2159" t="s">
        <v>204</v>
      </c>
      <c r="O2159">
        <f t="shared" si="99"/>
        <v>30.001999999999999</v>
      </c>
      <c r="P2159">
        <f t="shared" si="100"/>
        <v>0.18304687500000139</v>
      </c>
      <c r="Q2159">
        <f t="shared" si="101"/>
        <v>0.18304687500000139</v>
      </c>
      <c r="Y2159">
        <f>TREND(H2158:H2162,G2158:G2162,G2159)</f>
        <v>30.222327928020949</v>
      </c>
      <c r="Z2159">
        <f>ABS((Y2159-H2159)/80*100)</f>
        <v>9.2363035026186147E-2</v>
      </c>
      <c r="AB2159">
        <f>IF(ABS(T2158) &gt; ABS(V2158),T2158,V2158)</f>
        <v>0.50117187499999716</v>
      </c>
      <c r="AE2159">
        <f>ABS(P2200-P2172)</f>
        <v>0.19166250000000051</v>
      </c>
      <c r="AH2159">
        <f>H2159-AG2144</f>
        <v>30.103002499999995</v>
      </c>
      <c r="AI2159">
        <f>100*(AH2159-O2159)/80</f>
        <v>0.12625312499999541</v>
      </c>
      <c r="AN2159">
        <f>IF(ABS(AK2158) &gt; ABS(AM2158),AK2158,AM2158)</f>
        <v>0.4443781249999823</v>
      </c>
    </row>
    <row r="2160" spans="1:41" x14ac:dyDescent="0.35">
      <c r="A2160" t="s">
        <v>296</v>
      </c>
      <c r="B2160" t="s">
        <v>231</v>
      </c>
      <c r="C2160" t="s">
        <v>888</v>
      </c>
      <c r="D2160">
        <v>0</v>
      </c>
      <c r="E2160">
        <v>0</v>
      </c>
      <c r="F2160">
        <v>0</v>
      </c>
      <c r="G2160">
        <v>-4.2200000000000001E-4</v>
      </c>
      <c r="H2160">
        <v>50.181249999999999</v>
      </c>
      <c r="J2160">
        <v>-16640</v>
      </c>
      <c r="N2160" t="s">
        <v>204</v>
      </c>
      <c r="O2160">
        <f t="shared" si="99"/>
        <v>49.98312</v>
      </c>
      <c r="P2160">
        <f t="shared" si="100"/>
        <v>0.24766249999999879</v>
      </c>
      <c r="Q2160">
        <f t="shared" si="101"/>
        <v>0.24766249999999879</v>
      </c>
      <c r="Y2160">
        <f>TREND(H2158:H2162,G2158:G2162,G2160)</f>
        <v>50.248293785272665</v>
      </c>
      <c r="Z2160">
        <f>ABS((Y2160-H2160)/80*100)</f>
        <v>8.3804731590833015E-2</v>
      </c>
      <c r="AE2160">
        <f>ABS(P2201-P2173)</f>
        <v>0.28442812499999359</v>
      </c>
      <c r="AH2160">
        <f>H2160-AG2144</f>
        <v>50.135814999999994</v>
      </c>
      <c r="AI2160">
        <f>100*(AH2160-O2160)/80</f>
        <v>0.19086874999999281</v>
      </c>
    </row>
    <row r="2161" spans="1:41" x14ac:dyDescent="0.35">
      <c r="A2161" t="s">
        <v>296</v>
      </c>
      <c r="B2161" t="s">
        <v>231</v>
      </c>
      <c r="C2161" t="s">
        <v>924</v>
      </c>
      <c r="D2161">
        <v>0</v>
      </c>
      <c r="E2161">
        <v>0</v>
      </c>
      <c r="F2161">
        <v>0.5</v>
      </c>
      <c r="G2161">
        <v>0.50005500000000003</v>
      </c>
      <c r="H2161">
        <v>70.3203125</v>
      </c>
      <c r="J2161">
        <v>-16633</v>
      </c>
      <c r="N2161" t="s">
        <v>204</v>
      </c>
      <c r="O2161">
        <f t="shared" si="99"/>
        <v>70.002200000000002</v>
      </c>
      <c r="P2161">
        <f t="shared" si="100"/>
        <v>0.39764062499999753</v>
      </c>
      <c r="Q2161">
        <f t="shared" si="101"/>
        <v>0.39764062499999753</v>
      </c>
      <c r="Y2161">
        <f>TREND(H2158:H2162,G2158:G2162,G2161)</f>
        <v>70.312304840388222</v>
      </c>
      <c r="Z2161">
        <f>ABS((Y2161-H2161)/80*100)</f>
        <v>1.0009574514722175E-2</v>
      </c>
      <c r="AE2161">
        <f>ABS(P2202-P2174)</f>
        <v>0.2663062500000013</v>
      </c>
      <c r="AH2161">
        <f>H2161-AG2144</f>
        <v>70.274877500000002</v>
      </c>
      <c r="AI2161">
        <f>100*(AH2161-O2161)/80</f>
        <v>0.34084687500000044</v>
      </c>
    </row>
    <row r="2162" spans="1:41" x14ac:dyDescent="0.35">
      <c r="A2162" t="s">
        <v>296</v>
      </c>
      <c r="B2162" t="s">
        <v>231</v>
      </c>
      <c r="C2162" t="s">
        <v>961</v>
      </c>
      <c r="D2162">
        <v>0</v>
      </c>
      <c r="E2162">
        <v>0.1</v>
      </c>
      <c r="F2162">
        <v>1</v>
      </c>
      <c r="G2162">
        <v>0.99962499999999999</v>
      </c>
      <c r="H2162">
        <v>90.385937499999997</v>
      </c>
      <c r="J2162">
        <v>-16601</v>
      </c>
      <c r="N2162" t="s">
        <v>204</v>
      </c>
      <c r="O2162">
        <f t="shared" si="99"/>
        <v>89.984999999999999</v>
      </c>
      <c r="P2162">
        <f t="shared" si="100"/>
        <v>0.50117187499999716</v>
      </c>
      <c r="Q2162">
        <f t="shared" si="101"/>
        <v>0.50117187499999716</v>
      </c>
      <c r="Y2162">
        <f>TREND(H2158:H2162,G2158:G2162,G2162)</f>
        <v>90.339954468251406</v>
      </c>
      <c r="Z2162">
        <f>ABS((Y2162-H2162)/80*100)</f>
        <v>5.7478789685738718E-2</v>
      </c>
      <c r="AE2162">
        <f>ABS(P2203-P2175)</f>
        <v>5.5021875000011988E-2</v>
      </c>
      <c r="AH2162">
        <f>H2162-AG2144</f>
        <v>90.340502499999985</v>
      </c>
      <c r="AI2162">
        <f>100*(AH2162-O2162)/80</f>
        <v>0.4443781249999823</v>
      </c>
    </row>
    <row r="2163" spans="1:41" x14ac:dyDescent="0.35">
      <c r="A2163" t="s">
        <v>296</v>
      </c>
      <c r="B2163" t="s">
        <v>231</v>
      </c>
      <c r="C2163" t="s">
        <v>998</v>
      </c>
      <c r="D2163">
        <v>0</v>
      </c>
      <c r="E2163">
        <v>0</v>
      </c>
      <c r="F2163">
        <v>0</v>
      </c>
      <c r="G2163">
        <v>-2.5599999999999999E-4</v>
      </c>
      <c r="H2163">
        <v>50.196874999999999</v>
      </c>
      <c r="J2163">
        <v>-16573</v>
      </c>
      <c r="N2163" t="s">
        <v>204</v>
      </c>
      <c r="O2163">
        <f t="shared" si="99"/>
        <v>49.989759999999997</v>
      </c>
      <c r="P2163">
        <f t="shared" si="100"/>
        <v>0.25889375000000214</v>
      </c>
      <c r="Q2163">
        <f t="shared" si="101"/>
        <v>0.25889375000000214</v>
      </c>
      <c r="Y2163">
        <f>TREND(H2158:H2162,G2158:G2162,G2163)</f>
        <v>50.254948688165598</v>
      </c>
      <c r="Z2163">
        <f>ABS((Y2163-H2163)/80*100)</f>
        <v>7.2592110206999294E-2</v>
      </c>
      <c r="AE2163">
        <f>ABS(P2204-P2176)</f>
        <v>9.3253125000014592E-2</v>
      </c>
      <c r="AH2163">
        <f>H2163-AG2144</f>
        <v>50.151439999999994</v>
      </c>
      <c r="AI2163">
        <f>100*(AH2163-O2163)/80</f>
        <v>0.20209999999999617</v>
      </c>
    </row>
    <row r="2164" spans="1:41" x14ac:dyDescent="0.35">
      <c r="A2164" t="s">
        <v>296</v>
      </c>
      <c r="B2164" t="s">
        <v>231</v>
      </c>
      <c r="C2164" t="s">
        <v>1034</v>
      </c>
      <c r="D2164">
        <v>0</v>
      </c>
      <c r="E2164">
        <v>-0.1</v>
      </c>
      <c r="F2164">
        <v>-1</v>
      </c>
      <c r="G2164">
        <v>-0.99968900000000005</v>
      </c>
      <c r="H2164">
        <v>10.293749999999999</v>
      </c>
      <c r="J2164">
        <v>-16551</v>
      </c>
      <c r="N2164" t="s">
        <v>204</v>
      </c>
      <c r="O2164">
        <f t="shared" si="99"/>
        <v>10.012439999999998</v>
      </c>
      <c r="P2164">
        <f t="shared" si="100"/>
        <v>0.3516375000000016</v>
      </c>
      <c r="Q2164">
        <f t="shared" si="101"/>
        <v>0.3516375000000016</v>
      </c>
      <c r="Y2164">
        <f>TREND(H2158:H2162,G2158:G2162,G2164)</f>
        <v>10.187903127935435</v>
      </c>
      <c r="Z2164">
        <f>ABS((Y2164-H2164)/80*100)</f>
        <v>0.13230859008070528</v>
      </c>
      <c r="AE2164">
        <f>ABS(P2205-P2177)</f>
        <v>0.23071562500000198</v>
      </c>
      <c r="AH2164">
        <f>H2164-AG2144</f>
        <v>10.248314999999995</v>
      </c>
      <c r="AI2164">
        <f>100*(AH2164-O2164)/80</f>
        <v>0.29484374999999563</v>
      </c>
    </row>
    <row r="2165" spans="1:41" x14ac:dyDescent="0.35">
      <c r="A2165" t="s">
        <v>296</v>
      </c>
      <c r="B2165" t="s">
        <v>231</v>
      </c>
      <c r="C2165" t="s">
        <v>1070</v>
      </c>
      <c r="D2165">
        <v>10</v>
      </c>
      <c r="E2165">
        <v>10</v>
      </c>
      <c r="F2165">
        <v>-1</v>
      </c>
      <c r="G2165">
        <v>-1.0000899999999999</v>
      </c>
      <c r="H2165">
        <v>10.2328125</v>
      </c>
      <c r="J2165">
        <v>-12342</v>
      </c>
      <c r="N2165" t="s">
        <v>204</v>
      </c>
      <c r="O2165">
        <f t="shared" si="99"/>
        <v>9.9964000000000031</v>
      </c>
      <c r="P2165">
        <f t="shared" si="100"/>
        <v>0.29551562499999573</v>
      </c>
      <c r="Q2165">
        <f t="shared" si="101"/>
        <v>0.29551562499999573</v>
      </c>
      <c r="S2165">
        <v>50.1953125</v>
      </c>
      <c r="T2165">
        <v>0.24029062499999476</v>
      </c>
      <c r="U2165">
        <v>90.21875</v>
      </c>
      <c r="V2165">
        <v>0.26553750000001486</v>
      </c>
      <c r="W2165">
        <v>79.985937500000006</v>
      </c>
      <c r="X2165">
        <f>(W2165-80)/80*100</f>
        <v>-1.7578124999992895E-2</v>
      </c>
      <c r="Y2165">
        <f>TREND(H2165:H2169,G2165:G2169,G2165)</f>
        <v>10.173498314991733</v>
      </c>
      <c r="Z2165">
        <f>ABS((Y2165-H2165)/80*100)</f>
        <v>7.4142731260333772E-2</v>
      </c>
      <c r="AA2165">
        <f>MAX(Z2165:Z2169)</f>
        <v>0.12828306575705994</v>
      </c>
      <c r="AB2165">
        <f>IF(ABS(MAX(P2165:P2171)) &gt; ABS(MIN(P2165:P2171)),MAX(P2165:P2171), MIN(P2165:P2171))</f>
        <v>0.42116874999999609</v>
      </c>
      <c r="AC2165">
        <f>IF(ABS(AB2166)&gt;ABS(AB2165),AB2166,AB2165)</f>
        <v>0.42116874999999609</v>
      </c>
      <c r="AE2165">
        <f>ABS(P2206-P2178)</f>
        <v>0.19630312500000358</v>
      </c>
      <c r="AH2165">
        <f>H2165-AG2144</f>
        <v>10.187377499999995</v>
      </c>
      <c r="AI2165">
        <f>100*(AH2165-O2165)/80</f>
        <v>0.23872187499998976</v>
      </c>
      <c r="AJ2165">
        <v>50.149877499999995</v>
      </c>
      <c r="AK2165">
        <v>0.18349687499998879</v>
      </c>
      <c r="AL2165">
        <v>90.173315000000002</v>
      </c>
      <c r="AM2165">
        <v>0.20874375000001777</v>
      </c>
      <c r="AN2165">
        <f>IF(ABS(MAX(AI2165:AI2171)) &gt; ABS(MIN(AI2165:AI2171)),MAX(AI2165:AI2171), MIN(AI2165:AI2171))</f>
        <v>0.36437499999999901</v>
      </c>
      <c r="AO2165">
        <f>IF(ABS(AN2166)&gt;ABS(AN2165),AN2166,AN2165)</f>
        <v>0.36437499999999901</v>
      </c>
    </row>
    <row r="2166" spans="1:41" x14ac:dyDescent="0.35">
      <c r="A2166" t="s">
        <v>296</v>
      </c>
      <c r="B2166" t="s">
        <v>231</v>
      </c>
      <c r="C2166" t="s">
        <v>1106</v>
      </c>
      <c r="D2166">
        <v>10</v>
      </c>
      <c r="E2166">
        <v>10</v>
      </c>
      <c r="F2166">
        <v>-0.5</v>
      </c>
      <c r="G2166">
        <v>-0.49991600000000003</v>
      </c>
      <c r="H2166">
        <v>30.1015625</v>
      </c>
      <c r="J2166">
        <v>-12329</v>
      </c>
      <c r="N2166" t="s">
        <v>204</v>
      </c>
      <c r="O2166">
        <f t="shared" si="99"/>
        <v>30.003360000000001</v>
      </c>
      <c r="P2166">
        <f t="shared" si="100"/>
        <v>0.12275312499999913</v>
      </c>
      <c r="Q2166">
        <f t="shared" si="101"/>
        <v>0.12275312499999913</v>
      </c>
      <c r="Y2166">
        <f>TREND(H2165:H2169,G2165:G2169,G2166)</f>
        <v>30.19953469818892</v>
      </c>
      <c r="Z2166">
        <f>ABS((Y2166-H2166)/80*100)</f>
        <v>0.12246524773614985</v>
      </c>
      <c r="AB2166">
        <f>IF(ABS(T2165) &gt; ABS(V2165),T2165,V2165)</f>
        <v>0.26553750000001486</v>
      </c>
      <c r="AH2166">
        <f>H2166-AG2144</f>
        <v>30.056127499999995</v>
      </c>
      <c r="AI2166">
        <f>100*(AH2166-O2166)/80</f>
        <v>6.5959374999993159E-2</v>
      </c>
      <c r="AN2166">
        <f>IF(ABS(AK2165) &gt; ABS(AM2165),AK2165,AM2165)</f>
        <v>0.20874375000001777</v>
      </c>
    </row>
    <row r="2167" spans="1:41" x14ac:dyDescent="0.35">
      <c r="A2167" t="s">
        <v>296</v>
      </c>
      <c r="B2167" t="s">
        <v>1111</v>
      </c>
      <c r="C2167" t="s">
        <v>1143</v>
      </c>
      <c r="D2167">
        <v>10</v>
      </c>
      <c r="E2167">
        <v>10</v>
      </c>
      <c r="F2167">
        <v>0</v>
      </c>
      <c r="G2167">
        <v>7.7000000000000001E-5</v>
      </c>
      <c r="H2167">
        <v>50.1953125</v>
      </c>
      <c r="J2167">
        <v>-12329</v>
      </c>
      <c r="N2167" t="s">
        <v>204</v>
      </c>
      <c r="O2167">
        <f t="shared" si="99"/>
        <v>50.003080000000004</v>
      </c>
      <c r="P2167">
        <f t="shared" si="100"/>
        <v>0.24029062499999476</v>
      </c>
      <c r="Q2167">
        <f t="shared" si="101"/>
        <v>0.24029062499999476</v>
      </c>
      <c r="Y2167">
        <f>TREND(H2165:H2169,G2165:G2169,G2167)</f>
        <v>50.218324178137721</v>
      </c>
      <c r="Z2167">
        <f>ABS((Y2167-H2167)/80*100)</f>
        <v>2.8764597672150675E-2</v>
      </c>
      <c r="AH2167">
        <f>H2167-AG2144</f>
        <v>50.149877499999995</v>
      </c>
      <c r="AI2167">
        <f>100*(AH2167-O2167)/80</f>
        <v>0.18349687499998879</v>
      </c>
    </row>
    <row r="2168" spans="1:41" x14ac:dyDescent="0.35">
      <c r="A2168" t="s">
        <v>296</v>
      </c>
      <c r="B2168" t="s">
        <v>1111</v>
      </c>
      <c r="C2168" t="s">
        <v>1180</v>
      </c>
      <c r="D2168">
        <v>10</v>
      </c>
      <c r="E2168">
        <v>10</v>
      </c>
      <c r="F2168">
        <v>0.5</v>
      </c>
      <c r="G2168">
        <v>0.49993599999999999</v>
      </c>
      <c r="H2168">
        <v>70.334374999999994</v>
      </c>
      <c r="J2168">
        <v>-12320</v>
      </c>
      <c r="N2168" t="s">
        <v>204</v>
      </c>
      <c r="O2168">
        <f t="shared" si="99"/>
        <v>69.997439999999997</v>
      </c>
      <c r="P2168">
        <f t="shared" si="100"/>
        <v>0.42116874999999609</v>
      </c>
      <c r="Q2168">
        <f t="shared" si="101"/>
        <v>0.42116874999999609</v>
      </c>
      <c r="Y2168">
        <f>TREND(H2165:H2169,G2165:G2169,G2168)</f>
        <v>70.231748547394346</v>
      </c>
      <c r="Z2168">
        <f>ABS((Y2168-H2168)/80*100)</f>
        <v>0.12828306575705994</v>
      </c>
      <c r="AH2168">
        <f>H2168-AG2144</f>
        <v>70.288939999999997</v>
      </c>
      <c r="AI2168">
        <f>100*(AH2168-O2168)/80</f>
        <v>0.36437499999999901</v>
      </c>
    </row>
    <row r="2169" spans="1:41" x14ac:dyDescent="0.35">
      <c r="A2169" t="s">
        <v>296</v>
      </c>
      <c r="B2169" t="s">
        <v>1111</v>
      </c>
      <c r="C2169" t="s">
        <v>1217</v>
      </c>
      <c r="D2169">
        <v>10</v>
      </c>
      <c r="E2169">
        <v>10</v>
      </c>
      <c r="F2169">
        <v>1</v>
      </c>
      <c r="G2169">
        <v>1.0001580000000001</v>
      </c>
      <c r="H2169">
        <v>90.21875</v>
      </c>
      <c r="J2169">
        <v>-12318</v>
      </c>
      <c r="N2169" t="s">
        <v>204</v>
      </c>
      <c r="O2169">
        <f t="shared" si="99"/>
        <v>90.006319999999988</v>
      </c>
      <c r="P2169">
        <f t="shared" si="100"/>
        <v>0.26553750000001486</v>
      </c>
      <c r="Q2169">
        <f t="shared" si="101"/>
        <v>0.26553750000001486</v>
      </c>
      <c r="Y2169">
        <f>TREND(H2165:H2169,G2165:G2169,G2169)</f>
        <v>90.259706761287248</v>
      </c>
      <c r="Z2169">
        <f>ABS((Y2169-H2169)/80*100)</f>
        <v>5.1195951609059875E-2</v>
      </c>
      <c r="AH2169">
        <f>H2169-AG2144</f>
        <v>90.173315000000002</v>
      </c>
      <c r="AI2169">
        <f>100*(AH2169-O2169)/80</f>
        <v>0.20874375000001777</v>
      </c>
    </row>
    <row r="2170" spans="1:41" x14ac:dyDescent="0.35">
      <c r="A2170" t="s">
        <v>296</v>
      </c>
      <c r="B2170" t="s">
        <v>1111</v>
      </c>
      <c r="C2170" t="s">
        <v>1254</v>
      </c>
      <c r="D2170">
        <v>10</v>
      </c>
      <c r="E2170">
        <v>10</v>
      </c>
      <c r="F2170">
        <v>0</v>
      </c>
      <c r="G2170">
        <v>-3.1399999999999999E-4</v>
      </c>
      <c r="H2170">
        <v>50.209375000000001</v>
      </c>
      <c r="J2170">
        <v>-12318</v>
      </c>
      <c r="N2170" t="s">
        <v>204</v>
      </c>
      <c r="O2170">
        <f t="shared" si="99"/>
        <v>49.987439999999999</v>
      </c>
      <c r="P2170">
        <f t="shared" si="100"/>
        <v>0.27741875000000249</v>
      </c>
      <c r="Q2170">
        <f t="shared" si="101"/>
        <v>0.27741875000000249</v>
      </c>
      <c r="Y2170">
        <f>TREND(H2165:H2169,G2165:G2169,G2170)</f>
        <v>50.202669265595631</v>
      </c>
      <c r="Z2170">
        <f>ABS((Y2170-H2170)/80*100)</f>
        <v>8.3821680054629866E-3</v>
      </c>
      <c r="AH2170">
        <f>H2170-AG2144</f>
        <v>50.163939999999997</v>
      </c>
      <c r="AI2170">
        <f>100*(AH2170-O2170)/80</f>
        <v>0.22062499999999652</v>
      </c>
    </row>
    <row r="2171" spans="1:41" x14ac:dyDescent="0.35">
      <c r="A2171" t="s">
        <v>296</v>
      </c>
      <c r="B2171" t="s">
        <v>1111</v>
      </c>
      <c r="C2171" t="s">
        <v>1290</v>
      </c>
      <c r="D2171">
        <v>10</v>
      </c>
      <c r="E2171">
        <v>10</v>
      </c>
      <c r="F2171">
        <v>-1</v>
      </c>
      <c r="G2171">
        <v>-1.0003280000000001</v>
      </c>
      <c r="H2171">
        <v>10.2890625</v>
      </c>
      <c r="J2171">
        <v>-12305</v>
      </c>
      <c r="N2171" t="s">
        <v>204</v>
      </c>
      <c r="O2171">
        <f t="shared" si="99"/>
        <v>9.9868799999999958</v>
      </c>
      <c r="P2171">
        <f t="shared" si="100"/>
        <v>0.3777281250000053</v>
      </c>
      <c r="Q2171">
        <f t="shared" si="101"/>
        <v>0.3777281250000053</v>
      </c>
      <c r="Y2171">
        <f>TREND(H2165:H2169,G2165:G2169,G2171)</f>
        <v>10.163969237792188</v>
      </c>
      <c r="Z2171">
        <f>ABS((Y2171-H2171)/80*100)</f>
        <v>0.15636657775976559</v>
      </c>
      <c r="AH2171">
        <f>H2171-AG2144</f>
        <v>10.243627499999995</v>
      </c>
      <c r="AI2171">
        <f>100*(AH2171-O2171)/80</f>
        <v>0.32093437499999933</v>
      </c>
    </row>
    <row r="2172" spans="1:41" x14ac:dyDescent="0.35">
      <c r="A2172" t="s">
        <v>296</v>
      </c>
      <c r="B2172" t="s">
        <v>1111</v>
      </c>
      <c r="C2172" t="s">
        <v>1326</v>
      </c>
      <c r="D2172">
        <v>25</v>
      </c>
      <c r="E2172">
        <v>25</v>
      </c>
      <c r="F2172">
        <v>-1</v>
      </c>
      <c r="G2172">
        <v>-1.000116</v>
      </c>
      <c r="H2172">
        <v>10.2109375</v>
      </c>
      <c r="J2172">
        <v>-6342</v>
      </c>
      <c r="N2172" t="s">
        <v>204</v>
      </c>
      <c r="O2172">
        <f t="shared" si="99"/>
        <v>9.9953599999999998</v>
      </c>
      <c r="P2172">
        <f t="shared" si="100"/>
        <v>0.26947187500000025</v>
      </c>
      <c r="Q2172">
        <f t="shared" si="101"/>
        <v>0.26947187500000025</v>
      </c>
      <c r="S2172">
        <v>50.171875</v>
      </c>
      <c r="T2172">
        <v>0.2272437500000013</v>
      </c>
      <c r="U2172">
        <v>90.282812500000006</v>
      </c>
      <c r="V2172">
        <v>0.35016562500000958</v>
      </c>
      <c r="W2172">
        <v>80.071876525878906</v>
      </c>
      <c r="X2172">
        <f>(W2172-80)/80*100</f>
        <v>8.9845657348632813E-2</v>
      </c>
      <c r="Y2172">
        <f>TREND(H2172:H2176,G2172:G2176,G2172)</f>
        <v>10.140971165787825</v>
      </c>
      <c r="Z2172">
        <f>ABS((Y2172-H2172)/80*100)</f>
        <v>8.7457917765219051E-2</v>
      </c>
      <c r="AA2172">
        <f>MAX(Z2172:Z2176)</f>
        <v>0.10392090714497204</v>
      </c>
      <c r="AB2172">
        <f>IF(ABS(MAX(P2172:P2178)) &gt; ABS(MIN(P2172:P2178)),MAX(P2172:P2178), MIN(P2172:P2178))</f>
        <v>0.35016562500000958</v>
      </c>
      <c r="AC2172">
        <f>IF(ABS(AB2173)&gt;ABS(AB2172),AB2173,AB2172)</f>
        <v>0.35016562500000958</v>
      </c>
      <c r="AH2172">
        <f>H2172-AG2144</f>
        <v>10.165502499999995</v>
      </c>
      <c r="AI2172">
        <f>100*(AH2172-O2172)/80</f>
        <v>0.21267812499999428</v>
      </c>
      <c r="AJ2172">
        <v>50.126439999999995</v>
      </c>
      <c r="AK2172">
        <v>0.17044999999999533</v>
      </c>
      <c r="AL2172">
        <v>90.237377500000008</v>
      </c>
      <c r="AM2172">
        <v>0.29337187500001249</v>
      </c>
      <c r="AN2172">
        <f>IF(ABS(MAX(AI2172:AI2178)) &gt; ABS(MIN(AI2172:AI2178)),MAX(AI2172:AI2178), MIN(AI2172:AI2178))</f>
        <v>0.29337187500001249</v>
      </c>
      <c r="AO2172">
        <f>IF(ABS(AN2173)&gt;ABS(AN2172),AN2173,AN2172)</f>
        <v>0.29337187500001249</v>
      </c>
    </row>
    <row r="2173" spans="1:41" x14ac:dyDescent="0.35">
      <c r="A2173" t="s">
        <v>296</v>
      </c>
      <c r="B2173" t="s">
        <v>1111</v>
      </c>
      <c r="C2173" t="s">
        <v>1363</v>
      </c>
      <c r="D2173">
        <v>25</v>
      </c>
      <c r="E2173">
        <v>25</v>
      </c>
      <c r="F2173">
        <v>-0.5</v>
      </c>
      <c r="G2173">
        <v>-0.49997999999999998</v>
      </c>
      <c r="H2173">
        <v>30.090624999999999</v>
      </c>
      <c r="J2173">
        <v>-6331</v>
      </c>
      <c r="N2173" t="s">
        <v>204</v>
      </c>
      <c r="O2173">
        <f t="shared" si="99"/>
        <v>30.000800000000002</v>
      </c>
      <c r="P2173">
        <f t="shared" si="100"/>
        <v>0.112281249999997</v>
      </c>
      <c r="Q2173">
        <f t="shared" si="101"/>
        <v>0.112281249999997</v>
      </c>
      <c r="Y2173">
        <f>TREND(H2172:H2176,G2172:G2176,G2173)</f>
        <v>30.173761725715977</v>
      </c>
      <c r="Z2173">
        <f>ABS((Y2173-H2173)/80*100)</f>
        <v>0.10392090714497204</v>
      </c>
      <c r="AB2173">
        <f>IF(ABS(T2172) &gt; ABS(V2172),T2172,V2172)</f>
        <v>0.35016562500000958</v>
      </c>
      <c r="AH2173">
        <f>H2173-AG2144</f>
        <v>30.045189999999995</v>
      </c>
      <c r="AI2173">
        <f>100*(AH2173-O2173)/80</f>
        <v>5.548749999999103E-2</v>
      </c>
      <c r="AN2173">
        <f>IF(ABS(AK2172) &gt; ABS(AM2172),AK2172,AM2172)</f>
        <v>0.29337187500001249</v>
      </c>
    </row>
    <row r="2174" spans="1:41" x14ac:dyDescent="0.35">
      <c r="A2174" t="s">
        <v>296</v>
      </c>
      <c r="B2174" t="s">
        <v>1111</v>
      </c>
      <c r="C2174" t="s">
        <v>1399</v>
      </c>
      <c r="D2174">
        <v>25</v>
      </c>
      <c r="E2174">
        <v>25</v>
      </c>
      <c r="F2174">
        <v>0</v>
      </c>
      <c r="G2174">
        <v>-2.4800000000000001E-4</v>
      </c>
      <c r="H2174">
        <v>50.171875</v>
      </c>
      <c r="J2174">
        <v>-6318</v>
      </c>
      <c r="N2174" t="s">
        <v>204</v>
      </c>
      <c r="O2174">
        <f t="shared" si="99"/>
        <v>49.990079999999999</v>
      </c>
      <c r="P2174">
        <f t="shared" si="100"/>
        <v>0.2272437500000013</v>
      </c>
      <c r="Q2174">
        <f t="shared" si="101"/>
        <v>0.2272437500000013</v>
      </c>
      <c r="Y2174">
        <f>TREND(H2172:H2176,G2172:G2176,G2174)</f>
        <v>50.190370192401069</v>
      </c>
      <c r="Z2174">
        <f>ABS((Y2174-H2174)/80*100)</f>
        <v>2.3118990501336256E-2</v>
      </c>
      <c r="AH2174">
        <f>H2174-AG2144</f>
        <v>50.126439999999995</v>
      </c>
      <c r="AI2174">
        <f>100*(AH2174-O2174)/80</f>
        <v>0.17044999999999533</v>
      </c>
    </row>
    <row r="2175" spans="1:41" x14ac:dyDescent="0.35">
      <c r="A2175" t="s">
        <v>296</v>
      </c>
      <c r="B2175" t="s">
        <v>1111</v>
      </c>
      <c r="C2175" t="s">
        <v>1436</v>
      </c>
      <c r="D2175">
        <v>25</v>
      </c>
      <c r="E2175">
        <v>25</v>
      </c>
      <c r="F2175">
        <v>0.5</v>
      </c>
      <c r="G2175">
        <v>0.499888</v>
      </c>
      <c r="H2175">
        <v>70.229687499999997</v>
      </c>
      <c r="J2175">
        <v>-6316</v>
      </c>
      <c r="N2175" t="s">
        <v>204</v>
      </c>
      <c r="O2175">
        <f t="shared" si="99"/>
        <v>69.995519999999999</v>
      </c>
      <c r="P2175">
        <f t="shared" si="100"/>
        <v>0.29270937499999761</v>
      </c>
      <c r="Q2175">
        <f t="shared" si="101"/>
        <v>0.29270937499999761</v>
      </c>
      <c r="Y2175">
        <f>TREND(H2172:H2176,G2172:G2176,G2175)</f>
        <v>70.223160752329221</v>
      </c>
      <c r="Z2175">
        <f>ABS((Y2175-H2175)/80*100)</f>
        <v>8.1584345884699871E-3</v>
      </c>
      <c r="AH2175">
        <f>H2175-AG2144</f>
        <v>70.184252499999985</v>
      </c>
      <c r="AI2175">
        <f>100*(AH2175-O2175)/80</f>
        <v>0.23591562499998275</v>
      </c>
    </row>
    <row r="2176" spans="1:41" x14ac:dyDescent="0.35">
      <c r="A2176" t="s">
        <v>296</v>
      </c>
      <c r="B2176" t="s">
        <v>1111</v>
      </c>
      <c r="C2176" t="s">
        <v>1473</v>
      </c>
      <c r="D2176">
        <v>25</v>
      </c>
      <c r="E2176">
        <v>25</v>
      </c>
      <c r="F2176">
        <v>1</v>
      </c>
      <c r="G2176">
        <v>1.000067</v>
      </c>
      <c r="H2176">
        <v>90.282812500000006</v>
      </c>
      <c r="J2176">
        <v>-6311</v>
      </c>
      <c r="N2176" t="s">
        <v>204</v>
      </c>
      <c r="O2176">
        <f t="shared" si="99"/>
        <v>90.002679999999998</v>
      </c>
      <c r="P2176">
        <f t="shared" si="100"/>
        <v>0.35016562500000958</v>
      </c>
      <c r="Q2176">
        <f t="shared" si="101"/>
        <v>0.35016562500000958</v>
      </c>
      <c r="Y2176">
        <f>TREND(H2172:H2176,G2172:G2176,G2176)</f>
        <v>90.257673663765914</v>
      </c>
      <c r="Z2176">
        <f>ABS((Y2176-H2176)/80*100)</f>
        <v>3.1423545292614818E-2</v>
      </c>
      <c r="AH2176">
        <f>H2176-AG2144</f>
        <v>90.237377500000008</v>
      </c>
      <c r="AI2176">
        <f>100*(AH2176-O2176)/80</f>
        <v>0.29337187500001249</v>
      </c>
    </row>
    <row r="2177" spans="1:41" x14ac:dyDescent="0.35">
      <c r="A2177" t="s">
        <v>296</v>
      </c>
      <c r="B2177" t="s">
        <v>1111</v>
      </c>
      <c r="C2177" t="s">
        <v>1509</v>
      </c>
      <c r="D2177">
        <v>25</v>
      </c>
      <c r="E2177">
        <v>25</v>
      </c>
      <c r="F2177">
        <v>0</v>
      </c>
      <c r="G2177">
        <v>1.0000000000000001E-5</v>
      </c>
      <c r="H2177">
        <v>50.174999999999997</v>
      </c>
      <c r="J2177">
        <v>-6299</v>
      </c>
      <c r="N2177" t="s">
        <v>204</v>
      </c>
      <c r="O2177">
        <f t="shared" si="99"/>
        <v>50.000399999999999</v>
      </c>
      <c r="P2177">
        <f t="shared" si="100"/>
        <v>0.21824999999999761</v>
      </c>
      <c r="Q2177">
        <f t="shared" si="101"/>
        <v>0.21824999999999761</v>
      </c>
      <c r="Y2177">
        <f>TREND(H2172:H2176,G2172:G2176,G2177)</f>
        <v>50.200704301452326</v>
      </c>
      <c r="Z2177">
        <f>ABS((Y2177-H2177)/80*100)</f>
        <v>3.213037681541131E-2</v>
      </c>
      <c r="AH2177">
        <f>H2177-AG2144</f>
        <v>50.129564999999992</v>
      </c>
      <c r="AI2177">
        <f>100*(AH2177-O2177)/80</f>
        <v>0.16145624999999164</v>
      </c>
    </row>
    <row r="2178" spans="1:41" x14ac:dyDescent="0.35">
      <c r="A2178" t="s">
        <v>296</v>
      </c>
      <c r="B2178" t="s">
        <v>1111</v>
      </c>
      <c r="C2178" t="s">
        <v>1546</v>
      </c>
      <c r="D2178">
        <v>25</v>
      </c>
      <c r="E2178">
        <v>25</v>
      </c>
      <c r="F2178">
        <v>-1</v>
      </c>
      <c r="G2178">
        <v>-1.0001640000000001</v>
      </c>
      <c r="H2178">
        <v>10.2578125</v>
      </c>
      <c r="J2178">
        <v>-6299</v>
      </c>
      <c r="N2178" t="s">
        <v>204</v>
      </c>
      <c r="O2178">
        <f t="shared" si="99"/>
        <v>9.9934399999999979</v>
      </c>
      <c r="P2178">
        <f t="shared" si="100"/>
        <v>0.33046562500000265</v>
      </c>
      <c r="Q2178">
        <f t="shared" si="101"/>
        <v>0.33046562500000265</v>
      </c>
      <c r="Y2178">
        <f>TREND(H2172:H2176,G2172:G2176,G2178)</f>
        <v>10.139048540848052</v>
      </c>
      <c r="Z2178">
        <f>ABS((Y2178-H2178)/80*100)</f>
        <v>0.1484549489399356</v>
      </c>
      <c r="AH2178">
        <f>H2178-AG2144</f>
        <v>10.212377499999995</v>
      </c>
      <c r="AI2178">
        <f>100*(AH2178-O2178)/80</f>
        <v>0.27367187499999668</v>
      </c>
    </row>
    <row r="2179" spans="1:41" x14ac:dyDescent="0.35">
      <c r="A2179" t="s">
        <v>296</v>
      </c>
      <c r="B2179" t="s">
        <v>1111</v>
      </c>
      <c r="C2179" t="s">
        <v>1583</v>
      </c>
      <c r="D2179">
        <v>50</v>
      </c>
      <c r="E2179">
        <v>50</v>
      </c>
      <c r="F2179">
        <v>-1</v>
      </c>
      <c r="G2179">
        <v>-1.0000830000000001</v>
      </c>
      <c r="H2179">
        <v>10.171875</v>
      </c>
      <c r="J2179">
        <v>3628</v>
      </c>
      <c r="N2179" t="s">
        <v>204</v>
      </c>
      <c r="O2179">
        <f t="shared" si="99"/>
        <v>9.9966799999999978</v>
      </c>
      <c r="P2179">
        <f t="shared" si="100"/>
        <v>0.21899375000000276</v>
      </c>
      <c r="Q2179">
        <f t="shared" si="101"/>
        <v>0.21899375000000276</v>
      </c>
      <c r="S2179">
        <v>50.131250000000001</v>
      </c>
      <c r="T2179">
        <v>0.17111250000000133</v>
      </c>
      <c r="U2179">
        <v>90.276562499999997</v>
      </c>
      <c r="V2179">
        <v>0.34880312500000343</v>
      </c>
      <c r="W2179">
        <v>80.104690551757813</v>
      </c>
      <c r="X2179">
        <f>(W2179-80)/80*100</f>
        <v>0.13086318969726563</v>
      </c>
      <c r="Y2179">
        <f>TREND(H2179:H2183,G2179:G2183,G2179)</f>
        <v>10.103495372715123</v>
      </c>
      <c r="Z2179">
        <f>ABS((Y2179-H2179)/80*100)</f>
        <v>8.5474534106095845E-2</v>
      </c>
      <c r="AA2179">
        <f>MAX(Z2179:Z2183)</f>
        <v>9.3014412430316717E-2</v>
      </c>
      <c r="AB2179">
        <f>IF(ABS(MAX(P2179:P2185)) &gt; ABS(MIN(P2179:P2185)),MAX(P2179:P2185), MIN(P2179:P2185))</f>
        <v>0.37092499999998196</v>
      </c>
      <c r="AC2179">
        <f>IF(ABS(AB2180)&gt;ABS(AB2179),AB2180,AB2179)</f>
        <v>0.37092499999998196</v>
      </c>
      <c r="AH2179">
        <f>H2179-AG2144</f>
        <v>10.126439999999995</v>
      </c>
      <c r="AI2179">
        <f>100*(AH2179-O2179)/80</f>
        <v>0.16219999999999679</v>
      </c>
      <c r="AJ2179">
        <v>50.085814999999997</v>
      </c>
      <c r="AK2179">
        <v>0.11431874999999536</v>
      </c>
      <c r="AL2179">
        <v>90.231127499999985</v>
      </c>
      <c r="AM2179">
        <v>0.29200937499998858</v>
      </c>
      <c r="AN2179">
        <f>IF(ABS(MAX(AI2179:AI2185)) &gt; ABS(MIN(AI2179:AI2185)),MAX(AI2179:AI2185), MIN(AI2179:AI2185))</f>
        <v>0.31413124999998487</v>
      </c>
      <c r="AO2179">
        <f>IF(ABS(AN2180)&gt;ABS(AN2179),AN2180,AN2179)</f>
        <v>0.31413124999998487</v>
      </c>
    </row>
    <row r="2180" spans="1:41" x14ac:dyDescent="0.35">
      <c r="A2180" t="s">
        <v>296</v>
      </c>
      <c r="B2180" t="s">
        <v>1111</v>
      </c>
      <c r="C2180" t="s">
        <v>1619</v>
      </c>
      <c r="D2180">
        <v>50</v>
      </c>
      <c r="E2180">
        <v>50</v>
      </c>
      <c r="F2180">
        <v>-0.5</v>
      </c>
      <c r="G2180">
        <v>-0.50012500000000004</v>
      </c>
      <c r="H2180">
        <v>30.0703125</v>
      </c>
      <c r="J2180">
        <v>3650</v>
      </c>
      <c r="N2180" t="s">
        <v>204</v>
      </c>
      <c r="O2180">
        <f t="shared" si="99"/>
        <v>29.994999999999997</v>
      </c>
      <c r="P2180">
        <f t="shared" si="100"/>
        <v>9.4140625000003197E-2</v>
      </c>
      <c r="Q2180">
        <f t="shared" si="101"/>
        <v>9.4140625000003197E-2</v>
      </c>
      <c r="Y2180">
        <f>TREND(H2179:H2183,G2179:G2183,G2180)</f>
        <v>30.144724029944253</v>
      </c>
      <c r="Z2180">
        <f>ABS((Y2180-H2180)/80*100)</f>
        <v>9.3014412430316717E-2</v>
      </c>
      <c r="AB2180">
        <f>IF(ABS(T2179) &gt; ABS(V2179),T2179,V2179)</f>
        <v>0.34880312500000343</v>
      </c>
      <c r="AH2180">
        <f>H2180-AG2144</f>
        <v>30.024877499999995</v>
      </c>
      <c r="AI2180">
        <f>100*(AH2180-O2180)/80</f>
        <v>3.7346874999997226E-2</v>
      </c>
      <c r="AN2180">
        <f>IF(ABS(AK2179) &gt; ABS(AM2179),AK2179,AM2179)</f>
        <v>0.29200937499998858</v>
      </c>
    </row>
    <row r="2181" spans="1:41" x14ac:dyDescent="0.35">
      <c r="A2181" t="s">
        <v>296</v>
      </c>
      <c r="B2181" t="s">
        <v>1111</v>
      </c>
      <c r="C2181" t="s">
        <v>1656</v>
      </c>
      <c r="D2181">
        <v>50</v>
      </c>
      <c r="E2181">
        <v>50</v>
      </c>
      <c r="F2181">
        <v>0</v>
      </c>
      <c r="G2181">
        <v>-1.4100000000000001E-4</v>
      </c>
      <c r="H2181">
        <v>50.131250000000001</v>
      </c>
      <c r="J2181">
        <v>3665</v>
      </c>
      <c r="N2181" t="s">
        <v>204</v>
      </c>
      <c r="O2181">
        <f t="shared" si="99"/>
        <v>49.99436</v>
      </c>
      <c r="P2181">
        <f t="shared" si="100"/>
        <v>0.17111250000000133</v>
      </c>
      <c r="Q2181">
        <f t="shared" si="101"/>
        <v>0.17111250000000133</v>
      </c>
      <c r="Y2181">
        <f>TREND(H2179:H2183,G2179:G2183,G2181)</f>
        <v>50.186994918611006</v>
      </c>
      <c r="Z2181">
        <f>ABS((Y2181-H2181)/80*100)</f>
        <v>6.9681148263756043E-2</v>
      </c>
      <c r="AH2181">
        <f>H2181-AG2144</f>
        <v>50.085814999999997</v>
      </c>
      <c r="AI2181">
        <f>100*(AH2181-O2181)/80</f>
        <v>0.11431874999999536</v>
      </c>
    </row>
    <row r="2182" spans="1:41" x14ac:dyDescent="0.35">
      <c r="A2182" t="s">
        <v>296</v>
      </c>
      <c r="B2182" t="s">
        <v>1111</v>
      </c>
      <c r="C2182" t="s">
        <v>1693</v>
      </c>
      <c r="D2182">
        <v>50</v>
      </c>
      <c r="E2182">
        <v>50</v>
      </c>
      <c r="F2182">
        <v>0.5</v>
      </c>
      <c r="G2182">
        <v>0.49976900000000002</v>
      </c>
      <c r="H2182">
        <v>70.287499999999994</v>
      </c>
      <c r="J2182">
        <v>3680</v>
      </c>
      <c r="N2182" t="s">
        <v>204</v>
      </c>
      <c r="O2182">
        <f t="shared" si="99"/>
        <v>69.990760000000009</v>
      </c>
      <c r="P2182">
        <f t="shared" si="100"/>
        <v>0.37092499999998196</v>
      </c>
      <c r="Q2182">
        <f t="shared" si="101"/>
        <v>0.37092499999998196</v>
      </c>
      <c r="Y2182">
        <f>TREND(H2179:H2183,G2179:G2183,G2182)</f>
        <v>70.226299456263007</v>
      </c>
      <c r="Z2182">
        <f>ABS((Y2182-H2182)/80*100)</f>
        <v>7.6500679671234195E-2</v>
      </c>
      <c r="AH2182">
        <f>H2182-AG2144</f>
        <v>70.242064999999997</v>
      </c>
      <c r="AI2182">
        <f>100*(AH2182-O2182)/80</f>
        <v>0.31413124999998487</v>
      </c>
    </row>
    <row r="2183" spans="1:41" x14ac:dyDescent="0.35">
      <c r="A2183" t="s">
        <v>296</v>
      </c>
      <c r="B2183" t="s">
        <v>1111</v>
      </c>
      <c r="C2183" t="s">
        <v>1730</v>
      </c>
      <c r="D2183">
        <v>50</v>
      </c>
      <c r="E2183">
        <v>50</v>
      </c>
      <c r="F2183">
        <v>1</v>
      </c>
      <c r="G2183">
        <v>0.99993799999999999</v>
      </c>
      <c r="H2183">
        <v>90.276562499999997</v>
      </c>
      <c r="J2183">
        <v>3703</v>
      </c>
      <c r="N2183" t="s">
        <v>204</v>
      </c>
      <c r="O2183">
        <f t="shared" si="99"/>
        <v>89.997519999999994</v>
      </c>
      <c r="P2183">
        <f t="shared" si="100"/>
        <v>0.34880312500000343</v>
      </c>
      <c r="Q2183">
        <f t="shared" si="101"/>
        <v>0.34880312500000343</v>
      </c>
      <c r="Y2183">
        <f>TREND(H2179:H2183,G2179:G2183,G2183)</f>
        <v>90.275986222466628</v>
      </c>
      <c r="Z2183">
        <f>ABS((Y2183-H2183)/80*100)</f>
        <v>7.2034691671163387E-4</v>
      </c>
      <c r="AH2183">
        <f>H2183-AG2144</f>
        <v>90.231127499999985</v>
      </c>
      <c r="AI2183">
        <f>100*(AH2183-O2183)/80</f>
        <v>0.29200937499998858</v>
      </c>
    </row>
    <row r="2184" spans="1:41" x14ac:dyDescent="0.35">
      <c r="A2184" t="s">
        <v>296</v>
      </c>
      <c r="B2184" t="s">
        <v>1111</v>
      </c>
      <c r="C2184" t="s">
        <v>1766</v>
      </c>
      <c r="D2184">
        <v>50</v>
      </c>
      <c r="E2184">
        <v>50</v>
      </c>
      <c r="F2184">
        <v>0</v>
      </c>
      <c r="G2184">
        <v>-6.3999999999999997E-5</v>
      </c>
      <c r="H2184">
        <v>50.065624999999997</v>
      </c>
      <c r="J2184">
        <v>3720</v>
      </c>
      <c r="N2184" t="s">
        <v>204</v>
      </c>
      <c r="O2184">
        <f t="shared" si="99"/>
        <v>49.997440000000005</v>
      </c>
      <c r="P2184">
        <f t="shared" si="100"/>
        <v>8.5231249999990766E-2</v>
      </c>
      <c r="Q2184">
        <f t="shared" si="101"/>
        <v>8.5231249999990766E-2</v>
      </c>
      <c r="Y2184">
        <f>TREND(H2179:H2183,G2179:G2183,G2184)</f>
        <v>50.190081527099331</v>
      </c>
      <c r="Z2184">
        <f>ABS((Y2184-H2184)/80*100)</f>
        <v>0.15557065887416677</v>
      </c>
      <c r="AH2184">
        <f>H2184-AG2144</f>
        <v>50.020189999999992</v>
      </c>
      <c r="AI2184">
        <f>100*(AH2184-O2184)/80</f>
        <v>2.8437499999984794E-2</v>
      </c>
    </row>
    <row r="2185" spans="1:41" x14ac:dyDescent="0.35">
      <c r="A2185" t="s">
        <v>296</v>
      </c>
      <c r="B2185" t="s">
        <v>1111</v>
      </c>
      <c r="C2185" t="s">
        <v>1803</v>
      </c>
      <c r="D2185">
        <v>50</v>
      </c>
      <c r="E2185">
        <v>50</v>
      </c>
      <c r="F2185">
        <v>-1</v>
      </c>
      <c r="G2185">
        <v>-0.99985299999999999</v>
      </c>
      <c r="H2185">
        <v>10.128125000000001</v>
      </c>
      <c r="J2185">
        <v>3725</v>
      </c>
      <c r="N2185" t="s">
        <v>204</v>
      </c>
      <c r="O2185">
        <f t="shared" ref="O2185:O2248" si="102">(((G2185--1)*(40))+10)</f>
        <v>10.005880000000001</v>
      </c>
      <c r="P2185">
        <f t="shared" ref="P2185:P2248" si="103">100*(H2185-O2185)/80</f>
        <v>0.15280624999999937</v>
      </c>
      <c r="Q2185">
        <f t="shared" ref="Q2185:Q2248" si="104">ABS(P2185)</f>
        <v>0.15280624999999937</v>
      </c>
      <c r="Y2185">
        <f>TREND(H2179:H2183,G2179:G2183,G2185)</f>
        <v>10.112715112355581</v>
      </c>
      <c r="Z2185">
        <f>ABS((Y2185-H2185)/80*100)</f>
        <v>1.9262359555525244E-2</v>
      </c>
      <c r="AH2185">
        <f>H2185-AG2144</f>
        <v>10.082689999999996</v>
      </c>
      <c r="AI2185">
        <f>100*(AH2185-O2185)/80</f>
        <v>9.6012499999993395E-2</v>
      </c>
    </row>
    <row r="2186" spans="1:41" x14ac:dyDescent="0.35">
      <c r="A2186" t="s">
        <v>296</v>
      </c>
      <c r="B2186" t="s">
        <v>1111</v>
      </c>
      <c r="C2186" t="s">
        <v>1840</v>
      </c>
      <c r="D2186">
        <v>70</v>
      </c>
      <c r="E2186">
        <v>70</v>
      </c>
      <c r="F2186">
        <v>-1</v>
      </c>
      <c r="G2186">
        <v>-1.0001139999999999</v>
      </c>
      <c r="H2186">
        <v>10.0859375</v>
      </c>
      <c r="J2186">
        <v>11724</v>
      </c>
      <c r="N2186" t="s">
        <v>204</v>
      </c>
      <c r="O2186">
        <f t="shared" si="102"/>
        <v>9.9954400000000021</v>
      </c>
      <c r="P2186">
        <f t="shared" si="103"/>
        <v>0.11312187499999737</v>
      </c>
      <c r="Q2186">
        <f t="shared" si="104"/>
        <v>0.11312187499999737</v>
      </c>
      <c r="S2186">
        <v>50.092187500000001</v>
      </c>
      <c r="T2186">
        <v>0.14063437499999942</v>
      </c>
      <c r="U2186">
        <v>90.282812500000006</v>
      </c>
      <c r="V2186">
        <v>0.34936562500000434</v>
      </c>
      <c r="W2186">
        <v>80.196876525878906</v>
      </c>
      <c r="X2186">
        <f>(W2186-80)/80*100</f>
        <v>0.24609565734863281</v>
      </c>
      <c r="Y2186">
        <f>TREND(H2186:H2190,G2186:G2190,G2186)</f>
        <v>10.021923673513285</v>
      </c>
      <c r="Z2186">
        <f>ABS((Y2186-H2186)/80*100)</f>
        <v>8.00172831083934E-2</v>
      </c>
      <c r="AA2186">
        <f>MAX(Z2186:Z2190)</f>
        <v>9.7908381011562184E-2</v>
      </c>
      <c r="AB2186">
        <f>IF(ABS(MAX(P2186:P2192)) &gt; ABS(MIN(P2186:P2192)),MAX(P2186:P2192), MIN(P2186:P2192))</f>
        <v>0.36718125000000157</v>
      </c>
      <c r="AC2186">
        <f>IF(ABS(AB2187)&gt;ABS(AB2186),AB2187,AB2186)</f>
        <v>0.36718125000000157</v>
      </c>
      <c r="AH2186">
        <f>H2186-AG2144</f>
        <v>10.040502499999995</v>
      </c>
      <c r="AI2186">
        <f>100*(AH2186-O2186)/80</f>
        <v>5.6328124999991402E-2</v>
      </c>
      <c r="AJ2186">
        <v>50.046752499999997</v>
      </c>
      <c r="AK2186">
        <v>8.3840624999993452E-2</v>
      </c>
      <c r="AL2186">
        <v>90.237377500000008</v>
      </c>
      <c r="AM2186">
        <v>0.29257187500000725</v>
      </c>
      <c r="AN2186">
        <f>IF(ABS(MAX(AI2186:AI2192)) &gt; ABS(MIN(AI2186:AI2192)),MAX(AI2186:AI2192), MIN(AI2186:AI2192))</f>
        <v>0.31038750000000448</v>
      </c>
      <c r="AO2186">
        <f>IF(ABS(AN2187)&gt;ABS(AN2186),AN2187,AN2186)</f>
        <v>0.31038750000000448</v>
      </c>
    </row>
    <row r="2187" spans="1:41" x14ac:dyDescent="0.35">
      <c r="A2187" t="s">
        <v>296</v>
      </c>
      <c r="B2187" t="s">
        <v>1111</v>
      </c>
      <c r="C2187" t="s">
        <v>1877</v>
      </c>
      <c r="D2187">
        <v>70</v>
      </c>
      <c r="E2187">
        <v>70</v>
      </c>
      <c r="F2187">
        <v>-0.5</v>
      </c>
      <c r="G2187">
        <v>-0.50011399999999995</v>
      </c>
      <c r="H2187">
        <v>30.009374999999999</v>
      </c>
      <c r="J2187">
        <v>11743</v>
      </c>
      <c r="N2187" t="s">
        <v>204</v>
      </c>
      <c r="O2187">
        <f t="shared" si="102"/>
        <v>29.995440000000002</v>
      </c>
      <c r="P2187">
        <f t="shared" si="103"/>
        <v>1.7418749999995597E-2</v>
      </c>
      <c r="Q2187">
        <f t="shared" si="104"/>
        <v>1.7418749999995597E-2</v>
      </c>
      <c r="Y2187">
        <f>TREND(H2186:H2190,G2186:G2190,G2187)</f>
        <v>30.087701704809248</v>
      </c>
      <c r="Z2187">
        <f>ABS((Y2187-H2187)/80*100)</f>
        <v>9.7908381011562184E-2</v>
      </c>
      <c r="AB2187">
        <f>IF(ABS(T2186) &gt; ABS(V2186),T2186,V2186)</f>
        <v>0.34936562500000434</v>
      </c>
      <c r="AH2187">
        <f>H2187-AG2144</f>
        <v>29.963939999999994</v>
      </c>
      <c r="AI2187">
        <f>100*(AH2187-O2187)/80</f>
        <v>-3.9375000000010374E-2</v>
      </c>
      <c r="AN2187">
        <f>IF(ABS(AK2186) &gt; ABS(AM2186),AK2186,AM2186)</f>
        <v>0.29257187500000725</v>
      </c>
    </row>
    <row r="2188" spans="1:41" x14ac:dyDescent="0.35">
      <c r="A2188" t="s">
        <v>296</v>
      </c>
      <c r="B2188" t="s">
        <v>1111</v>
      </c>
      <c r="C2188" t="s">
        <v>1914</v>
      </c>
      <c r="D2188">
        <v>70</v>
      </c>
      <c r="E2188">
        <v>70</v>
      </c>
      <c r="F2188">
        <v>0</v>
      </c>
      <c r="G2188">
        <v>-5.0799999999999999E-4</v>
      </c>
      <c r="H2188">
        <v>50.092187500000001</v>
      </c>
      <c r="J2188">
        <v>11771</v>
      </c>
      <c r="N2188" t="s">
        <v>204</v>
      </c>
      <c r="O2188">
        <f t="shared" si="102"/>
        <v>49.979680000000002</v>
      </c>
      <c r="P2188">
        <f t="shared" si="103"/>
        <v>0.14063437499999942</v>
      </c>
      <c r="Q2188">
        <f t="shared" si="104"/>
        <v>0.14063437499999942</v>
      </c>
      <c r="Y2188">
        <f>TREND(H2186:H2190,G2186:G2190,G2188)</f>
        <v>50.137667903016556</v>
      </c>
      <c r="Z2188">
        <f>ABS((Y2188-H2188)/80*100)</f>
        <v>5.6850503770693457E-2</v>
      </c>
      <c r="AH2188">
        <f>H2188-AG2144</f>
        <v>50.046752499999997</v>
      </c>
      <c r="AI2188">
        <f>100*(AH2188-O2188)/80</f>
        <v>8.3840624999993452E-2</v>
      </c>
    </row>
    <row r="2189" spans="1:41" x14ac:dyDescent="0.35">
      <c r="A2189" t="s">
        <v>296</v>
      </c>
      <c r="B2189" t="s">
        <v>1111</v>
      </c>
      <c r="C2189" t="s">
        <v>1950</v>
      </c>
      <c r="D2189">
        <v>70</v>
      </c>
      <c r="E2189">
        <v>70</v>
      </c>
      <c r="F2189">
        <v>0.5</v>
      </c>
      <c r="G2189">
        <v>0.49992199999999998</v>
      </c>
      <c r="H2189">
        <v>70.290625000000006</v>
      </c>
      <c r="J2189">
        <v>11784</v>
      </c>
      <c r="N2189" t="s">
        <v>204</v>
      </c>
      <c r="O2189">
        <f t="shared" si="102"/>
        <v>69.996880000000004</v>
      </c>
      <c r="P2189">
        <f t="shared" si="103"/>
        <v>0.36718125000000157</v>
      </c>
      <c r="Q2189">
        <f t="shared" si="104"/>
        <v>0.36718125000000157</v>
      </c>
      <c r="Y2189">
        <f>TREND(H2186:H2190,G2186:G2190,G2189)</f>
        <v>70.220702503419432</v>
      </c>
      <c r="Z2189">
        <f>ABS((Y2189-H2189)/80*100)</f>
        <v>8.7403120725717542E-2</v>
      </c>
      <c r="AH2189">
        <f>H2189-AG2144</f>
        <v>70.245190000000008</v>
      </c>
      <c r="AI2189">
        <f>100*(AH2189-O2189)/80</f>
        <v>0.31038750000000448</v>
      </c>
    </row>
    <row r="2190" spans="1:41" x14ac:dyDescent="0.35">
      <c r="A2190" t="s">
        <v>296</v>
      </c>
      <c r="B2190" t="s">
        <v>1111</v>
      </c>
      <c r="C2190" t="s">
        <v>1987</v>
      </c>
      <c r="D2190">
        <v>70</v>
      </c>
      <c r="E2190">
        <v>70</v>
      </c>
      <c r="F2190">
        <v>1</v>
      </c>
      <c r="G2190">
        <v>1.0000830000000001</v>
      </c>
      <c r="H2190">
        <v>90.282812500000006</v>
      </c>
      <c r="J2190">
        <v>11803</v>
      </c>
      <c r="N2190" t="s">
        <v>204</v>
      </c>
      <c r="O2190">
        <f t="shared" si="102"/>
        <v>90.003320000000002</v>
      </c>
      <c r="P2190">
        <f t="shared" si="103"/>
        <v>0.34936562500000434</v>
      </c>
      <c r="Q2190">
        <f t="shared" si="104"/>
        <v>0.34936562500000434</v>
      </c>
      <c r="Y2190">
        <f>TREND(H2186:H2190,G2186:G2190,G2190)</f>
        <v>90.292941715241483</v>
      </c>
      <c r="Z2190">
        <f>ABS((Y2190-H2190)/80*100)</f>
        <v>1.2661519051846426E-2</v>
      </c>
      <c r="AH2190">
        <f>H2190-AG2144</f>
        <v>90.237377500000008</v>
      </c>
      <c r="AI2190">
        <f>100*(AH2190-O2190)/80</f>
        <v>0.29257187500000725</v>
      </c>
    </row>
    <row r="2191" spans="1:41" x14ac:dyDescent="0.35">
      <c r="A2191" t="s">
        <v>296</v>
      </c>
      <c r="B2191" t="s">
        <v>1111</v>
      </c>
      <c r="C2191" t="s">
        <v>2023</v>
      </c>
      <c r="D2191">
        <v>70</v>
      </c>
      <c r="E2191">
        <v>70</v>
      </c>
      <c r="F2191">
        <v>0</v>
      </c>
      <c r="G2191">
        <v>-1.5799999999999999E-4</v>
      </c>
      <c r="H2191">
        <v>50.1015625</v>
      </c>
      <c r="J2191">
        <v>11818</v>
      </c>
      <c r="N2191" t="s">
        <v>204</v>
      </c>
      <c r="O2191">
        <f t="shared" si="102"/>
        <v>49.993679999999998</v>
      </c>
      <c r="P2191">
        <f t="shared" si="103"/>
        <v>0.1348531250000029</v>
      </c>
      <c r="Q2191">
        <f t="shared" si="104"/>
        <v>0.1348531250000029</v>
      </c>
      <c r="Y2191">
        <f>TREND(H2186:H2190,G2186:G2190,G2191)</f>
        <v>50.151713947638463</v>
      </c>
      <c r="Z2191">
        <f>ABS((Y2191-H2191)/80*100)</f>
        <v>6.2689309548078498E-2</v>
      </c>
      <c r="AH2191">
        <f>H2191-AG2144</f>
        <v>50.056127499999995</v>
      </c>
      <c r="AI2191">
        <f>100*(AH2191-O2191)/80</f>
        <v>7.8059374999996933E-2</v>
      </c>
    </row>
    <row r="2192" spans="1:41" x14ac:dyDescent="0.35">
      <c r="A2192" t="s">
        <v>296</v>
      </c>
      <c r="B2192" t="s">
        <v>1111</v>
      </c>
      <c r="C2192" t="s">
        <v>2060</v>
      </c>
      <c r="D2192">
        <v>70</v>
      </c>
      <c r="E2192">
        <v>70</v>
      </c>
      <c r="F2192">
        <v>-1</v>
      </c>
      <c r="G2192">
        <v>-1.0001389999999999</v>
      </c>
      <c r="H2192">
        <v>10.059374999999999</v>
      </c>
      <c r="J2192">
        <v>11827</v>
      </c>
      <c r="N2192" t="s">
        <v>204</v>
      </c>
      <c r="O2192">
        <f t="shared" si="102"/>
        <v>9.9944400000000044</v>
      </c>
      <c r="P2192">
        <f t="shared" si="103"/>
        <v>8.1168749999993572E-2</v>
      </c>
      <c r="Q2192">
        <f t="shared" si="104"/>
        <v>8.1168749999993572E-2</v>
      </c>
      <c r="Y2192">
        <f>TREND(H2186:H2190,G2186:G2190,G2192)</f>
        <v>10.020920384611721</v>
      </c>
      <c r="Z2192">
        <f>ABS((Y2192-H2192)/80*100)</f>
        <v>4.806826923534846E-2</v>
      </c>
      <c r="AH2192">
        <f>H2192-AG2144</f>
        <v>10.013939999999995</v>
      </c>
      <c r="AI2192">
        <f>100*(AH2192-O2192)/80</f>
        <v>2.4374999999987601E-2</v>
      </c>
    </row>
    <row r="2193" spans="1:41" x14ac:dyDescent="0.35">
      <c r="A2193" t="s">
        <v>296</v>
      </c>
      <c r="B2193" t="s">
        <v>1111</v>
      </c>
      <c r="C2193" t="s">
        <v>2096</v>
      </c>
      <c r="D2193">
        <v>85</v>
      </c>
      <c r="E2193">
        <v>85</v>
      </c>
      <c r="F2193">
        <v>-1</v>
      </c>
      <c r="G2193">
        <v>-1.0000629999999999</v>
      </c>
      <c r="H2193">
        <v>10.053125</v>
      </c>
      <c r="J2193">
        <v>17827</v>
      </c>
      <c r="N2193" t="s">
        <v>204</v>
      </c>
      <c r="O2193">
        <f t="shared" si="102"/>
        <v>9.997480000000003</v>
      </c>
      <c r="P2193">
        <f t="shared" si="103"/>
        <v>6.9556249999995767E-2</v>
      </c>
      <c r="Q2193">
        <f t="shared" si="104"/>
        <v>6.9556249999995767E-2</v>
      </c>
      <c r="S2193">
        <v>50.104687499999997</v>
      </c>
      <c r="T2193">
        <v>0.13145937500000038</v>
      </c>
      <c r="U2193">
        <v>90.262500000000003</v>
      </c>
      <c r="V2193">
        <v>0.31807500000001099</v>
      </c>
      <c r="W2193">
        <v>80.209371948242193</v>
      </c>
      <c r="X2193">
        <f>(W2193-80)/80*100</f>
        <v>0.26171493530274148</v>
      </c>
      <c r="Y2193">
        <f>TREND(H2193:H2197,G2193:G2197,G2193)</f>
        <v>10.005867772864605</v>
      </c>
      <c r="Z2193">
        <f>ABS((Y2193-H2193)/80*100)</f>
        <v>5.9071533919243802E-2</v>
      </c>
      <c r="AA2193">
        <f>MAX(Z2193:Z2197)</f>
        <v>7.0584461857454706E-2</v>
      </c>
      <c r="AB2193">
        <f>IF(ABS(MAX(P2193:P2199)) &gt; ABS(MIN(P2193:P2199)),MAX(P2193:P2199), MIN(P2193:P2199))</f>
        <v>0.31807500000001099</v>
      </c>
      <c r="AC2193">
        <f>IF(ABS(AB2194)&gt;ABS(AB2193),AB2194,AB2193)</f>
        <v>0.31807500000001099</v>
      </c>
      <c r="AH2193">
        <f>H2193-AG2144</f>
        <v>10.007689999999995</v>
      </c>
      <c r="AI2193">
        <f>100*(AH2193-O2193)/80</f>
        <v>1.2762499999989796E-2</v>
      </c>
      <c r="AJ2193">
        <v>50.059252499999992</v>
      </c>
      <c r="AK2193">
        <v>7.4665624999994407E-2</v>
      </c>
      <c r="AL2193">
        <v>90.217064999999991</v>
      </c>
      <c r="AM2193">
        <v>0.26128124999999613</v>
      </c>
      <c r="AN2193">
        <f>IF(ABS(MAX(AI2193:AI2199)) &gt; ABS(MIN(AI2193:AI2199)),MAX(AI2193:AI2199), MIN(AI2193:AI2199))</f>
        <v>0.26128124999999613</v>
      </c>
      <c r="AO2193">
        <f>IF(ABS(AN2194)&gt;ABS(AN2193),AN2194,AN2193)</f>
        <v>0.26128124999999613</v>
      </c>
    </row>
    <row r="2194" spans="1:41" x14ac:dyDescent="0.35">
      <c r="A2194" t="s">
        <v>296</v>
      </c>
      <c r="B2194" t="s">
        <v>1111</v>
      </c>
      <c r="C2194" t="s">
        <v>2132</v>
      </c>
      <c r="D2194">
        <v>85</v>
      </c>
      <c r="E2194">
        <v>85</v>
      </c>
      <c r="F2194">
        <v>-0.5</v>
      </c>
      <c r="G2194">
        <v>-0.50018600000000002</v>
      </c>
      <c r="H2194">
        <v>30.004687499999999</v>
      </c>
      <c r="J2194">
        <v>17842</v>
      </c>
      <c r="N2194" t="s">
        <v>204</v>
      </c>
      <c r="O2194">
        <f t="shared" si="102"/>
        <v>29.992559999999997</v>
      </c>
      <c r="P2194">
        <f t="shared" si="103"/>
        <v>1.5159375000002306E-2</v>
      </c>
      <c r="Q2194">
        <f t="shared" si="104"/>
        <v>1.5159375000002306E-2</v>
      </c>
      <c r="Y2194">
        <f>TREND(H2193:H2197,G2193:G2197,G2194)</f>
        <v>30.061155069485963</v>
      </c>
      <c r="Z2194">
        <f>ABS((Y2194-H2194)/80*100)</f>
        <v>7.0584461857454706E-2</v>
      </c>
      <c r="AB2194">
        <f>IF(ABS(T2193) &gt; ABS(V2193),T2193,V2193)</f>
        <v>0.31807500000001099</v>
      </c>
      <c r="AH2194">
        <f>H2194-AG2144</f>
        <v>29.959252499999995</v>
      </c>
      <c r="AI2194">
        <f>100*(AH2194-O2194)/80</f>
        <v>-4.1634375000003665E-2</v>
      </c>
      <c r="AN2194">
        <f>IF(ABS(AK2193) &gt; ABS(AM2193),AK2193,AM2193)</f>
        <v>0.26128124999999613</v>
      </c>
    </row>
    <row r="2195" spans="1:41" x14ac:dyDescent="0.35">
      <c r="A2195" t="s">
        <v>296</v>
      </c>
      <c r="B2195" t="s">
        <v>1111</v>
      </c>
      <c r="C2195" t="s">
        <v>2168</v>
      </c>
      <c r="D2195">
        <v>85</v>
      </c>
      <c r="E2195">
        <v>85</v>
      </c>
      <c r="F2195">
        <v>0</v>
      </c>
      <c r="G2195">
        <v>-1.2E-5</v>
      </c>
      <c r="H2195">
        <v>50.104687499999997</v>
      </c>
      <c r="J2195">
        <v>17861</v>
      </c>
      <c r="N2195" t="s">
        <v>204</v>
      </c>
      <c r="O2195">
        <f t="shared" si="102"/>
        <v>49.999519999999997</v>
      </c>
      <c r="P2195">
        <f t="shared" si="103"/>
        <v>0.13145937500000038</v>
      </c>
      <c r="Q2195">
        <f t="shared" si="104"/>
        <v>0.13145937500000038</v>
      </c>
      <c r="Y2195">
        <f>TREND(H2193:H2197,G2193:G2197,G2195)</f>
        <v>50.128358138041413</v>
      </c>
      <c r="Z2195">
        <f>ABS((Y2195-H2195)/80*100)</f>
        <v>2.9588297551770282E-2</v>
      </c>
      <c r="AH2195">
        <f>H2195-AG2144</f>
        <v>50.059252499999992</v>
      </c>
      <c r="AI2195">
        <f>100*(AH2195-O2195)/80</f>
        <v>7.4665624999994407E-2</v>
      </c>
    </row>
    <row r="2196" spans="1:41" x14ac:dyDescent="0.35">
      <c r="A2196" t="s">
        <v>296</v>
      </c>
      <c r="B2196" t="s">
        <v>1111</v>
      </c>
      <c r="C2196" t="s">
        <v>2205</v>
      </c>
      <c r="D2196">
        <v>85</v>
      </c>
      <c r="E2196">
        <v>85</v>
      </c>
      <c r="F2196">
        <v>0.5</v>
      </c>
      <c r="G2196">
        <v>0.49993199999999999</v>
      </c>
      <c r="H2196">
        <v>70.214062499999997</v>
      </c>
      <c r="J2196">
        <v>17870</v>
      </c>
      <c r="N2196" t="s">
        <v>204</v>
      </c>
      <c r="O2196">
        <f t="shared" si="102"/>
        <v>69.997280000000003</v>
      </c>
      <c r="P2196">
        <f t="shared" si="103"/>
        <v>0.27097812499999208</v>
      </c>
      <c r="Q2196">
        <f t="shared" si="104"/>
        <v>0.27097812499999208</v>
      </c>
      <c r="Y2196">
        <f>TREND(H2193:H2197,G2193:G2197,G2196)</f>
        <v>70.186333504425676</v>
      </c>
      <c r="Z2196">
        <f>ABS((Y2196-H2196)/80*100)</f>
        <v>3.4661244467901753E-2</v>
      </c>
      <c r="AH2196">
        <f>H2196-AG2144</f>
        <v>70.168627499999985</v>
      </c>
      <c r="AI2196">
        <f>100*(AH2196-O2196)/80</f>
        <v>0.21418437499997722</v>
      </c>
    </row>
    <row r="2197" spans="1:41" x14ac:dyDescent="0.35">
      <c r="A2197" t="s">
        <v>296</v>
      </c>
      <c r="B2197" t="s">
        <v>1111</v>
      </c>
      <c r="C2197" t="s">
        <v>2242</v>
      </c>
      <c r="D2197">
        <v>85</v>
      </c>
      <c r="E2197">
        <v>85</v>
      </c>
      <c r="F2197">
        <v>1</v>
      </c>
      <c r="G2197">
        <v>1.0002009999999999</v>
      </c>
      <c r="H2197">
        <v>90.262500000000003</v>
      </c>
      <c r="J2197">
        <v>17885</v>
      </c>
      <c r="N2197" t="s">
        <v>204</v>
      </c>
      <c r="O2197">
        <f t="shared" si="102"/>
        <v>90.008039999999994</v>
      </c>
      <c r="P2197">
        <f t="shared" si="103"/>
        <v>0.31807500000001099</v>
      </c>
      <c r="Q2197">
        <f t="shared" si="104"/>
        <v>0.31807500000001099</v>
      </c>
      <c r="Y2197">
        <f>TREND(H2193:H2197,G2193:G2197,G2197)</f>
        <v>90.257348015182274</v>
      </c>
      <c r="Z2197">
        <f>ABS((Y2197-H2197)/80*100)</f>
        <v>6.4399810221615894E-3</v>
      </c>
      <c r="AH2197">
        <f>H2197-AG2144</f>
        <v>90.217064999999991</v>
      </c>
      <c r="AI2197">
        <f>100*(AH2197-O2197)/80</f>
        <v>0.26128124999999613</v>
      </c>
    </row>
    <row r="2198" spans="1:41" x14ac:dyDescent="0.35">
      <c r="A2198" t="s">
        <v>296</v>
      </c>
      <c r="B2198" t="s">
        <v>1111</v>
      </c>
      <c r="C2198" t="s">
        <v>2278</v>
      </c>
      <c r="D2198">
        <v>85</v>
      </c>
      <c r="E2198">
        <v>85</v>
      </c>
      <c r="F2198">
        <v>0</v>
      </c>
      <c r="G2198">
        <v>-1.64E-4</v>
      </c>
      <c r="H2198">
        <v>50.112499999999997</v>
      </c>
      <c r="J2198">
        <v>17902</v>
      </c>
      <c r="N2198" t="s">
        <v>204</v>
      </c>
      <c r="O2198">
        <f t="shared" si="102"/>
        <v>49.99344</v>
      </c>
      <c r="P2198">
        <f t="shared" si="103"/>
        <v>0.14882499999999688</v>
      </c>
      <c r="Q2198">
        <f t="shared" si="104"/>
        <v>0.14882499999999688</v>
      </c>
      <c r="Y2198">
        <f>TREND(H2193:H2197,G2193:G2197,G2198)</f>
        <v>50.122259830519589</v>
      </c>
      <c r="Z2198">
        <f>ABS((Y2198-H2198)/80*100)</f>
        <v>1.2199788149489521E-2</v>
      </c>
      <c r="AH2198">
        <f>H2198-AG2144</f>
        <v>50.067064999999992</v>
      </c>
      <c r="AI2198">
        <f>100*(AH2198-O2198)/80</f>
        <v>9.2031249999990905E-2</v>
      </c>
    </row>
    <row r="2199" spans="1:41" x14ac:dyDescent="0.35">
      <c r="A2199" t="s">
        <v>296</v>
      </c>
      <c r="B2199" t="s">
        <v>1111</v>
      </c>
      <c r="C2199" t="s">
        <v>2315</v>
      </c>
      <c r="D2199">
        <v>85</v>
      </c>
      <c r="E2199">
        <v>85</v>
      </c>
      <c r="F2199">
        <v>-1</v>
      </c>
      <c r="G2199">
        <v>-1.0002869999999999</v>
      </c>
      <c r="H2199">
        <v>10.1328125</v>
      </c>
      <c r="J2199">
        <v>17913</v>
      </c>
      <c r="N2199" t="s">
        <v>204</v>
      </c>
      <c r="O2199">
        <f t="shared" si="102"/>
        <v>9.988520000000003</v>
      </c>
      <c r="P2199">
        <f t="shared" si="103"/>
        <v>0.18036562499999631</v>
      </c>
      <c r="Q2199">
        <f t="shared" si="104"/>
        <v>0.18036562499999631</v>
      </c>
      <c r="Y2199">
        <f>TREND(H2193:H2197,G2193:G2197,G2199)</f>
        <v>9.9968807933587627</v>
      </c>
      <c r="Z2199">
        <f>ABS((Y2199-H2199)/80*100)</f>
        <v>0.16991463330154666</v>
      </c>
      <c r="AH2199">
        <f>H2199-AG2144</f>
        <v>10.087377499999995</v>
      </c>
      <c r="AI2199">
        <f>100*(AH2199-O2199)/80</f>
        <v>0.12357187499999034</v>
      </c>
    </row>
    <row r="2200" spans="1:41" x14ac:dyDescent="0.35">
      <c r="A2200" t="s">
        <v>296</v>
      </c>
      <c r="B2200" t="s">
        <v>1111</v>
      </c>
      <c r="C2200" t="s">
        <v>2352</v>
      </c>
      <c r="D2200">
        <v>25</v>
      </c>
      <c r="E2200">
        <v>25</v>
      </c>
      <c r="F2200">
        <v>-1</v>
      </c>
      <c r="G2200">
        <v>-1.000189</v>
      </c>
      <c r="H2200">
        <v>10.0546875</v>
      </c>
      <c r="J2200">
        <v>-5860</v>
      </c>
      <c r="N2200" t="s">
        <v>204</v>
      </c>
      <c r="O2200">
        <f t="shared" si="102"/>
        <v>9.9924400000000002</v>
      </c>
      <c r="P2200">
        <f t="shared" si="103"/>
        <v>7.7809374999999736E-2</v>
      </c>
      <c r="Q2200">
        <f t="shared" si="104"/>
        <v>7.7809374999999736E-2</v>
      </c>
      <c r="S2200">
        <v>49.96875</v>
      </c>
      <c r="T2200">
        <v>-3.90625E-2</v>
      </c>
      <c r="U2200">
        <v>90.206249999999997</v>
      </c>
      <c r="V2200">
        <v>0.25691249999999499</v>
      </c>
      <c r="W2200">
        <v>80.151565551757813</v>
      </c>
      <c r="X2200">
        <f>(W2200-80)/80*100</f>
        <v>0.18945693969726563</v>
      </c>
      <c r="Y2200">
        <f>TREND(H2200:H2204,G2200:G2204,G2200)</f>
        <v>9.9273423512187762</v>
      </c>
      <c r="Z2200">
        <f>ABS((Y2200-H2200)/80*100)</f>
        <v>0.15918143597652978</v>
      </c>
      <c r="AA2200">
        <f>MAX(Z2200:Z2204)</f>
        <v>0.16755955641761577</v>
      </c>
      <c r="AB2200">
        <f>IF(ABS(MAX(P2200:P2206)) &gt; ABS(MIN(P2200:P2206)),MAX(P2200:P2206), MIN(P2200:P2206))</f>
        <v>0.25691249999999499</v>
      </c>
      <c r="AC2200">
        <f>IF(ABS(AB2201)&gt;ABS(AB2200),AB2201,AB2200)</f>
        <v>0.25691249999999499</v>
      </c>
      <c r="AH2200">
        <f>H2200-AG2144</f>
        <v>10.009252499999995</v>
      </c>
      <c r="AI2200">
        <f>100*(AH2200-O2200)/80</f>
        <v>2.1015624999993765E-2</v>
      </c>
      <c r="AJ2200">
        <v>49.923314999999995</v>
      </c>
      <c r="AK2200">
        <v>-9.5856250000005971E-2</v>
      </c>
      <c r="AL2200">
        <v>90.160814999999985</v>
      </c>
      <c r="AM2200">
        <v>0.20011874999998014</v>
      </c>
      <c r="AN2200">
        <f>IF(ABS(MAX(AI2200:AI2206)) &gt; ABS(MIN(AI2200:AI2206)),MAX(AI2200:AI2206), MIN(AI2200:AI2206))</f>
        <v>-0.22894062500000256</v>
      </c>
      <c r="AO2200">
        <f>IF(ABS(AN2201)&gt;ABS(AN2200),AN2201,AN2200)</f>
        <v>-0.22894062500000256</v>
      </c>
    </row>
    <row r="2201" spans="1:41" x14ac:dyDescent="0.35">
      <c r="A2201" t="s">
        <v>296</v>
      </c>
      <c r="B2201" t="s">
        <v>1111</v>
      </c>
      <c r="C2201" t="s">
        <v>2389</v>
      </c>
      <c r="D2201">
        <v>25</v>
      </c>
      <c r="E2201">
        <v>25</v>
      </c>
      <c r="F2201">
        <v>-0.5</v>
      </c>
      <c r="G2201">
        <v>-0.50026800000000005</v>
      </c>
      <c r="H2201">
        <v>29.8515625</v>
      </c>
      <c r="J2201">
        <v>-5879</v>
      </c>
      <c r="N2201" t="s">
        <v>204</v>
      </c>
      <c r="O2201">
        <f t="shared" si="102"/>
        <v>29.989279999999997</v>
      </c>
      <c r="P2201">
        <f t="shared" si="103"/>
        <v>-0.17214687499999659</v>
      </c>
      <c r="Q2201">
        <f t="shared" si="104"/>
        <v>0.17214687499999659</v>
      </c>
      <c r="Y2201">
        <f>TREND(H2200:H2204,G2200:G2204,G2201)</f>
        <v>29.985610145134093</v>
      </c>
      <c r="Z2201">
        <f>ABS((Y2201-H2201)/80*100)</f>
        <v>0.16755955641761577</v>
      </c>
      <c r="AB2201">
        <f>IF(ABS(T2200) &gt; ABS(V2200),T2200,V2200)</f>
        <v>0.25691249999999499</v>
      </c>
      <c r="AH2201">
        <f>H2201-AG2144</f>
        <v>29.806127499999995</v>
      </c>
      <c r="AI2201">
        <f>100*(AH2201-O2201)/80</f>
        <v>-0.22894062500000256</v>
      </c>
      <c r="AN2201">
        <f>IF(ABS(AK2200) &gt; ABS(AM2200),AK2200,AM2200)</f>
        <v>0.20011874999998014</v>
      </c>
    </row>
    <row r="2202" spans="1:41" x14ac:dyDescent="0.35">
      <c r="A2202" t="s">
        <v>296</v>
      </c>
      <c r="B2202" t="s">
        <v>1111</v>
      </c>
      <c r="C2202" t="s">
        <v>2425</v>
      </c>
      <c r="D2202">
        <v>25</v>
      </c>
      <c r="E2202">
        <v>25</v>
      </c>
      <c r="F2202">
        <v>0</v>
      </c>
      <c r="G2202">
        <v>0</v>
      </c>
      <c r="H2202">
        <v>49.96875</v>
      </c>
      <c r="J2202">
        <v>-5909</v>
      </c>
      <c r="N2202" t="s">
        <v>204</v>
      </c>
      <c r="O2202">
        <f t="shared" si="102"/>
        <v>50</v>
      </c>
      <c r="P2202">
        <f t="shared" si="103"/>
        <v>-3.90625E-2</v>
      </c>
      <c r="Q2202">
        <f t="shared" si="104"/>
        <v>3.90625E-2</v>
      </c>
      <c r="Y2202">
        <f>TREND(H2200:H2204,G2200:G2204,G2202)</f>
        <v>50.057800576675135</v>
      </c>
      <c r="Z2202">
        <f>ABS((Y2202-H2202)/80*100)</f>
        <v>0.11131322084391826</v>
      </c>
      <c r="AH2202">
        <f>H2202-AG2144</f>
        <v>49.923314999999995</v>
      </c>
      <c r="AI2202">
        <f>100*(AH2202-O2202)/80</f>
        <v>-9.5856250000005971E-2</v>
      </c>
    </row>
    <row r="2203" spans="1:41" x14ac:dyDescent="0.35">
      <c r="A2203" t="s">
        <v>296</v>
      </c>
      <c r="B2203" t="s">
        <v>1111</v>
      </c>
      <c r="C2203" t="s">
        <v>2462</v>
      </c>
      <c r="D2203">
        <v>25</v>
      </c>
      <c r="E2203">
        <v>25</v>
      </c>
      <c r="F2203">
        <v>0.5</v>
      </c>
      <c r="G2203">
        <v>0.50009000000000003</v>
      </c>
      <c r="H2203">
        <v>70.193749999999994</v>
      </c>
      <c r="J2203">
        <v>-5925</v>
      </c>
      <c r="N2203" t="s">
        <v>204</v>
      </c>
      <c r="O2203">
        <f t="shared" si="102"/>
        <v>70.003600000000006</v>
      </c>
      <c r="P2203">
        <f t="shared" si="103"/>
        <v>0.23768749999998562</v>
      </c>
      <c r="Q2203">
        <f t="shared" si="104"/>
        <v>0.23768749999998562</v>
      </c>
      <c r="Y2203">
        <f>TREND(H2200:H2204,G2200:G2204,G2203)</f>
        <v>70.122849136465803</v>
      </c>
      <c r="Z2203">
        <f>ABS((Y2203-H2203)/80*100)</f>
        <v>8.8626079417739589E-2</v>
      </c>
      <c r="AH2203">
        <f>H2203-AG2144</f>
        <v>70.148314999999997</v>
      </c>
      <c r="AI2203">
        <f>100*(AH2203-O2203)/80</f>
        <v>0.18089374999998853</v>
      </c>
    </row>
    <row r="2204" spans="1:41" x14ac:dyDescent="0.35">
      <c r="A2204" t="s">
        <v>296</v>
      </c>
      <c r="B2204" t="s">
        <v>1111</v>
      </c>
      <c r="C2204" t="s">
        <v>2499</v>
      </c>
      <c r="D2204">
        <v>25</v>
      </c>
      <c r="E2204">
        <v>24.9</v>
      </c>
      <c r="F2204">
        <v>1</v>
      </c>
      <c r="G2204">
        <v>1.0000180000000001</v>
      </c>
      <c r="H2204">
        <v>90.206249999999997</v>
      </c>
      <c r="J2204">
        <v>-5955</v>
      </c>
      <c r="N2204" t="s">
        <v>204</v>
      </c>
      <c r="O2204">
        <f t="shared" si="102"/>
        <v>90.000720000000001</v>
      </c>
      <c r="P2204">
        <f t="shared" si="103"/>
        <v>0.25691249999999499</v>
      </c>
      <c r="Q2204">
        <f t="shared" si="104"/>
        <v>0.25691249999999499</v>
      </c>
      <c r="Y2204">
        <f>TREND(H2200:H2204,G2200:G2204,G2204)</f>
        <v>90.181397790506139</v>
      </c>
      <c r="Z2204">
        <f>ABS((Y2204-H2204)/80*100)</f>
        <v>3.1065261867322388E-2</v>
      </c>
      <c r="AH2204">
        <f>H2204-AG2144</f>
        <v>90.160814999999985</v>
      </c>
      <c r="AI2204">
        <f>100*(AH2204-O2204)/80</f>
        <v>0.20011874999998014</v>
      </c>
    </row>
    <row r="2205" spans="1:41" x14ac:dyDescent="0.35">
      <c r="A2205" t="s">
        <v>296</v>
      </c>
      <c r="B2205" t="s">
        <v>1111</v>
      </c>
      <c r="C2205" t="s">
        <v>2536</v>
      </c>
      <c r="D2205">
        <v>25</v>
      </c>
      <c r="E2205">
        <v>25</v>
      </c>
      <c r="F2205">
        <v>0</v>
      </c>
      <c r="G2205">
        <v>5.3999999999999998E-5</v>
      </c>
      <c r="H2205">
        <v>49.9921875</v>
      </c>
      <c r="J2205">
        <v>-5965</v>
      </c>
      <c r="N2205" t="s">
        <v>204</v>
      </c>
      <c r="O2205">
        <f t="shared" si="102"/>
        <v>50.002160000000003</v>
      </c>
      <c r="P2205">
        <f t="shared" si="103"/>
        <v>-1.2465625000004366E-2</v>
      </c>
      <c r="Q2205">
        <f t="shared" si="104"/>
        <v>1.2465625000004366E-2</v>
      </c>
      <c r="Y2205">
        <f>TREND(H2200:H2204,G2200:G2204,G2205)</f>
        <v>50.059967211925247</v>
      </c>
      <c r="Z2205">
        <f>ABS((Y2205-H2205)/80*100)</f>
        <v>8.4724639906559318E-2</v>
      </c>
      <c r="AH2205">
        <f>H2205-AG2144</f>
        <v>49.946752499999995</v>
      </c>
      <c r="AI2205">
        <f>100*(AH2205-O2205)/80</f>
        <v>-6.9259375000010337E-2</v>
      </c>
    </row>
    <row r="2206" spans="1:41" x14ac:dyDescent="0.35">
      <c r="A2206" t="s">
        <v>296</v>
      </c>
      <c r="B2206" t="s">
        <v>1111</v>
      </c>
      <c r="C2206" t="s">
        <v>2571</v>
      </c>
      <c r="D2206">
        <v>25</v>
      </c>
      <c r="E2206">
        <v>25</v>
      </c>
      <c r="F2206">
        <v>-1</v>
      </c>
      <c r="G2206">
        <v>-1.000027</v>
      </c>
      <c r="H2206">
        <v>10.106249999999999</v>
      </c>
      <c r="J2206">
        <v>-5980</v>
      </c>
      <c r="N2206" t="s">
        <v>204</v>
      </c>
      <c r="O2206">
        <f t="shared" si="102"/>
        <v>9.99892</v>
      </c>
      <c r="P2206">
        <f t="shared" si="103"/>
        <v>0.13416249999999907</v>
      </c>
      <c r="Q2206">
        <f t="shared" si="104"/>
        <v>0.13416249999999907</v>
      </c>
      <c r="Y2206">
        <f>TREND(H2200:H2204,G2200:G2204,G2206)</f>
        <v>9.9338422569691147</v>
      </c>
      <c r="Z2206">
        <f>ABS((Y2206-H2206)/80*100)</f>
        <v>0.21550967878860572</v>
      </c>
      <c r="AH2206">
        <f>H2206-AG2144</f>
        <v>10.060814999999995</v>
      </c>
      <c r="AI2206">
        <f>100*(AH2206-O2206)/80</f>
        <v>7.7368749999993103E-2</v>
      </c>
    </row>
    <row r="2207" spans="1:41" x14ac:dyDescent="0.35">
      <c r="A2207" t="s">
        <v>298</v>
      </c>
      <c r="B2207" t="s">
        <v>231</v>
      </c>
      <c r="C2207" t="s">
        <v>299</v>
      </c>
      <c r="D2207">
        <v>25</v>
      </c>
      <c r="E2207">
        <v>25</v>
      </c>
      <c r="F2207">
        <v>-1</v>
      </c>
      <c r="G2207">
        <v>-1.000062</v>
      </c>
      <c r="H2207">
        <v>9.7359375000000004</v>
      </c>
      <c r="J2207">
        <v>-6205</v>
      </c>
      <c r="N2207" t="s">
        <v>205</v>
      </c>
      <c r="O2207">
        <f t="shared" si="102"/>
        <v>9.9975199999999997</v>
      </c>
      <c r="P2207">
        <f t="shared" si="103"/>
        <v>-0.32697812499999923</v>
      </c>
      <c r="Q2207">
        <f t="shared" si="104"/>
        <v>0.32697812499999923</v>
      </c>
      <c r="S2207">
        <v>49.90625</v>
      </c>
      <c r="T2207">
        <v>-0.11778749999999505</v>
      </c>
      <c r="U2207">
        <v>90.076562499999994</v>
      </c>
      <c r="V2207">
        <v>0.10020312500000017</v>
      </c>
      <c r="W2207">
        <v>80.340623474121088</v>
      </c>
      <c r="X2207">
        <f>(W2207-80)/80*100</f>
        <v>0.42577934265136008</v>
      </c>
      <c r="Y2207">
        <f>TREND(H2207:H2211,G2207:G2211,G2207)</f>
        <v>9.6973821044090158</v>
      </c>
      <c r="Z2207">
        <f>ABS((Y2207-H2207)/80*100)</f>
        <v>4.8194244488730664E-2</v>
      </c>
      <c r="AA2207">
        <f>MAX(Z2207:Z2211)</f>
        <v>9.1096830696528741E-2</v>
      </c>
      <c r="AB2207">
        <f>IF(ABS(MAX(P2207:P2213)) &gt; ABS(MIN(P2207:P2213)),MAX(P2207:P2213), MIN(P2207:P2213))</f>
        <v>-0.38346875000000002</v>
      </c>
      <c r="AC2207">
        <f>IF(ABS(AB2208)&gt;ABS(AB2207),AB2208,AB2207)</f>
        <v>-0.38346875000000002</v>
      </c>
      <c r="AD2207">
        <f>MAX(AD2208:AD2209)</f>
        <v>5.6490625000000794E-2</v>
      </c>
      <c r="AE2207">
        <f>MAX(AE2208:AE2228)</f>
        <v>0.26848124999999889</v>
      </c>
      <c r="AF2207">
        <f>MAX(AD2207,AA2207)</f>
        <v>9.1096830696528741E-2</v>
      </c>
      <c r="AG2207">
        <f>H2209-O2209</f>
        <v>-9.4229999999996039E-2</v>
      </c>
      <c r="AH2207">
        <f>H2207-AG2207</f>
        <v>9.8301674999999964</v>
      </c>
      <c r="AI2207">
        <f>100*(AH2207-O2207)/80</f>
        <v>-0.20919062500000418</v>
      </c>
      <c r="AJ2207">
        <v>50.000479999999996</v>
      </c>
      <c r="AK2207">
        <v>0</v>
      </c>
      <c r="AL2207">
        <v>90.17079249999999</v>
      </c>
      <c r="AM2207">
        <v>0.21799062499999522</v>
      </c>
      <c r="AN2207">
        <f>IF(ABS(MAX(AI2207:AI2213)) &gt; ABS(MIN(AI2207:AI2213)),MAX(AI2207:AI2213), MIN(AI2207:AI2213))</f>
        <v>-0.26568125000000498</v>
      </c>
      <c r="AO2207">
        <f>IF(ABS(AN2208)&gt;ABS(AN2207),AN2208,AN2207)</f>
        <v>-0.26568125000000498</v>
      </c>
    </row>
    <row r="2208" spans="1:41" x14ac:dyDescent="0.35">
      <c r="A2208" t="s">
        <v>298</v>
      </c>
      <c r="B2208" t="s">
        <v>231</v>
      </c>
      <c r="C2208" t="s">
        <v>340</v>
      </c>
      <c r="D2208">
        <v>25</v>
      </c>
      <c r="E2208">
        <v>25</v>
      </c>
      <c r="F2208">
        <v>-0.5</v>
      </c>
      <c r="G2208">
        <v>-0.50010600000000005</v>
      </c>
      <c r="H2208">
        <v>29.725000000000001</v>
      </c>
      <c r="J2208">
        <v>-6214</v>
      </c>
      <c r="N2208" t="s">
        <v>205</v>
      </c>
      <c r="O2208">
        <f t="shared" si="102"/>
        <v>29.995759999999997</v>
      </c>
      <c r="P2208">
        <f t="shared" si="103"/>
        <v>-0.33844999999999459</v>
      </c>
      <c r="Q2208">
        <f t="shared" si="104"/>
        <v>0.33844999999999459</v>
      </c>
      <c r="Y2208">
        <f>TREND(H2207:H2211,G2207:G2211,G2208)</f>
        <v>29.797877464557224</v>
      </c>
      <c r="Z2208">
        <f>ABS((Y2208-H2208)/80*100)</f>
        <v>9.1096830696528741E-2</v>
      </c>
      <c r="AB2208">
        <f>IF(ABS(T2207) &gt; ABS(V2207),T2207,V2207)</f>
        <v>-0.11778749999999505</v>
      </c>
      <c r="AD2208">
        <f>ABS(P2209-P2212)</f>
        <v>1.4975000000010397E-2</v>
      </c>
      <c r="AE2208">
        <f>ABS(P2235-P2207)</f>
        <v>0.25355624999999549</v>
      </c>
      <c r="AH2208">
        <f>H2208-AG2207</f>
        <v>29.819229999999997</v>
      </c>
      <c r="AI2208">
        <f>100*(AH2208-O2208)/80</f>
        <v>-0.22066249999999954</v>
      </c>
      <c r="AN2208">
        <f>IF(ABS(AK2207) &gt; ABS(AM2207),AK2207,AM2207)</f>
        <v>0.21799062499999522</v>
      </c>
    </row>
    <row r="2209" spans="1:41" x14ac:dyDescent="0.35">
      <c r="A2209" t="s">
        <v>298</v>
      </c>
      <c r="B2209" t="s">
        <v>231</v>
      </c>
      <c r="C2209" t="s">
        <v>376</v>
      </c>
      <c r="D2209">
        <v>25</v>
      </c>
      <c r="E2209">
        <v>25</v>
      </c>
      <c r="F2209">
        <v>0</v>
      </c>
      <c r="G2209">
        <v>1.2E-5</v>
      </c>
      <c r="H2209">
        <v>49.90625</v>
      </c>
      <c r="J2209">
        <v>-6216</v>
      </c>
      <c r="N2209" t="s">
        <v>205</v>
      </c>
      <c r="O2209">
        <f t="shared" si="102"/>
        <v>50.000479999999996</v>
      </c>
      <c r="P2209">
        <f t="shared" si="103"/>
        <v>-0.11778749999999505</v>
      </c>
      <c r="Q2209">
        <f t="shared" si="104"/>
        <v>0.11778749999999505</v>
      </c>
      <c r="Y2209">
        <f>TREND(H2207:H2211,G2207:G2211,G2209)</f>
        <v>49.904885958357887</v>
      </c>
      <c r="Z2209">
        <f>ABS((Y2209-H2209)/80*100)</f>
        <v>1.7050520526407098E-3</v>
      </c>
      <c r="AD2209">
        <f>ABS(P2207-P2213)</f>
        <v>5.6490625000000794E-2</v>
      </c>
      <c r="AE2209">
        <f>ABS(P2236-P2208)</f>
        <v>0.24473437500000639</v>
      </c>
      <c r="AH2209">
        <f>H2209-AG2207</f>
        <v>50.000479999999996</v>
      </c>
      <c r="AI2209">
        <f>100*(AH2209-O2209)/80</f>
        <v>0</v>
      </c>
    </row>
    <row r="2210" spans="1:41" x14ac:dyDescent="0.35">
      <c r="A2210" t="s">
        <v>298</v>
      </c>
      <c r="B2210" t="s">
        <v>231</v>
      </c>
      <c r="C2210" t="s">
        <v>413</v>
      </c>
      <c r="D2210">
        <v>25</v>
      </c>
      <c r="E2210">
        <v>25</v>
      </c>
      <c r="F2210">
        <v>0.5</v>
      </c>
      <c r="G2210">
        <v>0.50008699999999995</v>
      </c>
      <c r="H2210">
        <v>70.071875000000006</v>
      </c>
      <c r="J2210">
        <v>-6203</v>
      </c>
      <c r="N2210" t="s">
        <v>205</v>
      </c>
      <c r="O2210">
        <f t="shared" si="102"/>
        <v>70.003479999999996</v>
      </c>
      <c r="P2210">
        <f t="shared" si="103"/>
        <v>8.5493750000011914E-2</v>
      </c>
      <c r="Q2210">
        <f t="shared" si="104"/>
        <v>8.5493750000011914E-2</v>
      </c>
      <c r="Y2210">
        <f>TREND(H2207:H2211,G2207:G2211,G2210)</f>
        <v>70.010165657423627</v>
      </c>
      <c r="Z2210">
        <f>ABS((Y2210-H2210)/80*100)</f>
        <v>7.7136678220472987E-2</v>
      </c>
      <c r="AE2210">
        <f>ABS(P2237-P2209)</f>
        <v>0.19548750000001114</v>
      </c>
      <c r="AH2210">
        <f>H2210-AG2207</f>
        <v>70.166105000000002</v>
      </c>
      <c r="AI2210">
        <f>100*(AH2210-O2210)/80</f>
        <v>0.20328125000000696</v>
      </c>
    </row>
    <row r="2211" spans="1:41" x14ac:dyDescent="0.35">
      <c r="A2211" t="s">
        <v>298</v>
      </c>
      <c r="B2211" t="s">
        <v>231</v>
      </c>
      <c r="C2211" t="s">
        <v>450</v>
      </c>
      <c r="D2211">
        <v>25</v>
      </c>
      <c r="E2211">
        <v>25</v>
      </c>
      <c r="F2211">
        <v>1</v>
      </c>
      <c r="G2211">
        <v>0.99990999999999997</v>
      </c>
      <c r="H2211">
        <v>90.076562499999994</v>
      </c>
      <c r="J2211">
        <v>-6216</v>
      </c>
      <c r="N2211" t="s">
        <v>205</v>
      </c>
      <c r="O2211">
        <f t="shared" si="102"/>
        <v>89.996399999999994</v>
      </c>
      <c r="P2211">
        <f t="shared" si="103"/>
        <v>0.10020312500000017</v>
      </c>
      <c r="Q2211">
        <f t="shared" si="104"/>
        <v>0.10020312500000017</v>
      </c>
      <c r="Y2211">
        <f>TREND(H2207:H2211,G2207:G2211,G2211)</f>
        <v>90.105313815252231</v>
      </c>
      <c r="Z2211">
        <f>ABS((Y2211-H2211)/80*100)</f>
        <v>3.5939144065295636E-2</v>
      </c>
      <c r="AE2211">
        <f>ABS(P2238-P2210)</f>
        <v>0.15391562500001399</v>
      </c>
      <c r="AH2211">
        <f>H2211-AG2207</f>
        <v>90.17079249999999</v>
      </c>
      <c r="AI2211">
        <f>100*(AH2211-O2211)/80</f>
        <v>0.21799062499999522</v>
      </c>
    </row>
    <row r="2212" spans="1:41" x14ac:dyDescent="0.35">
      <c r="A2212" t="s">
        <v>298</v>
      </c>
      <c r="B2212" t="s">
        <v>231</v>
      </c>
      <c r="C2212" t="s">
        <v>487</v>
      </c>
      <c r="D2212">
        <v>25</v>
      </c>
      <c r="E2212">
        <v>25</v>
      </c>
      <c r="F2212">
        <v>0</v>
      </c>
      <c r="G2212">
        <v>-9.9999999999999995E-7</v>
      </c>
      <c r="H2212">
        <v>49.893749999999997</v>
      </c>
      <c r="J2212">
        <v>-6212</v>
      </c>
      <c r="N2212" t="s">
        <v>205</v>
      </c>
      <c r="O2212">
        <f t="shared" si="102"/>
        <v>49.999960000000002</v>
      </c>
      <c r="P2212">
        <f t="shared" si="103"/>
        <v>-0.13276250000000545</v>
      </c>
      <c r="Q2212">
        <f t="shared" si="104"/>
        <v>0.13276250000000545</v>
      </c>
      <c r="Y2212">
        <f>TREND(H2207:H2211,G2207:G2211,G2212)</f>
        <v>49.904363299484544</v>
      </c>
      <c r="Z2212">
        <f>ABS((Y2212-H2212)/80*100)</f>
        <v>1.3266624355683375E-2</v>
      </c>
      <c r="AE2212">
        <f>ABS(P2239-P2211)</f>
        <v>8.618124999999921E-2</v>
      </c>
      <c r="AH2212">
        <f>H2212-AG2207</f>
        <v>49.987979999999993</v>
      </c>
      <c r="AI2212">
        <f>100*(AH2212-O2212)/80</f>
        <v>-1.4975000000010397E-2</v>
      </c>
    </row>
    <row r="2213" spans="1:41" x14ac:dyDescent="0.35">
      <c r="A2213" t="s">
        <v>298</v>
      </c>
      <c r="B2213" t="s">
        <v>231</v>
      </c>
      <c r="C2213" t="s">
        <v>524</v>
      </c>
      <c r="D2213">
        <v>25</v>
      </c>
      <c r="E2213">
        <v>25</v>
      </c>
      <c r="F2213">
        <v>-1</v>
      </c>
      <c r="G2213">
        <v>-1.000065</v>
      </c>
      <c r="H2213">
        <v>9.6906250000000007</v>
      </c>
      <c r="J2213">
        <v>-6216</v>
      </c>
      <c r="N2213" t="s">
        <v>205</v>
      </c>
      <c r="O2213">
        <f t="shared" si="102"/>
        <v>9.9974000000000007</v>
      </c>
      <c r="P2213">
        <f t="shared" si="103"/>
        <v>-0.38346875000000002</v>
      </c>
      <c r="Q2213">
        <f t="shared" si="104"/>
        <v>0.38346875000000002</v>
      </c>
      <c r="Y2213">
        <f>TREND(H2207:H2211,G2207:G2211,G2213)</f>
        <v>9.6972614908228607</v>
      </c>
      <c r="Z2213">
        <f>ABS((Y2213-H2213)/80*100)</f>
        <v>8.2956135285749966E-3</v>
      </c>
      <c r="AE2213">
        <f>ABS(P2240-P2212)</f>
        <v>0.26848124999999889</v>
      </c>
      <c r="AH2213">
        <f>H2213-AG2207</f>
        <v>9.7848549999999967</v>
      </c>
      <c r="AI2213">
        <f>100*(AH2213-O2213)/80</f>
        <v>-0.26568125000000498</v>
      </c>
    </row>
    <row r="2214" spans="1:41" x14ac:dyDescent="0.35">
      <c r="A2214" t="s">
        <v>298</v>
      </c>
      <c r="B2214" t="s">
        <v>231</v>
      </c>
      <c r="C2214" t="s">
        <v>561</v>
      </c>
      <c r="D2214">
        <v>-20</v>
      </c>
      <c r="E2214">
        <v>-20.100000000000001</v>
      </c>
      <c r="F2214">
        <v>-1</v>
      </c>
      <c r="G2214">
        <v>-1.000068</v>
      </c>
      <c r="H2214">
        <v>13.6640625</v>
      </c>
      <c r="J2214">
        <v>-24596</v>
      </c>
      <c r="N2214" t="s">
        <v>205</v>
      </c>
      <c r="O2214">
        <f t="shared" si="102"/>
        <v>9.9972800000000017</v>
      </c>
      <c r="P2214">
        <f t="shared" si="103"/>
        <v>4.5834781249999974</v>
      </c>
      <c r="Q2214">
        <f t="shared" si="104"/>
        <v>4.5834781249999974</v>
      </c>
      <c r="S2214">
        <v>53.006250000000001</v>
      </c>
      <c r="T2214">
        <v>3.7981125000000033</v>
      </c>
      <c r="U2214">
        <v>50</v>
      </c>
      <c r="V2214">
        <v>-49.99560000000001</v>
      </c>
      <c r="W2214">
        <v>36.3359375</v>
      </c>
      <c r="X2214">
        <f>(W2214-80)/80*100</f>
        <v>-54.580078125</v>
      </c>
      <c r="Y2214">
        <f>TREND(H2214:H2218,G2214:G2218,G2214)</f>
        <v>22.150503497426563</v>
      </c>
      <c r="Z2214">
        <f>ABS((Y2214-H2214)/80*100)</f>
        <v>10.608051246783203</v>
      </c>
      <c r="AA2214">
        <f>MAX(Z2214:Z2218)</f>
        <v>21.107955093174446</v>
      </c>
      <c r="AB2214">
        <f>IF(ABS(MAX(P2214:P2220)) &gt; ABS(MIN(P2214:P2220)),MAX(P2214:P2220), MIN(P2214:P2220))</f>
        <v>-49.99560000000001</v>
      </c>
      <c r="AC2214">
        <f>IF(ABS(AB2215)&gt;ABS(AB2214),AB2215,AB2214)</f>
        <v>-49.99560000000001</v>
      </c>
      <c r="AE2214">
        <f>ABS(P2241-P2213)</f>
        <v>0.17357187500000038</v>
      </c>
      <c r="AH2214">
        <f>H2214-AG2207</f>
        <v>13.758292499999996</v>
      </c>
      <c r="AI2214">
        <f>100*(AH2214-O2214)/80</f>
        <v>4.7012656249999925</v>
      </c>
      <c r="AJ2214">
        <v>53.100479999999997</v>
      </c>
      <c r="AK2214">
        <v>3.9158999999999993</v>
      </c>
      <c r="AL2214">
        <v>50.094229999999996</v>
      </c>
      <c r="AM2214">
        <v>-49.877812500000012</v>
      </c>
      <c r="AN2214">
        <f>IF(ABS(MAX(AI2214:AI2220)) &gt; ABS(MIN(AI2214:AI2220)),MAX(AI2214:AI2220), MIN(AI2214:AI2220))</f>
        <v>-49.877812500000012</v>
      </c>
      <c r="AO2214">
        <f>IF(ABS(AN2215)&gt;ABS(AN2214),AN2215,AN2214)</f>
        <v>-49.877812500000012</v>
      </c>
    </row>
    <row r="2215" spans="1:41" x14ac:dyDescent="0.35">
      <c r="A2215" t="s">
        <v>298</v>
      </c>
      <c r="B2215" t="s">
        <v>231</v>
      </c>
      <c r="C2215" t="s">
        <v>598</v>
      </c>
      <c r="D2215">
        <v>-20</v>
      </c>
      <c r="E2215">
        <v>-19.899999999999999</v>
      </c>
      <c r="F2215">
        <v>-0.5</v>
      </c>
      <c r="G2215">
        <v>-0.50006300000000004</v>
      </c>
      <c r="H2215">
        <v>33.365625000000001</v>
      </c>
      <c r="J2215">
        <v>-24598</v>
      </c>
      <c r="N2215" t="s">
        <v>205</v>
      </c>
      <c r="O2215">
        <f t="shared" si="102"/>
        <v>29.997479999999999</v>
      </c>
      <c r="P2215">
        <f t="shared" si="103"/>
        <v>4.2101812500000024</v>
      </c>
      <c r="Q2215">
        <f t="shared" si="104"/>
        <v>4.2101812500000024</v>
      </c>
      <c r="Y2215">
        <f>TREND(H2214:H2218,G2214:G2218,G2215)</f>
        <v>33.334692323244511</v>
      </c>
      <c r="Z2215">
        <f>ABS((Y2215-H2215)/80*100)</f>
        <v>3.8665845944363397E-2</v>
      </c>
      <c r="AB2215">
        <f>IF(ABS(T2214) &gt; ABS(V2214),T2214,V2214)</f>
        <v>-49.99560000000001</v>
      </c>
      <c r="AE2215">
        <f>ABS(P2263-P2207)</f>
        <v>0.12851249999999981</v>
      </c>
      <c r="AH2215">
        <f>H2215-AG2207</f>
        <v>33.459854999999997</v>
      </c>
      <c r="AI2215">
        <f>100*(AH2215-O2215)/80</f>
        <v>4.3279687499999975</v>
      </c>
      <c r="AN2215">
        <f>IF(ABS(AK2214) &gt; ABS(AM2214),AK2214,AM2214)</f>
        <v>-49.877812500000012</v>
      </c>
    </row>
    <row r="2216" spans="1:41" x14ac:dyDescent="0.35">
      <c r="A2216" t="s">
        <v>298</v>
      </c>
      <c r="B2216" t="s">
        <v>231</v>
      </c>
      <c r="C2216" t="s">
        <v>635</v>
      </c>
      <c r="D2216">
        <v>-20</v>
      </c>
      <c r="E2216">
        <v>-20</v>
      </c>
      <c r="F2216">
        <v>0</v>
      </c>
      <c r="G2216">
        <v>-8.0599999999999997E-4</v>
      </c>
      <c r="H2216">
        <v>53.006250000000001</v>
      </c>
      <c r="J2216">
        <v>-24622</v>
      </c>
      <c r="N2216" t="s">
        <v>205</v>
      </c>
      <c r="O2216">
        <f t="shared" si="102"/>
        <v>49.967759999999998</v>
      </c>
      <c r="P2216">
        <f t="shared" si="103"/>
        <v>3.7981125000000033</v>
      </c>
      <c r="Q2216">
        <f t="shared" si="104"/>
        <v>3.7981125000000033</v>
      </c>
      <c r="Y2216">
        <f>TREND(H2214:H2218,G2214:G2218,G2216)</f>
        <v>44.502149769892831</v>
      </c>
      <c r="Z2216">
        <f>ABS((Y2216-H2216)/80*100)</f>
        <v>10.630125287633962</v>
      </c>
      <c r="AE2216">
        <f>ABS(P2264-P2208)</f>
        <v>9.4931250000009904E-2</v>
      </c>
      <c r="AH2216">
        <f>H2216-AG2207</f>
        <v>53.100479999999997</v>
      </c>
      <c r="AI2216">
        <f>100*(AH2216-O2216)/80</f>
        <v>3.9158999999999993</v>
      </c>
    </row>
    <row r="2217" spans="1:41" x14ac:dyDescent="0.35">
      <c r="A2217" t="s">
        <v>298</v>
      </c>
      <c r="B2217" t="s">
        <v>231</v>
      </c>
      <c r="C2217" t="s">
        <v>670</v>
      </c>
      <c r="D2217">
        <v>-20</v>
      </c>
      <c r="E2217">
        <v>-20</v>
      </c>
      <c r="F2217">
        <v>0.5</v>
      </c>
      <c r="G2217">
        <v>0.50007699999999999</v>
      </c>
      <c r="H2217">
        <v>72.543750000000003</v>
      </c>
      <c r="J2217">
        <v>-24624</v>
      </c>
      <c r="N2217" t="s">
        <v>205</v>
      </c>
      <c r="O2217">
        <f t="shared" si="102"/>
        <v>70.003080000000011</v>
      </c>
      <c r="P2217">
        <f t="shared" si="103"/>
        <v>3.1758374999999894</v>
      </c>
      <c r="Q2217">
        <f t="shared" si="104"/>
        <v>3.1758374999999894</v>
      </c>
      <c r="Y2217">
        <f>TREND(H2214:H2218,G2214:G2218,G2217)</f>
        <v>55.70597783489653</v>
      </c>
      <c r="Z2217">
        <f>ABS((Y2217-H2217)/80*100)</f>
        <v>21.047215206379342</v>
      </c>
      <c r="AE2217">
        <f>ABS(P2265-P2209)</f>
        <v>0.10237187500000466</v>
      </c>
      <c r="AH2217">
        <f>H2217-AG2207</f>
        <v>72.637979999999999</v>
      </c>
      <c r="AI2217">
        <f>100*(AH2217-O2217)/80</f>
        <v>3.2936249999999845</v>
      </c>
    </row>
    <row r="2218" spans="1:41" x14ac:dyDescent="0.35">
      <c r="A2218" t="s">
        <v>298</v>
      </c>
      <c r="B2218" t="s">
        <v>231</v>
      </c>
      <c r="C2218" t="s">
        <v>707</v>
      </c>
      <c r="D2218">
        <v>-20</v>
      </c>
      <c r="E2218">
        <v>-20</v>
      </c>
      <c r="F2218">
        <v>1</v>
      </c>
      <c r="G2218">
        <v>0.99991200000000002</v>
      </c>
      <c r="H2218">
        <v>50</v>
      </c>
      <c r="J2218">
        <v>-24631</v>
      </c>
      <c r="N2218" t="s">
        <v>205</v>
      </c>
      <c r="O2218">
        <f t="shared" si="102"/>
        <v>89.996480000000005</v>
      </c>
      <c r="P2218">
        <f t="shared" si="103"/>
        <v>-49.99560000000001</v>
      </c>
      <c r="Q2218">
        <f t="shared" si="104"/>
        <v>49.99560000000001</v>
      </c>
      <c r="Y2218">
        <f>TREND(H2214:H2218,G2214:G2218,G2218)</f>
        <v>66.886364074539557</v>
      </c>
      <c r="Z2218">
        <f>ABS((Y2218-H2218)/80*100)</f>
        <v>21.107955093174446</v>
      </c>
      <c r="AE2218">
        <f>ABS(P2266-P2210)</f>
        <v>0.13240937500002659</v>
      </c>
      <c r="AH2218">
        <f>H2218-AG2207</f>
        <v>50.094229999999996</v>
      </c>
      <c r="AI2218">
        <f>100*(AH2218-O2218)/80</f>
        <v>-49.877812500000012</v>
      </c>
    </row>
    <row r="2219" spans="1:41" x14ac:dyDescent="0.35">
      <c r="A2219" t="s">
        <v>298</v>
      </c>
      <c r="B2219" t="s">
        <v>231</v>
      </c>
      <c r="C2219" t="s">
        <v>744</v>
      </c>
      <c r="D2219">
        <v>-20</v>
      </c>
      <c r="E2219">
        <v>-20</v>
      </c>
      <c r="F2219">
        <v>0</v>
      </c>
      <c r="G2219">
        <v>3.1999999999999999E-5</v>
      </c>
      <c r="H2219">
        <v>53.028125000000003</v>
      </c>
      <c r="J2219">
        <v>-24628</v>
      </c>
      <c r="N2219" t="s">
        <v>205</v>
      </c>
      <c r="O2219">
        <f t="shared" si="102"/>
        <v>50.001280000000001</v>
      </c>
      <c r="P2219">
        <f t="shared" si="103"/>
        <v>3.7835562500000024</v>
      </c>
      <c r="Q2219">
        <f t="shared" si="104"/>
        <v>3.7835562500000024</v>
      </c>
      <c r="Y2219">
        <f>TREND(H2214:H2218,G2214:G2218,G2219)</f>
        <v>44.520894282919777</v>
      </c>
      <c r="Z2219">
        <f>ABS((Y2219-H2219)/80*100)</f>
        <v>10.634038396350283</v>
      </c>
      <c r="AE2219">
        <f>ABS(P2267-P2211)</f>
        <v>4.6125000000074579E-3</v>
      </c>
      <c r="AH2219">
        <f>H2219-AG2207</f>
        <v>53.122354999999999</v>
      </c>
      <c r="AI2219">
        <f>100*(AH2219-O2219)/80</f>
        <v>3.9013437499999966</v>
      </c>
    </row>
    <row r="2220" spans="1:41" x14ac:dyDescent="0.35">
      <c r="A2220" t="s">
        <v>298</v>
      </c>
      <c r="B2220" t="s">
        <v>231</v>
      </c>
      <c r="C2220" t="s">
        <v>779</v>
      </c>
      <c r="D2220">
        <v>-20</v>
      </c>
      <c r="E2220">
        <v>-20.100000000000001</v>
      </c>
      <c r="F2220">
        <v>-1</v>
      </c>
      <c r="G2220">
        <v>-1.000081</v>
      </c>
      <c r="H2220">
        <v>13.65625</v>
      </c>
      <c r="J2220">
        <v>-24633</v>
      </c>
      <c r="N2220" t="s">
        <v>205</v>
      </c>
      <c r="O2220">
        <f t="shared" si="102"/>
        <v>9.9967600000000001</v>
      </c>
      <c r="P2220">
        <f t="shared" si="103"/>
        <v>4.5743625000000003</v>
      </c>
      <c r="Q2220">
        <f t="shared" si="104"/>
        <v>4.5743625000000003</v>
      </c>
      <c r="Y2220">
        <f>TREND(H2214:H2218,G2214:G2218,G2220)</f>
        <v>22.150212711424953</v>
      </c>
      <c r="Z2220">
        <f>ABS((Y2220-H2220)/80*100)</f>
        <v>10.617453389281192</v>
      </c>
      <c r="AE2220">
        <f>ABS(P2268-P2212)</f>
        <v>8.618749999998343E-2</v>
      </c>
      <c r="AH2220">
        <f>H2220-AG2207</f>
        <v>13.750479999999996</v>
      </c>
      <c r="AI2220">
        <f>100*(AH2220-O2220)/80</f>
        <v>4.6921499999999954</v>
      </c>
    </row>
    <row r="2221" spans="1:41" x14ac:dyDescent="0.35">
      <c r="A2221" t="s">
        <v>298</v>
      </c>
      <c r="B2221" t="s">
        <v>231</v>
      </c>
      <c r="C2221" t="s">
        <v>816</v>
      </c>
      <c r="D2221">
        <v>0</v>
      </c>
      <c r="E2221">
        <v>-0.2</v>
      </c>
      <c r="F2221">
        <v>-1</v>
      </c>
      <c r="G2221">
        <v>-0.999915</v>
      </c>
      <c r="H2221">
        <v>10.9234375</v>
      </c>
      <c r="J2221">
        <v>-16768</v>
      </c>
      <c r="N2221" t="s">
        <v>205</v>
      </c>
      <c r="O2221">
        <f t="shared" si="102"/>
        <v>10.003399999999999</v>
      </c>
      <c r="P2221">
        <f t="shared" si="103"/>
        <v>1.1500468750000015</v>
      </c>
      <c r="Q2221">
        <f t="shared" si="104"/>
        <v>1.1500468750000015</v>
      </c>
      <c r="S2221">
        <v>50.854687499999997</v>
      </c>
      <c r="T2221">
        <v>1.088859375000002</v>
      </c>
      <c r="U2221">
        <v>90.609375</v>
      </c>
      <c r="V2221">
        <v>0.77706874999998732</v>
      </c>
      <c r="W2221">
        <v>79.685937499999994</v>
      </c>
      <c r="X2221">
        <f>(W2221-80)/80*100</f>
        <v>-0.39257812500000705</v>
      </c>
      <c r="Y2221">
        <f>TREND(H2221:H2225,G2221:G2225,G2221)</f>
        <v>10.942209132133911</v>
      </c>
      <c r="Z2221">
        <f>ABS((Y2221-H2221)/80*100)</f>
        <v>2.3464540167388304E-2</v>
      </c>
      <c r="AA2221">
        <f>MAX(Z2221:Z2225)</f>
        <v>0.1085747357560507</v>
      </c>
      <c r="AB2221">
        <f>IF(ABS(MAX(P2221:P2227)) &gt; ABS(MIN(P2221:P2227)),MAX(P2221:P2227), MIN(P2221:P2227))</f>
        <v>1.1500468750000015</v>
      </c>
      <c r="AC2221">
        <f>IF(ABS(AB2222)&gt;ABS(AB2221),AB2222,AB2221)</f>
        <v>1.1500468750000015</v>
      </c>
      <c r="AE2221">
        <f>ABS(P2269-P2213)</f>
        <v>0.12984687500000369</v>
      </c>
      <c r="AH2221">
        <f>H2221-AG2207</f>
        <v>11.017667499999996</v>
      </c>
      <c r="AI2221">
        <f>100*(AH2221-O2221)/80</f>
        <v>1.2678343749999965</v>
      </c>
      <c r="AJ2221">
        <v>50.948917499999993</v>
      </c>
      <c r="AK2221">
        <v>1.206646874999997</v>
      </c>
      <c r="AL2221">
        <v>90.703604999999996</v>
      </c>
      <c r="AM2221">
        <v>0.89485624999998237</v>
      </c>
      <c r="AN2221">
        <f>IF(ABS(MAX(AI2221:AI2227)) &gt; ABS(MIN(AI2221:AI2227)),MAX(AI2221:AI2227), MIN(AI2221:AI2227))</f>
        <v>1.2678343749999965</v>
      </c>
      <c r="AO2221">
        <f>IF(ABS(AN2222)&gt;ABS(AN2221),AN2222,AN2221)</f>
        <v>1.2678343749999965</v>
      </c>
    </row>
    <row r="2222" spans="1:41" x14ac:dyDescent="0.35">
      <c r="A2222" t="s">
        <v>298</v>
      </c>
      <c r="B2222" t="s">
        <v>231</v>
      </c>
      <c r="C2222" t="s">
        <v>853</v>
      </c>
      <c r="D2222">
        <v>0</v>
      </c>
      <c r="E2222">
        <v>0.1</v>
      </c>
      <c r="F2222">
        <v>-0.5</v>
      </c>
      <c r="G2222">
        <v>-0.49996299999999999</v>
      </c>
      <c r="H2222">
        <v>30.84375</v>
      </c>
      <c r="J2222">
        <v>-16733</v>
      </c>
      <c r="N2222" t="s">
        <v>205</v>
      </c>
      <c r="O2222">
        <f t="shared" si="102"/>
        <v>30.001480000000001</v>
      </c>
      <c r="P2222">
        <f t="shared" si="103"/>
        <v>1.052837499999999</v>
      </c>
      <c r="Q2222">
        <f t="shared" si="104"/>
        <v>1.052837499999999</v>
      </c>
      <c r="Y2222">
        <f>TREND(H2221:H2225,G2221:G2225,G2222)</f>
        <v>30.8812323468836</v>
      </c>
      <c r="Z2222">
        <f>ABS((Y2222-H2222)/80*100)</f>
        <v>4.6852933604499825E-2</v>
      </c>
      <c r="AB2222">
        <f>IF(ABS(T2221) &gt; ABS(V2221),T2221,V2221)</f>
        <v>1.088859375000002</v>
      </c>
      <c r="AE2222">
        <f>ABS(P2263-P2235)</f>
        <v>0.12504374999999568</v>
      </c>
      <c r="AH2222">
        <f>H2222-AG2207</f>
        <v>30.937979999999996</v>
      </c>
      <c r="AI2222">
        <f>100*(AH2222-O2222)/80</f>
        <v>1.170624999999994</v>
      </c>
      <c r="AN2222">
        <f>IF(ABS(AK2221) &gt; ABS(AM2221),AK2221,AM2221)</f>
        <v>1.206646874999997</v>
      </c>
    </row>
    <row r="2223" spans="1:41" x14ac:dyDescent="0.35">
      <c r="A2223" t="s">
        <v>298</v>
      </c>
      <c r="B2223" t="s">
        <v>231</v>
      </c>
      <c r="C2223" t="s">
        <v>889</v>
      </c>
      <c r="D2223">
        <v>0</v>
      </c>
      <c r="E2223">
        <v>0</v>
      </c>
      <c r="F2223">
        <v>0</v>
      </c>
      <c r="G2223">
        <v>-4.0999999999999999E-4</v>
      </c>
      <c r="H2223">
        <v>50.854687499999997</v>
      </c>
      <c r="J2223">
        <v>-16706</v>
      </c>
      <c r="N2223" t="s">
        <v>205</v>
      </c>
      <c r="O2223">
        <f t="shared" si="102"/>
        <v>49.983599999999996</v>
      </c>
      <c r="P2223">
        <f t="shared" si="103"/>
        <v>1.088859375000002</v>
      </c>
      <c r="Q2223">
        <f t="shared" si="104"/>
        <v>1.088859375000002</v>
      </c>
      <c r="Y2223">
        <f>TREND(H2221:H2225,G2221:G2225,G2223)</f>
        <v>50.804342693472577</v>
      </c>
      <c r="Z2223">
        <f>ABS((Y2223-H2223)/80*100)</f>
        <v>6.2931008159274882E-2</v>
      </c>
      <c r="AE2223">
        <f>ABS(P2264-P2236)</f>
        <v>0.14980312499999648</v>
      </c>
      <c r="AH2223">
        <f>H2223-AG2207</f>
        <v>50.948917499999993</v>
      </c>
      <c r="AI2223">
        <f>100*(AH2223-O2223)/80</f>
        <v>1.206646874999997</v>
      </c>
    </row>
    <row r="2224" spans="1:41" x14ac:dyDescent="0.35">
      <c r="A2224" t="s">
        <v>298</v>
      </c>
      <c r="B2224" t="s">
        <v>231</v>
      </c>
      <c r="C2224" t="s">
        <v>925</v>
      </c>
      <c r="D2224">
        <v>0</v>
      </c>
      <c r="E2224">
        <v>0</v>
      </c>
      <c r="F2224">
        <v>0.5</v>
      </c>
      <c r="G2224">
        <v>0.50007699999999999</v>
      </c>
      <c r="H2224">
        <v>70.8515625</v>
      </c>
      <c r="J2224">
        <v>-16690</v>
      </c>
      <c r="N2224" t="s">
        <v>205</v>
      </c>
      <c r="O2224">
        <f t="shared" si="102"/>
        <v>70.003080000000011</v>
      </c>
      <c r="P2224">
        <f t="shared" si="103"/>
        <v>1.0606031249999859</v>
      </c>
      <c r="Q2224">
        <f t="shared" si="104"/>
        <v>1.0606031249999859</v>
      </c>
      <c r="Y2224">
        <f>TREND(H2221:H2225,G2221:G2225,G2224)</f>
        <v>70.764702711395159</v>
      </c>
      <c r="Z2224">
        <f>ABS((Y2224-H2224)/80*100)</f>
        <v>0.1085747357560507</v>
      </c>
      <c r="AE2224">
        <f>ABS(P2265-P2237)</f>
        <v>9.3115625000006474E-2</v>
      </c>
      <c r="AH2224">
        <f>H2224-AG2207</f>
        <v>70.945792499999996</v>
      </c>
      <c r="AI2224">
        <f>100*(AH2224-O2224)/80</f>
        <v>1.1783906249999809</v>
      </c>
    </row>
    <row r="2225" spans="1:41" x14ac:dyDescent="0.35">
      <c r="A2225" t="s">
        <v>298</v>
      </c>
      <c r="B2225" t="s">
        <v>231</v>
      </c>
      <c r="C2225" t="s">
        <v>962</v>
      </c>
      <c r="D2225">
        <v>0</v>
      </c>
      <c r="E2225">
        <v>0.1</v>
      </c>
      <c r="F2225">
        <v>1</v>
      </c>
      <c r="G2225">
        <v>0.99969300000000005</v>
      </c>
      <c r="H2225">
        <v>90.609375</v>
      </c>
      <c r="J2225">
        <v>-16667</v>
      </c>
      <c r="N2225" t="s">
        <v>205</v>
      </c>
      <c r="O2225">
        <f t="shared" si="102"/>
        <v>89.98772000000001</v>
      </c>
      <c r="P2225">
        <f t="shared" si="103"/>
        <v>0.77706874999998732</v>
      </c>
      <c r="Q2225">
        <f t="shared" si="104"/>
        <v>0.77706874999998732</v>
      </c>
      <c r="Y2225">
        <f>TREND(H2221:H2225,G2221:G2225,G2225)</f>
        <v>90.690325616114762</v>
      </c>
      <c r="Z2225">
        <f>ABS((Y2225-H2225)/80*100)</f>
        <v>0.101188270143453</v>
      </c>
      <c r="AE2225">
        <f>ABS(P2266-P2238)</f>
        <v>2.1506249999987403E-2</v>
      </c>
      <c r="AH2225">
        <f>H2225-AG2207</f>
        <v>90.703604999999996</v>
      </c>
      <c r="AI2225">
        <f>100*(AH2225-O2225)/80</f>
        <v>0.89485624999998237</v>
      </c>
    </row>
    <row r="2226" spans="1:41" x14ac:dyDescent="0.35">
      <c r="A2226" t="s">
        <v>298</v>
      </c>
      <c r="B2226" t="s">
        <v>231</v>
      </c>
      <c r="C2226" t="s">
        <v>999</v>
      </c>
      <c r="D2226">
        <v>0</v>
      </c>
      <c r="E2226">
        <v>0</v>
      </c>
      <c r="F2226">
        <v>0</v>
      </c>
      <c r="G2226">
        <v>-1.6799999999999999E-4</v>
      </c>
      <c r="H2226">
        <v>50.814062499999999</v>
      </c>
      <c r="J2226">
        <v>-16641</v>
      </c>
      <c r="N2226" t="s">
        <v>205</v>
      </c>
      <c r="O2226">
        <f t="shared" si="102"/>
        <v>49.993279999999999</v>
      </c>
      <c r="P2226">
        <f t="shared" si="103"/>
        <v>1.025978125</v>
      </c>
      <c r="Q2226">
        <f t="shared" si="104"/>
        <v>1.025978125</v>
      </c>
      <c r="Y2226">
        <f>TREND(H2221:H2225,G2221:G2225,G2226)</f>
        <v>50.813994107244234</v>
      </c>
      <c r="Z2226">
        <f>ABS((Y2226-H2226)/80*100)</f>
        <v>8.5490944705668426E-5</v>
      </c>
      <c r="AE2226">
        <f>ABS(P2267-P2239)</f>
        <v>9.0793750000006668E-2</v>
      </c>
      <c r="AH2226">
        <f>H2226-AG2207</f>
        <v>50.908292499999995</v>
      </c>
      <c r="AI2226">
        <f>100*(AH2226-O2226)/80</f>
        <v>1.143765624999995</v>
      </c>
    </row>
    <row r="2227" spans="1:41" x14ac:dyDescent="0.35">
      <c r="A2227" t="s">
        <v>298</v>
      </c>
      <c r="B2227" t="s">
        <v>231</v>
      </c>
      <c r="C2227" t="s">
        <v>1034</v>
      </c>
      <c r="D2227">
        <v>0</v>
      </c>
      <c r="E2227">
        <v>-0.1</v>
      </c>
      <c r="F2227">
        <v>-1</v>
      </c>
      <c r="G2227">
        <v>-0.99963599999999997</v>
      </c>
      <c r="H2227">
        <v>10.824999999999999</v>
      </c>
      <c r="J2227">
        <v>-16609</v>
      </c>
      <c r="N2227" t="s">
        <v>205</v>
      </c>
      <c r="O2227">
        <f t="shared" si="102"/>
        <v>10.014560000000001</v>
      </c>
      <c r="P2227">
        <f t="shared" si="103"/>
        <v>1.0130499999999976</v>
      </c>
      <c r="Q2227">
        <f t="shared" si="104"/>
        <v>1.0130499999999976</v>
      </c>
      <c r="Y2227">
        <f>TREND(H2221:H2225,G2221:G2225,G2227)</f>
        <v>10.953336175283887</v>
      </c>
      <c r="Z2227">
        <f>ABS((Y2227-H2227)/80*100)</f>
        <v>0.16042021910485982</v>
      </c>
      <c r="AE2227">
        <f>ABS(P2268-P2240)</f>
        <v>0.18229375000001546</v>
      </c>
      <c r="AH2227">
        <f>H2227-AG2207</f>
        <v>10.919229999999995</v>
      </c>
      <c r="AI2227">
        <f>100*(AH2227-O2227)/80</f>
        <v>1.1308374999999926</v>
      </c>
    </row>
    <row r="2228" spans="1:41" x14ac:dyDescent="0.35">
      <c r="A2228" t="s">
        <v>298</v>
      </c>
      <c r="B2228" t="s">
        <v>231</v>
      </c>
      <c r="C2228" t="s">
        <v>1071</v>
      </c>
      <c r="D2228">
        <v>10</v>
      </c>
      <c r="E2228">
        <v>10</v>
      </c>
      <c r="F2228">
        <v>-1</v>
      </c>
      <c r="G2228">
        <v>-1.0001450000000001</v>
      </c>
      <c r="H2228">
        <v>10.0140625</v>
      </c>
      <c r="J2228">
        <v>-12403</v>
      </c>
      <c r="N2228" t="s">
        <v>205</v>
      </c>
      <c r="O2228">
        <f t="shared" si="102"/>
        <v>9.9941999999999975</v>
      </c>
      <c r="P2228">
        <f t="shared" si="103"/>
        <v>2.4828125000002643E-2</v>
      </c>
      <c r="Q2228">
        <f t="shared" si="104"/>
        <v>2.4828125000002643E-2</v>
      </c>
      <c r="S2228">
        <v>50.160937500000003</v>
      </c>
      <c r="T2228">
        <v>0.20092187500000414</v>
      </c>
      <c r="U2228">
        <v>90.126562500000006</v>
      </c>
      <c r="V2228">
        <v>0.16630312500000244</v>
      </c>
      <c r="W2228">
        <v>80.112501525878912</v>
      </c>
      <c r="X2228">
        <f>(W2228-80)/80*100</f>
        <v>0.14062690734863992</v>
      </c>
      <c r="Y2228">
        <f>TREND(H2228:H2232,G2228:G2232,G2228)</f>
        <v>10.025119541759295</v>
      </c>
      <c r="Z2228">
        <f>ABS((Y2228-H2228)/80*100)</f>
        <v>1.3821302199119591E-2</v>
      </c>
      <c r="AA2228">
        <f>MAX(Z2228:Z2232)</f>
        <v>0.13534122438059626</v>
      </c>
      <c r="AB2228">
        <f>IF(ABS(MAX(P2228:P2234)) &gt; ABS(MIN(P2228:P2234)),MAX(P2228:P2234), MIN(P2228:P2234))</f>
        <v>0.3518125000000083</v>
      </c>
      <c r="AC2228">
        <f>IF(ABS(AB2229)&gt;ABS(AB2228),AB2229,AB2228)</f>
        <v>0.3518125000000083</v>
      </c>
      <c r="AE2228">
        <f>ABS(P2269-P2241)</f>
        <v>4.3724999999996683E-2</v>
      </c>
      <c r="AH2228">
        <f>H2228-AG2207</f>
        <v>10.108292499999996</v>
      </c>
      <c r="AI2228">
        <f>100*(AH2228-O2228)/80</f>
        <v>0.14261562499999769</v>
      </c>
      <c r="AJ2228">
        <v>50.255167499999999</v>
      </c>
      <c r="AK2228">
        <v>0.31870937499999918</v>
      </c>
      <c r="AL2228">
        <v>90.220792500000002</v>
      </c>
      <c r="AM2228">
        <v>0.28409062499999749</v>
      </c>
      <c r="AN2228">
        <f>IF(ABS(MAX(AI2228:AI2234)) &gt; ABS(MIN(AI2228:AI2234)),MAX(AI2228:AI2234), MIN(AI2228:AI2234))</f>
        <v>0.46960000000000335</v>
      </c>
      <c r="AO2228">
        <f>IF(ABS(AN2229)&gt;ABS(AN2228),AN2229,AN2228)</f>
        <v>0.46960000000000335</v>
      </c>
    </row>
    <row r="2229" spans="1:41" x14ac:dyDescent="0.35">
      <c r="A2229" t="s">
        <v>298</v>
      </c>
      <c r="B2229" t="s">
        <v>231</v>
      </c>
      <c r="C2229" t="s">
        <v>1106</v>
      </c>
      <c r="D2229">
        <v>10</v>
      </c>
      <c r="E2229">
        <v>10</v>
      </c>
      <c r="F2229">
        <v>-0.5</v>
      </c>
      <c r="G2229">
        <v>-0.499944</v>
      </c>
      <c r="H2229">
        <v>30.035937499999999</v>
      </c>
      <c r="J2229">
        <v>-12390</v>
      </c>
      <c r="N2229" t="s">
        <v>205</v>
      </c>
      <c r="O2229">
        <f t="shared" si="102"/>
        <v>30.00224</v>
      </c>
      <c r="P2229">
        <f t="shared" si="103"/>
        <v>4.2121874999998532E-2</v>
      </c>
      <c r="Q2229">
        <f t="shared" si="104"/>
        <v>4.2121874999998532E-2</v>
      </c>
      <c r="Y2229">
        <f>TREND(H2228:H2232,G2228:G2232,G2229)</f>
        <v>30.080593336685997</v>
      </c>
      <c r="Z2229">
        <f>ABS((Y2229-H2229)/80*100)</f>
        <v>5.5819795857496864E-2</v>
      </c>
      <c r="AB2229">
        <f>IF(ABS(T2228) &gt; ABS(V2228),T2228,V2228)</f>
        <v>0.20092187500000414</v>
      </c>
      <c r="AH2229">
        <f>H2229-AG2207</f>
        <v>30.130167499999995</v>
      </c>
      <c r="AI2229">
        <f>100*(AH2229-O2229)/80</f>
        <v>0.15990937499999358</v>
      </c>
      <c r="AN2229">
        <f>IF(ABS(AK2228) &gt; ABS(AM2228),AK2228,AM2228)</f>
        <v>0.31870937499999918</v>
      </c>
    </row>
    <row r="2230" spans="1:41" x14ac:dyDescent="0.35">
      <c r="A2230" t="s">
        <v>298</v>
      </c>
      <c r="B2230" t="s">
        <v>1111</v>
      </c>
      <c r="C2230" t="s">
        <v>1144</v>
      </c>
      <c r="D2230">
        <v>10</v>
      </c>
      <c r="E2230">
        <v>10</v>
      </c>
      <c r="F2230">
        <v>0</v>
      </c>
      <c r="G2230">
        <v>5.0000000000000004E-6</v>
      </c>
      <c r="H2230">
        <v>50.160937500000003</v>
      </c>
      <c r="J2230">
        <v>-12382</v>
      </c>
      <c r="N2230" t="s">
        <v>205</v>
      </c>
      <c r="O2230">
        <f t="shared" si="102"/>
        <v>50.0002</v>
      </c>
      <c r="P2230">
        <f t="shared" si="103"/>
        <v>0.20092187500000414</v>
      </c>
      <c r="Q2230">
        <f t="shared" si="104"/>
        <v>0.20092187500000414</v>
      </c>
      <c r="Y2230">
        <f>TREND(H2228:H2232,G2228:G2232,G2230)</f>
        <v>50.125963234586656</v>
      </c>
      <c r="Z2230">
        <f>ABS((Y2230-H2230)/80*100)</f>
        <v>4.3717831766683091E-2</v>
      </c>
      <c r="AH2230">
        <f>H2230-AG2207</f>
        <v>50.255167499999999</v>
      </c>
      <c r="AI2230">
        <f>100*(AH2230-O2230)/80</f>
        <v>0.31870937499999918</v>
      </c>
    </row>
    <row r="2231" spans="1:41" x14ac:dyDescent="0.35">
      <c r="A2231" t="s">
        <v>298</v>
      </c>
      <c r="B2231" t="s">
        <v>1111</v>
      </c>
      <c r="C2231" t="s">
        <v>1181</v>
      </c>
      <c r="D2231">
        <v>10</v>
      </c>
      <c r="E2231">
        <v>10</v>
      </c>
      <c r="F2231">
        <v>0.5</v>
      </c>
      <c r="G2231">
        <v>0.49999500000000002</v>
      </c>
      <c r="H2231">
        <v>70.28125</v>
      </c>
      <c r="J2231">
        <v>-12371</v>
      </c>
      <c r="N2231" t="s">
        <v>205</v>
      </c>
      <c r="O2231">
        <f t="shared" si="102"/>
        <v>69.999799999999993</v>
      </c>
      <c r="P2231">
        <f t="shared" si="103"/>
        <v>0.3518125000000083</v>
      </c>
      <c r="Q2231">
        <f t="shared" si="104"/>
        <v>0.3518125000000083</v>
      </c>
      <c r="Y2231">
        <f>TREND(H2228:H2232,G2228:G2232,G2231)</f>
        <v>70.172977020495523</v>
      </c>
      <c r="Z2231">
        <f>ABS((Y2231-H2231)/80*100)</f>
        <v>0.13534122438059626</v>
      </c>
      <c r="AH2231">
        <f>H2231-AG2207</f>
        <v>70.375479999999996</v>
      </c>
      <c r="AI2231">
        <f>100*(AH2231-O2231)/80</f>
        <v>0.46960000000000335</v>
      </c>
    </row>
    <row r="2232" spans="1:41" x14ac:dyDescent="0.35">
      <c r="A2232" t="s">
        <v>298</v>
      </c>
      <c r="B2232" t="s">
        <v>1111</v>
      </c>
      <c r="C2232" t="s">
        <v>1218</v>
      </c>
      <c r="D2232">
        <v>10</v>
      </c>
      <c r="E2232">
        <v>10</v>
      </c>
      <c r="F2232">
        <v>1</v>
      </c>
      <c r="G2232">
        <v>0.999838</v>
      </c>
      <c r="H2232">
        <v>90.126562500000006</v>
      </c>
      <c r="J2232">
        <v>-12362</v>
      </c>
      <c r="N2232" t="s">
        <v>205</v>
      </c>
      <c r="O2232">
        <f t="shared" si="102"/>
        <v>89.993520000000004</v>
      </c>
      <c r="P2232">
        <f t="shared" si="103"/>
        <v>0.16630312500000244</v>
      </c>
      <c r="Q2232">
        <f t="shared" si="104"/>
        <v>0.16630312500000244</v>
      </c>
      <c r="Y2232">
        <f>TREND(H2228:H2232,G2228:G2232,G2232)</f>
        <v>90.214096866472531</v>
      </c>
      <c r="Z2232">
        <f>ABS((Y2232-H2232)/80*100)</f>
        <v>0.10941795809065624</v>
      </c>
      <c r="AH2232">
        <f>H2232-AG2207</f>
        <v>90.220792500000002</v>
      </c>
      <c r="AI2232">
        <f>100*(AH2232-O2232)/80</f>
        <v>0.28409062499999749</v>
      </c>
    </row>
    <row r="2233" spans="1:41" x14ac:dyDescent="0.35">
      <c r="A2233" t="s">
        <v>298</v>
      </c>
      <c r="B2233" t="s">
        <v>1111</v>
      </c>
      <c r="C2233" t="s">
        <v>1255</v>
      </c>
      <c r="D2233">
        <v>10</v>
      </c>
      <c r="E2233">
        <v>10</v>
      </c>
      <c r="F2233">
        <v>0</v>
      </c>
      <c r="G2233">
        <v>-2.4600000000000002E-4</v>
      </c>
      <c r="H2233">
        <v>50.15</v>
      </c>
      <c r="J2233">
        <v>-12353</v>
      </c>
      <c r="N2233" t="s">
        <v>205</v>
      </c>
      <c r="O2233">
        <f t="shared" si="102"/>
        <v>49.990160000000003</v>
      </c>
      <c r="P2233">
        <f t="shared" si="103"/>
        <v>0.19979999999999443</v>
      </c>
      <c r="Q2233">
        <f t="shared" si="104"/>
        <v>0.19979999999999443</v>
      </c>
      <c r="Y2233">
        <f>TREND(H2228:H2232,G2228:G2232,G2233)</f>
        <v>50.115899432390087</v>
      </c>
      <c r="Z2233">
        <f>ABS((Y2233-H2233)/80*100)</f>
        <v>4.262570951238942E-2</v>
      </c>
      <c r="AH2233">
        <f>H2233-AG2207</f>
        <v>50.244229999999995</v>
      </c>
      <c r="AI2233">
        <f>100*(AH2233-O2233)/80</f>
        <v>0.31758749999998948</v>
      </c>
    </row>
    <row r="2234" spans="1:41" x14ac:dyDescent="0.35">
      <c r="A2234" t="s">
        <v>298</v>
      </c>
      <c r="B2234" t="s">
        <v>1111</v>
      </c>
      <c r="C2234" t="s">
        <v>1291</v>
      </c>
      <c r="D2234">
        <v>10</v>
      </c>
      <c r="E2234">
        <v>10</v>
      </c>
      <c r="F2234">
        <v>-1</v>
      </c>
      <c r="G2234">
        <v>-1.0001960000000001</v>
      </c>
      <c r="H2234">
        <v>9.9453125</v>
      </c>
      <c r="J2234">
        <v>-12358</v>
      </c>
      <c r="N2234" t="s">
        <v>205</v>
      </c>
      <c r="O2234">
        <f t="shared" si="102"/>
        <v>9.9921599999999966</v>
      </c>
      <c r="P2234">
        <f t="shared" si="103"/>
        <v>-5.855937499999575E-2</v>
      </c>
      <c r="Q2234">
        <f t="shared" si="104"/>
        <v>5.855937499999575E-2</v>
      </c>
      <c r="Y2234">
        <f>TREND(H2228:H2232,G2228:G2232,G2234)</f>
        <v>10.023074705456402</v>
      </c>
      <c r="Z2234">
        <f>ABS((Y2234-H2234)/80*100)</f>
        <v>9.7202756820502501E-2</v>
      </c>
      <c r="AH2234">
        <f>H2234-AG2207</f>
        <v>10.039542499999996</v>
      </c>
      <c r="AI2234">
        <f>100*(AH2234-O2234)/80</f>
        <v>5.9228124999999299E-2</v>
      </c>
    </row>
    <row r="2235" spans="1:41" x14ac:dyDescent="0.35">
      <c r="A2235" t="s">
        <v>298</v>
      </c>
      <c r="B2235" t="s">
        <v>1111</v>
      </c>
      <c r="C2235" t="s">
        <v>1327</v>
      </c>
      <c r="D2235">
        <v>25</v>
      </c>
      <c r="E2235">
        <v>25</v>
      </c>
      <c r="F2235">
        <v>-1</v>
      </c>
      <c r="G2235">
        <v>-1.0000690000000001</v>
      </c>
      <c r="H2235">
        <v>9.5328125000000004</v>
      </c>
      <c r="J2235">
        <v>-6364</v>
      </c>
      <c r="N2235" t="s">
        <v>205</v>
      </c>
      <c r="O2235">
        <f t="shared" si="102"/>
        <v>9.9972399999999961</v>
      </c>
      <c r="P2235">
        <f t="shared" si="103"/>
        <v>-0.58053437499999472</v>
      </c>
      <c r="Q2235">
        <f t="shared" si="104"/>
        <v>0.58053437499999472</v>
      </c>
      <c r="S2235">
        <v>49.737499999999997</v>
      </c>
      <c r="T2235">
        <v>-0.31327500000000619</v>
      </c>
      <c r="U2235">
        <v>90.010937499999997</v>
      </c>
      <c r="V2235">
        <v>1.4021875000000961E-2</v>
      </c>
      <c r="W2235">
        <v>80.478128051757807</v>
      </c>
      <c r="X2235">
        <f>(W2235-80)/80*100</f>
        <v>0.59766006469725852</v>
      </c>
      <c r="Y2235">
        <f>TREND(H2235:H2239,G2235:G2239,G2235)</f>
        <v>9.4796105977299376</v>
      </c>
      <c r="Z2235">
        <f>ABS((Y2235-H2235)/80*100)</f>
        <v>6.6502377837578397E-2</v>
      </c>
      <c r="AA2235">
        <f>MAX(Z2235:Z2239)</f>
        <v>0.10655146582834174</v>
      </c>
      <c r="AB2235">
        <f>IF(ABS(MAX(P2235:P2241)) &gt; ABS(MIN(P2235:P2241)),MAX(P2235:P2241), MIN(P2235:P2241))</f>
        <v>-0.58318437500000098</v>
      </c>
      <c r="AC2235">
        <f>IF(ABS(AB2236)&gt;ABS(AB2235),AB2236,AB2235)</f>
        <v>-0.58318437500000098</v>
      </c>
      <c r="AH2235">
        <f>H2235-AG2207</f>
        <v>9.6270424999999964</v>
      </c>
      <c r="AI2235">
        <f>100*(AH2235-O2235)/80</f>
        <v>-0.46274687499999967</v>
      </c>
      <c r="AJ2235">
        <v>49.831729999999993</v>
      </c>
      <c r="AK2235">
        <v>-0.19548750000001114</v>
      </c>
      <c r="AL2235">
        <v>90.105167499999993</v>
      </c>
      <c r="AM2235">
        <v>0.13180937499999601</v>
      </c>
      <c r="AN2235">
        <f>IF(ABS(MAX(AI2235:AI2241)) &gt; ABS(MIN(AI2235:AI2241)),MAX(AI2235:AI2241), MIN(AI2235:AI2241))</f>
        <v>-0.46539687500000593</v>
      </c>
      <c r="AO2235">
        <f>IF(ABS(AN2236)&gt;ABS(AN2235),AN2236,AN2235)</f>
        <v>-0.46539687500000593</v>
      </c>
    </row>
    <row r="2236" spans="1:41" x14ac:dyDescent="0.35">
      <c r="A2236" t="s">
        <v>298</v>
      </c>
      <c r="B2236" t="s">
        <v>1111</v>
      </c>
      <c r="C2236" t="s">
        <v>1364</v>
      </c>
      <c r="D2236">
        <v>25</v>
      </c>
      <c r="E2236">
        <v>25</v>
      </c>
      <c r="F2236">
        <v>-0.5</v>
      </c>
      <c r="G2236">
        <v>-0.50001600000000002</v>
      </c>
      <c r="H2236">
        <v>29.532812499999999</v>
      </c>
      <c r="J2236">
        <v>-6345</v>
      </c>
      <c r="N2236" t="s">
        <v>205</v>
      </c>
      <c r="O2236">
        <f t="shared" si="102"/>
        <v>29.999359999999999</v>
      </c>
      <c r="P2236">
        <f t="shared" si="103"/>
        <v>-0.58318437500000098</v>
      </c>
      <c r="Q2236">
        <f t="shared" si="104"/>
        <v>0.58318437500000098</v>
      </c>
      <c r="Y2236">
        <f>TREND(H2235:H2239,G2235:G2239,G2236)</f>
        <v>29.618053672662672</v>
      </c>
      <c r="Z2236">
        <f>ABS((Y2236-H2236)/80*100)</f>
        <v>0.10655146582834174</v>
      </c>
      <c r="AB2236">
        <f>IF(ABS(T2235) &gt; ABS(V2235),T2235,V2235)</f>
        <v>-0.31327500000000619</v>
      </c>
      <c r="AH2236">
        <f>H2236-AG2207</f>
        <v>29.627042499999995</v>
      </c>
      <c r="AI2236">
        <f>100*(AH2236-O2236)/80</f>
        <v>-0.46539687500000593</v>
      </c>
      <c r="AN2236">
        <f>IF(ABS(AK2235) &gt; ABS(AM2235),AK2235,AM2235)</f>
        <v>-0.19548750000001114</v>
      </c>
    </row>
    <row r="2237" spans="1:41" x14ac:dyDescent="0.35">
      <c r="A2237" t="s">
        <v>298</v>
      </c>
      <c r="B2237" t="s">
        <v>1111</v>
      </c>
      <c r="C2237" t="s">
        <v>1400</v>
      </c>
      <c r="D2237">
        <v>25</v>
      </c>
      <c r="E2237">
        <v>25</v>
      </c>
      <c r="F2237">
        <v>0</v>
      </c>
      <c r="G2237">
        <v>-2.9700000000000001E-4</v>
      </c>
      <c r="H2237">
        <v>49.737499999999997</v>
      </c>
      <c r="J2237">
        <v>-6345</v>
      </c>
      <c r="N2237" t="s">
        <v>205</v>
      </c>
      <c r="O2237">
        <f t="shared" si="102"/>
        <v>49.988120000000002</v>
      </c>
      <c r="P2237">
        <f t="shared" si="103"/>
        <v>-0.31327500000000619</v>
      </c>
      <c r="Q2237">
        <f t="shared" si="104"/>
        <v>0.31327500000000619</v>
      </c>
      <c r="Y2237">
        <f>TREND(H2235:H2239,G2235:G2239,G2237)</f>
        <v>49.743045693433089</v>
      </c>
      <c r="Z2237">
        <f>ABS((Y2237-H2237)/80*100)</f>
        <v>6.9321167913649617E-3</v>
      </c>
      <c r="AH2237">
        <f>H2237-AG2207</f>
        <v>49.831729999999993</v>
      </c>
      <c r="AI2237">
        <f>100*(AH2237-O2237)/80</f>
        <v>-0.19548750000001114</v>
      </c>
    </row>
    <row r="2238" spans="1:41" x14ac:dyDescent="0.35">
      <c r="A2238" t="s">
        <v>298</v>
      </c>
      <c r="B2238" t="s">
        <v>1111</v>
      </c>
      <c r="C2238" t="s">
        <v>1437</v>
      </c>
      <c r="D2238">
        <v>25</v>
      </c>
      <c r="E2238">
        <v>25</v>
      </c>
      <c r="F2238">
        <v>0.5</v>
      </c>
      <c r="G2238">
        <v>0.49984499999999998</v>
      </c>
      <c r="H2238">
        <v>69.939062500000006</v>
      </c>
      <c r="J2238">
        <v>-6332</v>
      </c>
      <c r="N2238" t="s">
        <v>205</v>
      </c>
      <c r="O2238">
        <f t="shared" si="102"/>
        <v>69.993800000000007</v>
      </c>
      <c r="P2238">
        <f t="shared" si="103"/>
        <v>-6.8421875000002075E-2</v>
      </c>
      <c r="Q2238">
        <f t="shared" si="104"/>
        <v>6.8421875000002075E-2</v>
      </c>
      <c r="Y2238">
        <f>TREND(H2235:H2239,G2235:G2239,G2238)</f>
        <v>69.885073031301289</v>
      </c>
      <c r="Z2238">
        <f>ABS((Y2238-H2238)/80*100)</f>
        <v>6.7486835873395989E-2</v>
      </c>
      <c r="AH2238">
        <f>H2238-AG2207</f>
        <v>70.033292500000002</v>
      </c>
      <c r="AI2238">
        <f>100*(AH2238-O2238)/80</f>
        <v>4.9365624999992974E-2</v>
      </c>
    </row>
    <row r="2239" spans="1:41" x14ac:dyDescent="0.35">
      <c r="A2239" t="s">
        <v>298</v>
      </c>
      <c r="B2239" t="s">
        <v>1111</v>
      </c>
      <c r="C2239" t="s">
        <v>1473</v>
      </c>
      <c r="D2239">
        <v>25</v>
      </c>
      <c r="E2239">
        <v>25</v>
      </c>
      <c r="F2239">
        <v>1</v>
      </c>
      <c r="G2239">
        <v>0.99999300000000002</v>
      </c>
      <c r="H2239">
        <v>90.010937499999997</v>
      </c>
      <c r="J2239">
        <v>-6328</v>
      </c>
      <c r="N2239" t="s">
        <v>205</v>
      </c>
      <c r="O2239">
        <f t="shared" si="102"/>
        <v>89.999719999999996</v>
      </c>
      <c r="P2239">
        <f t="shared" si="103"/>
        <v>1.4021875000000961E-2</v>
      </c>
      <c r="Q2239">
        <f t="shared" si="104"/>
        <v>1.4021875000000961E-2</v>
      </c>
      <c r="Y2239">
        <f>TREND(H2235:H2239,G2235:G2239,G2239)</f>
        <v>90.027342004872992</v>
      </c>
      <c r="Z2239">
        <f>ABS((Y2239-H2239)/80*100)</f>
        <v>2.0505631091243259E-2</v>
      </c>
      <c r="AH2239">
        <f>H2239-AG2207</f>
        <v>90.105167499999993</v>
      </c>
      <c r="AI2239">
        <f>100*(AH2239-O2239)/80</f>
        <v>0.13180937499999601</v>
      </c>
    </row>
    <row r="2240" spans="1:41" x14ac:dyDescent="0.35">
      <c r="A2240" t="s">
        <v>298</v>
      </c>
      <c r="B2240" t="s">
        <v>1111</v>
      </c>
      <c r="C2240" t="s">
        <v>1510</v>
      </c>
      <c r="D2240">
        <v>25</v>
      </c>
      <c r="E2240">
        <v>25</v>
      </c>
      <c r="F2240">
        <v>0</v>
      </c>
      <c r="G2240">
        <v>-2.1999999999999999E-5</v>
      </c>
      <c r="H2240">
        <v>49.678125000000001</v>
      </c>
      <c r="J2240">
        <v>-6324</v>
      </c>
      <c r="N2240" t="s">
        <v>205</v>
      </c>
      <c r="O2240">
        <f t="shared" si="102"/>
        <v>49.999120000000005</v>
      </c>
      <c r="P2240">
        <f t="shared" si="103"/>
        <v>-0.40124375000000434</v>
      </c>
      <c r="Q2240">
        <f t="shared" si="104"/>
        <v>0.40124375000000434</v>
      </c>
      <c r="Y2240">
        <f>TREND(H2235:H2239,G2235:G2239,G2240)</f>
        <v>49.75412066317751</v>
      </c>
      <c r="Z2240">
        <f>ABS((Y2240-H2240)/80*100)</f>
        <v>9.4994578971885346E-2</v>
      </c>
      <c r="AH2240">
        <f>H2240-AG2207</f>
        <v>49.772354999999997</v>
      </c>
      <c r="AI2240">
        <f>100*(AH2240-O2240)/80</f>
        <v>-0.28345625000000929</v>
      </c>
    </row>
    <row r="2241" spans="1:41" x14ac:dyDescent="0.35">
      <c r="A2241" t="s">
        <v>298</v>
      </c>
      <c r="B2241" t="s">
        <v>1111</v>
      </c>
      <c r="C2241" t="s">
        <v>1547</v>
      </c>
      <c r="D2241">
        <v>25</v>
      </c>
      <c r="E2241">
        <v>25</v>
      </c>
      <c r="F2241">
        <v>-1</v>
      </c>
      <c r="G2241">
        <v>-0.99999199999999999</v>
      </c>
      <c r="H2241">
        <v>9.5546875</v>
      </c>
      <c r="J2241">
        <v>-6317</v>
      </c>
      <c r="N2241" t="s">
        <v>205</v>
      </c>
      <c r="O2241">
        <f t="shared" si="102"/>
        <v>10.00032</v>
      </c>
      <c r="P2241">
        <f t="shared" si="103"/>
        <v>-0.5570406250000004</v>
      </c>
      <c r="Q2241">
        <f t="shared" si="104"/>
        <v>0.5570406250000004</v>
      </c>
      <c r="Y2241">
        <f>TREND(H2235:H2239,G2235:G2239,G2241)</f>
        <v>9.4827115892583791</v>
      </c>
      <c r="Z2241">
        <f>ABS((Y2241-H2241)/80*100)</f>
        <v>8.9969888427026135E-2</v>
      </c>
      <c r="AH2241">
        <f>H2241-AG2207</f>
        <v>9.648917499999996</v>
      </c>
      <c r="AI2241">
        <f>100*(AH2241-O2241)/80</f>
        <v>-0.43925312500000535</v>
      </c>
    </row>
    <row r="2242" spans="1:41" x14ac:dyDescent="0.35">
      <c r="A2242" t="s">
        <v>298</v>
      </c>
      <c r="B2242" t="s">
        <v>1111</v>
      </c>
      <c r="C2242" t="s">
        <v>1584</v>
      </c>
      <c r="D2242">
        <v>50</v>
      </c>
      <c r="E2242">
        <v>50</v>
      </c>
      <c r="F2242">
        <v>-1</v>
      </c>
      <c r="G2242">
        <v>-0.99997899999999995</v>
      </c>
      <c r="H2242">
        <v>10.151562500000001</v>
      </c>
      <c r="J2242">
        <v>3654</v>
      </c>
      <c r="N2242" t="s">
        <v>205</v>
      </c>
      <c r="O2242">
        <f t="shared" si="102"/>
        <v>10.000840000000002</v>
      </c>
      <c r="P2242">
        <f t="shared" si="103"/>
        <v>0.18840312499999845</v>
      </c>
      <c r="Q2242">
        <f t="shared" si="104"/>
        <v>0.18840312499999845</v>
      </c>
      <c r="S2242">
        <v>50.114062500000003</v>
      </c>
      <c r="T2242">
        <v>0.14762812500000777</v>
      </c>
      <c r="U2242">
        <v>90.290625000000006</v>
      </c>
      <c r="V2242">
        <v>0.36563125000000696</v>
      </c>
      <c r="W2242">
        <v>80.139064025878909</v>
      </c>
      <c r="X2242">
        <f>(W2242-80)/80*100</f>
        <v>0.17383003234863637</v>
      </c>
      <c r="Y2242">
        <f>TREND(H2242:H2246,G2242:G2246,G2242)</f>
        <v>10.092484176438198</v>
      </c>
      <c r="Z2242">
        <f>ABS((Y2242-H2242)/80*100)</f>
        <v>7.384790445225331E-2</v>
      </c>
      <c r="AA2242">
        <f>MAX(Z2242:Z2246)</f>
        <v>8.0888387358974967E-2</v>
      </c>
      <c r="AB2242">
        <f>IF(ABS(MAX(P2242:P2248)) &gt; ABS(MIN(P2242:P2248)),MAX(P2242:P2248), MIN(P2242:P2248))</f>
        <v>0.36563125000000696</v>
      </c>
      <c r="AC2242">
        <f>IF(ABS(AB2243)&gt;ABS(AB2242),AB2243,AB2242)</f>
        <v>0.36563125000000696</v>
      </c>
      <c r="AH2242">
        <f>H2242-AG2207</f>
        <v>10.245792499999997</v>
      </c>
      <c r="AI2242">
        <f>100*(AH2242-O2242)/80</f>
        <v>0.3061906249999935</v>
      </c>
      <c r="AJ2242">
        <v>50.208292499999999</v>
      </c>
      <c r="AK2242">
        <v>0.26541562500000282</v>
      </c>
      <c r="AL2242">
        <v>90.384855000000002</v>
      </c>
      <c r="AM2242">
        <v>0.48341875000000201</v>
      </c>
      <c r="AN2242">
        <f>IF(ABS(MAX(AI2242:AI2248)) &gt; ABS(MIN(AI2242:AI2248)),MAX(AI2242:AI2248), MIN(AI2242:AI2248))</f>
        <v>0.48341875000000201</v>
      </c>
      <c r="AO2242">
        <f>IF(ABS(AN2243)&gt;ABS(AN2242),AN2243,AN2242)</f>
        <v>0.48341875000000201</v>
      </c>
    </row>
    <row r="2243" spans="1:41" x14ac:dyDescent="0.35">
      <c r="A2243" t="s">
        <v>298</v>
      </c>
      <c r="B2243" t="s">
        <v>1111</v>
      </c>
      <c r="C2243" t="s">
        <v>1620</v>
      </c>
      <c r="D2243">
        <v>50</v>
      </c>
      <c r="E2243">
        <v>50</v>
      </c>
      <c r="F2243">
        <v>-0.5</v>
      </c>
      <c r="G2243">
        <v>-0.50002899999999995</v>
      </c>
      <c r="H2243">
        <v>30.089062500000001</v>
      </c>
      <c r="J2243">
        <v>3678</v>
      </c>
      <c r="N2243" t="s">
        <v>205</v>
      </c>
      <c r="O2243">
        <f t="shared" si="102"/>
        <v>29.998840000000001</v>
      </c>
      <c r="P2243">
        <f t="shared" si="103"/>
        <v>0.11277812499999929</v>
      </c>
      <c r="Q2243">
        <f t="shared" si="104"/>
        <v>0.11277812499999929</v>
      </c>
      <c r="Y2243">
        <f>TREND(H2242:H2246,G2242:G2246,G2243)</f>
        <v>30.136069696144421</v>
      </c>
      <c r="Z2243">
        <f>ABS((Y2243-H2243)/80*100)</f>
        <v>5.8758995180525624E-2</v>
      </c>
      <c r="AB2243">
        <f>IF(ABS(T2242) &gt; ABS(V2242),T2242,V2242)</f>
        <v>0.36563125000000696</v>
      </c>
      <c r="AH2243">
        <f>H2243-AG2207</f>
        <v>30.183292499999997</v>
      </c>
      <c r="AI2243">
        <f>100*(AH2243-O2243)/80</f>
        <v>0.23056562499999433</v>
      </c>
      <c r="AN2243">
        <f>IF(ABS(AK2242) &gt; ABS(AM2242),AK2242,AM2242)</f>
        <v>0.48341875000000201</v>
      </c>
    </row>
    <row r="2244" spans="1:41" x14ac:dyDescent="0.35">
      <c r="A2244" t="s">
        <v>298</v>
      </c>
      <c r="B2244" t="s">
        <v>1111</v>
      </c>
      <c r="C2244" t="s">
        <v>1657</v>
      </c>
      <c r="D2244">
        <v>50</v>
      </c>
      <c r="E2244">
        <v>50</v>
      </c>
      <c r="F2244">
        <v>0</v>
      </c>
      <c r="G2244">
        <v>-1.01E-4</v>
      </c>
      <c r="H2244">
        <v>50.114062500000003</v>
      </c>
      <c r="J2244">
        <v>3695</v>
      </c>
      <c r="N2244" t="s">
        <v>205</v>
      </c>
      <c r="O2244">
        <f t="shared" si="102"/>
        <v>49.995959999999997</v>
      </c>
      <c r="P2244">
        <f t="shared" si="103"/>
        <v>0.14762812500000777</v>
      </c>
      <c r="Q2244">
        <f t="shared" si="104"/>
        <v>0.14762812500000777</v>
      </c>
      <c r="Y2244">
        <f>TREND(H2242:H2246,G2242:G2246,G2244)</f>
        <v>50.178773209887183</v>
      </c>
      <c r="Z2244">
        <f>ABS((Y2244-H2244)/80*100)</f>
        <v>8.0888387358974967E-2</v>
      </c>
      <c r="AH2244">
        <f>H2244-AG2207</f>
        <v>50.208292499999999</v>
      </c>
      <c r="AI2244">
        <f>100*(AH2244-O2244)/80</f>
        <v>0.26541562500000282</v>
      </c>
    </row>
    <row r="2245" spans="1:41" x14ac:dyDescent="0.35">
      <c r="A2245" t="s">
        <v>298</v>
      </c>
      <c r="B2245" t="s">
        <v>1111</v>
      </c>
      <c r="C2245" t="s">
        <v>1694</v>
      </c>
      <c r="D2245">
        <v>50</v>
      </c>
      <c r="E2245">
        <v>50</v>
      </c>
      <c r="F2245">
        <v>0.5</v>
      </c>
      <c r="G2245">
        <v>0.49980400000000003</v>
      </c>
      <c r="H2245">
        <v>70.254687500000003</v>
      </c>
      <c r="J2245">
        <v>3721</v>
      </c>
      <c r="N2245" t="s">
        <v>205</v>
      </c>
      <c r="O2245">
        <f t="shared" si="102"/>
        <v>69.992160000000013</v>
      </c>
      <c r="P2245">
        <f t="shared" si="103"/>
        <v>0.32815937499998782</v>
      </c>
      <c r="Q2245">
        <f t="shared" si="104"/>
        <v>0.32815937499998782</v>
      </c>
      <c r="Y2245">
        <f>TREND(H2242:H2246,G2242:G2246,G2245)</f>
        <v>70.220554626486319</v>
      </c>
      <c r="Z2245">
        <f>ABS((Y2245-H2245)/80*100)</f>
        <v>4.2666091892105129E-2</v>
      </c>
      <c r="AH2245">
        <f>H2245-AG2207</f>
        <v>70.348917499999999</v>
      </c>
      <c r="AI2245">
        <f>100*(AH2245-O2245)/80</f>
        <v>0.44594687499998287</v>
      </c>
    </row>
    <row r="2246" spans="1:41" x14ac:dyDescent="0.35">
      <c r="A2246" t="s">
        <v>298</v>
      </c>
      <c r="B2246" t="s">
        <v>1111</v>
      </c>
      <c r="C2246" t="s">
        <v>1731</v>
      </c>
      <c r="D2246">
        <v>50</v>
      </c>
      <c r="E2246">
        <v>50</v>
      </c>
      <c r="F2246">
        <v>1</v>
      </c>
      <c r="G2246">
        <v>0.99995299999999998</v>
      </c>
      <c r="H2246">
        <v>90.290625000000006</v>
      </c>
      <c r="J2246">
        <v>3736</v>
      </c>
      <c r="N2246" t="s">
        <v>205</v>
      </c>
      <c r="O2246">
        <f t="shared" si="102"/>
        <v>89.99812</v>
      </c>
      <c r="P2246">
        <f t="shared" si="103"/>
        <v>0.36563125000000696</v>
      </c>
      <c r="Q2246">
        <f t="shared" si="104"/>
        <v>0.36563125000000696</v>
      </c>
      <c r="Y2246">
        <f>TREND(H2242:H2246,G2242:G2246,G2246)</f>
        <v>90.272118291043881</v>
      </c>
      <c r="Z2246">
        <f>ABS((Y2246-H2246)/80*100)</f>
        <v>2.3133386195155481E-2</v>
      </c>
      <c r="AH2246">
        <f>H2246-AG2207</f>
        <v>90.384855000000002</v>
      </c>
      <c r="AI2246">
        <f>100*(AH2246-O2246)/80</f>
        <v>0.48341875000000201</v>
      </c>
    </row>
    <row r="2247" spans="1:41" x14ac:dyDescent="0.35">
      <c r="A2247" t="s">
        <v>298</v>
      </c>
      <c r="B2247" t="s">
        <v>1111</v>
      </c>
      <c r="C2247" t="s">
        <v>1767</v>
      </c>
      <c r="D2247">
        <v>50</v>
      </c>
      <c r="E2247">
        <v>50</v>
      </c>
      <c r="F2247">
        <v>0</v>
      </c>
      <c r="G2247">
        <v>-1.6000000000000001E-4</v>
      </c>
      <c r="H2247">
        <v>50.168750000000003</v>
      </c>
      <c r="J2247">
        <v>3744</v>
      </c>
      <c r="N2247" t="s">
        <v>205</v>
      </c>
      <c r="O2247">
        <f t="shared" si="102"/>
        <v>49.993600000000001</v>
      </c>
      <c r="P2247">
        <f t="shared" si="103"/>
        <v>0.21893750000000267</v>
      </c>
      <c r="Q2247">
        <f t="shared" si="104"/>
        <v>0.21893750000000267</v>
      </c>
      <c r="Y2247">
        <f>TREND(H2242:H2246,G2242:G2246,G2247)</f>
        <v>50.176407830257894</v>
      </c>
      <c r="Z2247">
        <f>ABS((Y2247-H2247)/80*100)</f>
        <v>9.5722878223636343E-3</v>
      </c>
      <c r="AH2247">
        <f>H2247-AG2207</f>
        <v>50.262979999999999</v>
      </c>
      <c r="AI2247">
        <f>100*(AH2247-O2247)/80</f>
        <v>0.33672499999999772</v>
      </c>
    </row>
    <row r="2248" spans="1:41" x14ac:dyDescent="0.35">
      <c r="A2248" t="s">
        <v>298</v>
      </c>
      <c r="B2248" t="s">
        <v>1111</v>
      </c>
      <c r="C2248" t="s">
        <v>1804</v>
      </c>
      <c r="D2248">
        <v>50</v>
      </c>
      <c r="E2248">
        <v>50</v>
      </c>
      <c r="F2248">
        <v>-1</v>
      </c>
      <c r="G2248">
        <v>-0.99985999999999997</v>
      </c>
      <c r="H2248">
        <v>10.1578125</v>
      </c>
      <c r="J2248">
        <v>3761</v>
      </c>
      <c r="N2248" t="s">
        <v>205</v>
      </c>
      <c r="O2248">
        <f t="shared" si="102"/>
        <v>10.005600000000001</v>
      </c>
      <c r="P2248">
        <f t="shared" si="103"/>
        <v>0.19026562499999899</v>
      </c>
      <c r="Q2248">
        <f t="shared" si="104"/>
        <v>0.19026562499999899</v>
      </c>
      <c r="Y2248">
        <f>TREND(H2242:H2246,G2242:G2246,G2248)</f>
        <v>10.09725502687693</v>
      </c>
      <c r="Z2248">
        <f>ABS((Y2248-H2248)/80*100)</f>
        <v>7.5696841403838366E-2</v>
      </c>
      <c r="AH2248">
        <f>H2248-AG2207</f>
        <v>10.252042499999996</v>
      </c>
      <c r="AI2248">
        <f>100*(AH2248-O2248)/80</f>
        <v>0.30805312499999404</v>
      </c>
    </row>
    <row r="2249" spans="1:41" x14ac:dyDescent="0.35">
      <c r="A2249" t="s">
        <v>298</v>
      </c>
      <c r="B2249" t="s">
        <v>1111</v>
      </c>
      <c r="C2249" t="s">
        <v>1841</v>
      </c>
      <c r="D2249">
        <v>70</v>
      </c>
      <c r="E2249">
        <v>70</v>
      </c>
      <c r="F2249">
        <v>-1</v>
      </c>
      <c r="G2249">
        <v>-1.0000579999999999</v>
      </c>
      <c r="H2249">
        <v>11.0796875</v>
      </c>
      <c r="J2249">
        <v>11814</v>
      </c>
      <c r="N2249" t="s">
        <v>205</v>
      </c>
      <c r="O2249">
        <f t="shared" ref="O2249:O2312" si="105">(((G2249--1)*(40))+10)</f>
        <v>9.9976800000000043</v>
      </c>
      <c r="P2249">
        <f t="shared" ref="P2249:P2312" si="106">100*(H2249-O2249)/80</f>
        <v>1.352509374999995</v>
      </c>
      <c r="Q2249">
        <f t="shared" ref="Q2249:Q2312" si="107">ABS(P2249)</f>
        <v>1.352509374999995</v>
      </c>
      <c r="S2249">
        <v>50.662500000000001</v>
      </c>
      <c r="T2249">
        <v>0.84957500000000685</v>
      </c>
      <c r="U2249">
        <v>90.678124999999994</v>
      </c>
      <c r="V2249">
        <v>0.83710624999998373</v>
      </c>
      <c r="W2249">
        <v>79.598435974121088</v>
      </c>
      <c r="X2249">
        <f>(W2249-80)/80*100</f>
        <v>-0.50195503234863992</v>
      </c>
      <c r="Y2249">
        <f>TREND(H2249:H2253,G2249:G2253,G2249)</f>
        <v>10.970639458559646</v>
      </c>
      <c r="Z2249">
        <f>ABS((Y2249-H2249)/80*100)</f>
        <v>0.13631005180044342</v>
      </c>
      <c r="AA2249">
        <f>MAX(Z2249:Z2253)</f>
        <v>0.16568046232189104</v>
      </c>
      <c r="AB2249">
        <f>IF(ABS(MAX(P2249:P2255)) &gt; ABS(MIN(P2249:P2255)),MAX(P2249:P2255), MIN(P2249:P2255))</f>
        <v>1.3903187500000036</v>
      </c>
      <c r="AC2249">
        <f>IF(ABS(AB2250)&gt;ABS(AB2249),AB2250,AB2249)</f>
        <v>1.3903187500000036</v>
      </c>
      <c r="AH2249">
        <f>H2249-AG2207</f>
        <v>11.173917499999996</v>
      </c>
      <c r="AI2249">
        <f>100*(AH2249-O2249)/80</f>
        <v>1.4702968749999901</v>
      </c>
      <c r="AJ2249">
        <v>50.756729999999997</v>
      </c>
      <c r="AK2249">
        <v>0.9673625000000019</v>
      </c>
      <c r="AL2249">
        <v>90.77235499999999</v>
      </c>
      <c r="AM2249">
        <v>0.95489374999997878</v>
      </c>
      <c r="AN2249">
        <f>IF(ABS(MAX(AI2249:AI2255)) &gt; ABS(MIN(AI2249:AI2255)),MAX(AI2249:AI2255), MIN(AI2249:AI2255))</f>
        <v>1.5081062499999986</v>
      </c>
      <c r="AO2249">
        <f>IF(ABS(AN2250)&gt;ABS(AN2249),AN2250,AN2249)</f>
        <v>1.5081062499999986</v>
      </c>
    </row>
    <row r="2250" spans="1:41" x14ac:dyDescent="0.35">
      <c r="A2250" t="s">
        <v>298</v>
      </c>
      <c r="B2250" t="s">
        <v>1111</v>
      </c>
      <c r="C2250" t="s">
        <v>1878</v>
      </c>
      <c r="D2250">
        <v>70</v>
      </c>
      <c r="E2250">
        <v>70</v>
      </c>
      <c r="F2250">
        <v>-0.5</v>
      </c>
      <c r="G2250">
        <v>-0.50007400000000002</v>
      </c>
      <c r="H2250">
        <v>30.801562499999999</v>
      </c>
      <c r="J2250">
        <v>11824</v>
      </c>
      <c r="N2250" t="s">
        <v>205</v>
      </c>
      <c r="O2250">
        <f t="shared" si="105"/>
        <v>29.997039999999998</v>
      </c>
      <c r="P2250">
        <f t="shared" si="106"/>
        <v>1.0056531250000011</v>
      </c>
      <c r="Q2250">
        <f t="shared" si="107"/>
        <v>1.0056531250000011</v>
      </c>
      <c r="Y2250">
        <f>TREND(H2249:H2253,G2249:G2253,G2250)</f>
        <v>30.889594656108283</v>
      </c>
      <c r="Z2250">
        <f>ABS((Y2250-H2250)/80*100)</f>
        <v>0.11004019513535467</v>
      </c>
      <c r="AB2250">
        <f>IF(ABS(T2249) &gt; ABS(V2249),T2249,V2249)</f>
        <v>0.84957500000000685</v>
      </c>
      <c r="AH2250">
        <f>H2250-AG2207</f>
        <v>30.895792499999995</v>
      </c>
      <c r="AI2250">
        <f>100*(AH2250-O2250)/80</f>
        <v>1.1234406249999962</v>
      </c>
      <c r="AN2250">
        <f>IF(ABS(AK2249) &gt; ABS(AM2249),AK2249,AM2249)</f>
        <v>0.9673625000000019</v>
      </c>
    </row>
    <row r="2251" spans="1:41" x14ac:dyDescent="0.35">
      <c r="A2251" t="s">
        <v>298</v>
      </c>
      <c r="B2251" t="s">
        <v>1111</v>
      </c>
      <c r="C2251" t="s">
        <v>1915</v>
      </c>
      <c r="D2251">
        <v>70</v>
      </c>
      <c r="E2251">
        <v>70</v>
      </c>
      <c r="F2251">
        <v>0</v>
      </c>
      <c r="G2251">
        <v>-4.2900000000000002E-4</v>
      </c>
      <c r="H2251">
        <v>50.662500000000001</v>
      </c>
      <c r="J2251">
        <v>11848</v>
      </c>
      <c r="N2251" t="s">
        <v>205</v>
      </c>
      <c r="O2251">
        <f t="shared" si="105"/>
        <v>49.982839999999996</v>
      </c>
      <c r="P2251">
        <f t="shared" si="106"/>
        <v>0.84957500000000685</v>
      </c>
      <c r="Q2251">
        <f t="shared" si="107"/>
        <v>0.84957500000000685</v>
      </c>
      <c r="Y2251">
        <f>TREND(H2249:H2253,G2249:G2253,G2251)</f>
        <v>50.795044369857514</v>
      </c>
      <c r="Z2251">
        <f>ABS((Y2251-H2251)/80*100)</f>
        <v>0.16568046232189104</v>
      </c>
      <c r="AH2251">
        <f>H2251-AG2207</f>
        <v>50.756729999999997</v>
      </c>
      <c r="AI2251">
        <f>100*(AH2251-O2251)/80</f>
        <v>0.9673625000000019</v>
      </c>
    </row>
    <row r="2252" spans="1:41" x14ac:dyDescent="0.35">
      <c r="A2252" t="s">
        <v>298</v>
      </c>
      <c r="B2252" t="s">
        <v>1111</v>
      </c>
      <c r="C2252" t="s">
        <v>1951</v>
      </c>
      <c r="D2252">
        <v>70</v>
      </c>
      <c r="E2252">
        <v>70</v>
      </c>
      <c r="F2252">
        <v>0.5</v>
      </c>
      <c r="G2252">
        <v>0.50008200000000003</v>
      </c>
      <c r="H2252">
        <v>70.828125</v>
      </c>
      <c r="J2252">
        <v>11863</v>
      </c>
      <c r="N2252" t="s">
        <v>205</v>
      </c>
      <c r="O2252">
        <f t="shared" si="105"/>
        <v>70.00327999999999</v>
      </c>
      <c r="P2252">
        <f t="shared" si="106"/>
        <v>1.0310562500000131</v>
      </c>
      <c r="Q2252">
        <f t="shared" si="107"/>
        <v>1.0310562500000131</v>
      </c>
      <c r="Y2252">
        <f>TREND(H2249:H2253,G2249:G2253,G2252)</f>
        <v>70.734994818032391</v>
      </c>
      <c r="Z2252">
        <f>ABS((Y2252-H2252)/80*100)</f>
        <v>0.11641272745951171</v>
      </c>
      <c r="AH2252">
        <f>H2252-AG2207</f>
        <v>70.922354999999996</v>
      </c>
      <c r="AI2252">
        <f>100*(AH2252-O2252)/80</f>
        <v>1.1488437500000082</v>
      </c>
    </row>
    <row r="2253" spans="1:41" x14ac:dyDescent="0.35">
      <c r="A2253" t="s">
        <v>298</v>
      </c>
      <c r="B2253" t="s">
        <v>1111</v>
      </c>
      <c r="C2253" t="s">
        <v>1987</v>
      </c>
      <c r="D2253">
        <v>70</v>
      </c>
      <c r="E2253">
        <v>70</v>
      </c>
      <c r="F2253">
        <v>1</v>
      </c>
      <c r="G2253">
        <v>1.000211</v>
      </c>
      <c r="H2253">
        <v>90.678124999999994</v>
      </c>
      <c r="J2253">
        <v>11878</v>
      </c>
      <c r="N2253" t="s">
        <v>205</v>
      </c>
      <c r="O2253">
        <f t="shared" si="105"/>
        <v>90.008440000000007</v>
      </c>
      <c r="P2253">
        <f t="shared" si="106"/>
        <v>0.83710624999998373</v>
      </c>
      <c r="Q2253">
        <f t="shared" si="107"/>
        <v>0.83710624999998373</v>
      </c>
      <c r="Y2253">
        <f>TREND(H2249:H2253,G2249:G2253,G2253)</f>
        <v>90.659726697442153</v>
      </c>
      <c r="Z2253">
        <f>ABS((Y2253-H2253)/80*100)</f>
        <v>2.2997878197301702E-2</v>
      </c>
      <c r="AH2253">
        <f>H2253-AG2207</f>
        <v>90.77235499999999</v>
      </c>
      <c r="AI2253">
        <f>100*(AH2253-O2253)/80</f>
        <v>0.95489374999997878</v>
      </c>
    </row>
    <row r="2254" spans="1:41" x14ac:dyDescent="0.35">
      <c r="A2254" t="s">
        <v>298</v>
      </c>
      <c r="B2254" t="s">
        <v>1111</v>
      </c>
      <c r="C2254" t="s">
        <v>2024</v>
      </c>
      <c r="D2254">
        <v>70</v>
      </c>
      <c r="E2254">
        <v>70</v>
      </c>
      <c r="F2254">
        <v>0</v>
      </c>
      <c r="G2254">
        <v>-1.5899999999999999E-4</v>
      </c>
      <c r="H2254">
        <v>50.721874999999997</v>
      </c>
      <c r="J2254">
        <v>11896</v>
      </c>
      <c r="N2254" t="s">
        <v>205</v>
      </c>
      <c r="O2254">
        <f t="shared" si="105"/>
        <v>49.993639999999999</v>
      </c>
      <c r="P2254">
        <f t="shared" si="106"/>
        <v>0.91029374999999746</v>
      </c>
      <c r="Q2254">
        <f t="shared" si="107"/>
        <v>0.91029374999999746</v>
      </c>
      <c r="Y2254">
        <f>TREND(H2249:H2253,G2249:G2253,G2254)</f>
        <v>50.805800949874751</v>
      </c>
      <c r="Z2254">
        <f>ABS((Y2254-H2254)/80*100)</f>
        <v>0.10490743734344221</v>
      </c>
      <c r="AH2254">
        <f>H2254-AG2207</f>
        <v>50.816104999999993</v>
      </c>
      <c r="AI2254">
        <f>100*(AH2254-O2254)/80</f>
        <v>1.0280812499999925</v>
      </c>
    </row>
    <row r="2255" spans="1:41" x14ac:dyDescent="0.35">
      <c r="A2255" t="s">
        <v>298</v>
      </c>
      <c r="B2255" t="s">
        <v>1111</v>
      </c>
      <c r="C2255" t="s">
        <v>2061</v>
      </c>
      <c r="D2255">
        <v>70</v>
      </c>
      <c r="E2255">
        <v>70</v>
      </c>
      <c r="F2255">
        <v>-1</v>
      </c>
      <c r="G2255">
        <v>-1.0000720000000001</v>
      </c>
      <c r="H2255">
        <v>11.109375</v>
      </c>
      <c r="J2255">
        <v>11910</v>
      </c>
      <c r="N2255" t="s">
        <v>205</v>
      </c>
      <c r="O2255">
        <f t="shared" si="105"/>
        <v>9.9971199999999971</v>
      </c>
      <c r="P2255">
        <f t="shared" si="106"/>
        <v>1.3903187500000036</v>
      </c>
      <c r="Q2255">
        <f t="shared" si="107"/>
        <v>1.3903187500000036</v>
      </c>
      <c r="Y2255">
        <f>TREND(H2249:H2253,G2249:G2253,G2255)</f>
        <v>10.970081709966152</v>
      </c>
      <c r="Z2255">
        <f>ABS((Y2255-H2255)/80*100)</f>
        <v>0.17411661254230992</v>
      </c>
      <c r="AH2255">
        <f>H2255-AG2207</f>
        <v>11.203604999999996</v>
      </c>
      <c r="AI2255">
        <f>100*(AH2255-O2255)/80</f>
        <v>1.5081062499999986</v>
      </c>
    </row>
    <row r="2256" spans="1:41" x14ac:dyDescent="0.35">
      <c r="A2256" t="s">
        <v>298</v>
      </c>
      <c r="B2256" t="s">
        <v>1111</v>
      </c>
      <c r="C2256" t="s">
        <v>2097</v>
      </c>
      <c r="D2256">
        <v>85</v>
      </c>
      <c r="E2256">
        <v>85</v>
      </c>
      <c r="F2256">
        <v>-1</v>
      </c>
      <c r="G2256">
        <v>-1.000075</v>
      </c>
      <c r="H2256">
        <v>11.740625</v>
      </c>
      <c r="J2256">
        <v>17954</v>
      </c>
      <c r="N2256" t="s">
        <v>205</v>
      </c>
      <c r="O2256">
        <f t="shared" si="105"/>
        <v>9.9969999999999981</v>
      </c>
      <c r="P2256">
        <f t="shared" si="106"/>
        <v>2.1795312500000019</v>
      </c>
      <c r="Q2256">
        <f t="shared" si="107"/>
        <v>2.1795312500000019</v>
      </c>
      <c r="S2256">
        <v>51.204687499999999</v>
      </c>
      <c r="T2256">
        <v>1.5077593749999973</v>
      </c>
      <c r="U2256">
        <v>90.9609375</v>
      </c>
      <c r="V2256">
        <v>1.1932718750000149</v>
      </c>
      <c r="W2256">
        <v>79.220312500000006</v>
      </c>
      <c r="X2256">
        <f>(W2256-80)/80*100</f>
        <v>-0.97460937499999289</v>
      </c>
      <c r="Y2256">
        <f>TREND(H2256:H2260,G2256:G2260,G2256)</f>
        <v>11.630102445358411</v>
      </c>
      <c r="Z2256">
        <f>ABS((Y2256-H2256)/80*100)</f>
        <v>0.13815319330198639</v>
      </c>
      <c r="AA2256">
        <f>MAX(Z2256:Z2260)</f>
        <v>0.1391836506700761</v>
      </c>
      <c r="AB2256">
        <f>IF(ABS(MAX(P2256:P2262)) &gt; ABS(MIN(P2256:P2262)),MAX(P2256:P2262), MIN(P2256:P2262))</f>
        <v>2.1887374999999998</v>
      </c>
      <c r="AC2256">
        <f>IF(ABS(AB2257)&gt;ABS(AB2256),AB2257,AB2256)</f>
        <v>2.1887374999999998</v>
      </c>
      <c r="AH2256">
        <f>H2256-AG2207</f>
        <v>11.834854999999996</v>
      </c>
      <c r="AI2256">
        <f>100*(AH2256-O2256)/80</f>
        <v>2.297318749999997</v>
      </c>
      <c r="AJ2256">
        <v>51.298917499999995</v>
      </c>
      <c r="AK2256">
        <v>1.6255468749999924</v>
      </c>
      <c r="AL2256">
        <v>91.055167499999996</v>
      </c>
      <c r="AM2256">
        <v>1.3110593750000099</v>
      </c>
      <c r="AN2256">
        <f>IF(ABS(MAX(AI2256:AI2262)) &gt; ABS(MIN(AI2256:AI2262)),MAX(AI2256:AI2262), MIN(AI2256:AI2262))</f>
        <v>2.3065249999999948</v>
      </c>
      <c r="AO2256">
        <f>IF(ABS(AN2257)&gt;ABS(AN2256),AN2257,AN2256)</f>
        <v>2.3065249999999948</v>
      </c>
    </row>
    <row r="2257" spans="1:41" x14ac:dyDescent="0.35">
      <c r="A2257" t="s">
        <v>298</v>
      </c>
      <c r="B2257" t="s">
        <v>1111</v>
      </c>
      <c r="C2257" t="s">
        <v>2133</v>
      </c>
      <c r="D2257">
        <v>85</v>
      </c>
      <c r="E2257">
        <v>85</v>
      </c>
      <c r="F2257">
        <v>-0.5</v>
      </c>
      <c r="G2257">
        <v>-0.50018099999999999</v>
      </c>
      <c r="H2257">
        <v>31.334375000000001</v>
      </c>
      <c r="J2257">
        <v>17967</v>
      </c>
      <c r="N2257" t="s">
        <v>205</v>
      </c>
      <c r="O2257">
        <f t="shared" si="105"/>
        <v>29.992760000000001</v>
      </c>
      <c r="P2257">
        <f t="shared" si="106"/>
        <v>1.6770187500000013</v>
      </c>
      <c r="Q2257">
        <f t="shared" si="107"/>
        <v>1.6770187500000013</v>
      </c>
      <c r="Y2257">
        <f>TREND(H2256:H2260,G2256:G2260,G2257)</f>
        <v>31.445721920536062</v>
      </c>
      <c r="Z2257">
        <f>ABS((Y2257-H2257)/80*100)</f>
        <v>0.1391836506700761</v>
      </c>
      <c r="AB2257">
        <f>IF(ABS(T2256) &gt; ABS(V2256),T2256,V2256)</f>
        <v>1.5077593749999973</v>
      </c>
      <c r="AH2257">
        <f>H2257-AG2207</f>
        <v>31.428604999999997</v>
      </c>
      <c r="AI2257">
        <f>100*(AH2257-O2257)/80</f>
        <v>1.7948062499999964</v>
      </c>
      <c r="AN2257">
        <f>IF(ABS(AK2256) &gt; ABS(AM2256),AK2256,AM2256)</f>
        <v>1.6255468749999924</v>
      </c>
    </row>
    <row r="2258" spans="1:41" x14ac:dyDescent="0.35">
      <c r="A2258" t="s">
        <v>298</v>
      </c>
      <c r="B2258" t="s">
        <v>1111</v>
      </c>
      <c r="C2258" t="s">
        <v>2169</v>
      </c>
      <c r="D2258">
        <v>85</v>
      </c>
      <c r="E2258">
        <v>85</v>
      </c>
      <c r="F2258">
        <v>0</v>
      </c>
      <c r="G2258">
        <v>-3.8000000000000002E-5</v>
      </c>
      <c r="H2258">
        <v>51.204687499999999</v>
      </c>
      <c r="J2258">
        <v>17990</v>
      </c>
      <c r="N2258" t="s">
        <v>205</v>
      </c>
      <c r="O2258">
        <f t="shared" si="105"/>
        <v>49.998480000000001</v>
      </c>
      <c r="P2258">
        <f t="shared" si="106"/>
        <v>1.5077593749999973</v>
      </c>
      <c r="Q2258">
        <f t="shared" si="107"/>
        <v>1.5077593749999973</v>
      </c>
      <c r="Y2258">
        <f>TREND(H2256:H2260,G2256:G2260,G2258)</f>
        <v>51.271211666709803</v>
      </c>
      <c r="Z2258">
        <f>ABS((Y2258-H2258)/80*100)</f>
        <v>8.3155208387255541E-2</v>
      </c>
      <c r="AH2258">
        <f>H2258-AG2207</f>
        <v>51.298917499999995</v>
      </c>
      <c r="AI2258">
        <f>100*(AH2258-O2258)/80</f>
        <v>1.6255468749999924</v>
      </c>
    </row>
    <row r="2259" spans="1:41" x14ac:dyDescent="0.35">
      <c r="A2259" t="s">
        <v>298</v>
      </c>
      <c r="B2259" t="s">
        <v>1111</v>
      </c>
      <c r="C2259" t="s">
        <v>2206</v>
      </c>
      <c r="D2259">
        <v>85</v>
      </c>
      <c r="E2259">
        <v>85</v>
      </c>
      <c r="F2259">
        <v>0.5</v>
      </c>
      <c r="G2259">
        <v>0.49987199999999998</v>
      </c>
      <c r="H2259">
        <v>71.112499999999997</v>
      </c>
      <c r="J2259">
        <v>18005</v>
      </c>
      <c r="N2259" t="s">
        <v>205</v>
      </c>
      <c r="O2259">
        <f t="shared" si="105"/>
        <v>69.994879999999995</v>
      </c>
      <c r="P2259">
        <f t="shared" si="106"/>
        <v>1.3970250000000028</v>
      </c>
      <c r="Q2259">
        <f t="shared" si="107"/>
        <v>1.3970250000000028</v>
      </c>
      <c r="Y2259">
        <f>TREND(H2256:H2260,G2256:G2260,G2259)</f>
        <v>71.087465376168325</v>
      </c>
      <c r="Z2259">
        <f>ABS((Y2259-H2259)/80*100)</f>
        <v>3.12932797895904E-2</v>
      </c>
      <c r="AH2259">
        <f>H2259-AG2207</f>
        <v>71.206729999999993</v>
      </c>
      <c r="AI2259">
        <f>100*(AH2259-O2259)/80</f>
        <v>1.5148124999999979</v>
      </c>
    </row>
    <row r="2260" spans="1:41" x14ac:dyDescent="0.35">
      <c r="A2260" t="s">
        <v>298</v>
      </c>
      <c r="B2260" t="s">
        <v>1111</v>
      </c>
      <c r="C2260" t="s">
        <v>2243</v>
      </c>
      <c r="D2260">
        <v>85</v>
      </c>
      <c r="E2260">
        <v>85</v>
      </c>
      <c r="F2260">
        <v>1</v>
      </c>
      <c r="G2260">
        <v>1.0001580000000001</v>
      </c>
      <c r="H2260">
        <v>90.9609375</v>
      </c>
      <c r="J2260">
        <v>18018</v>
      </c>
      <c r="N2260" t="s">
        <v>205</v>
      </c>
      <c r="O2260">
        <f t="shared" si="105"/>
        <v>90.006319999999988</v>
      </c>
      <c r="P2260">
        <f t="shared" si="106"/>
        <v>1.1932718750000149</v>
      </c>
      <c r="Q2260">
        <f t="shared" si="107"/>
        <v>1.1932718750000149</v>
      </c>
      <c r="Y2260">
        <f>TREND(H2256:H2260,G2256:G2260,G2260)</f>
        <v>90.918623591227373</v>
      </c>
      <c r="Z2260">
        <f>ABS((Y2260-H2260)/80*100)</f>
        <v>5.2892385965783717E-2</v>
      </c>
      <c r="AH2260">
        <f>H2260-AG2207</f>
        <v>91.055167499999996</v>
      </c>
      <c r="AI2260">
        <f>100*(AH2260-O2260)/80</f>
        <v>1.3110593750000099</v>
      </c>
    </row>
    <row r="2261" spans="1:41" x14ac:dyDescent="0.35">
      <c r="A2261" t="s">
        <v>298</v>
      </c>
      <c r="B2261" t="s">
        <v>1111</v>
      </c>
      <c r="C2261" t="s">
        <v>2279</v>
      </c>
      <c r="D2261">
        <v>85</v>
      </c>
      <c r="E2261">
        <v>85</v>
      </c>
      <c r="F2261">
        <v>0</v>
      </c>
      <c r="G2261">
        <v>-1.9599999999999999E-4</v>
      </c>
      <c r="H2261">
        <v>51.171875</v>
      </c>
      <c r="J2261">
        <v>18027</v>
      </c>
      <c r="N2261" t="s">
        <v>205</v>
      </c>
      <c r="O2261">
        <f t="shared" si="105"/>
        <v>49.992159999999998</v>
      </c>
      <c r="P2261">
        <f t="shared" si="106"/>
        <v>1.474643750000002</v>
      </c>
      <c r="Q2261">
        <f t="shared" si="107"/>
        <v>1.474643750000002</v>
      </c>
      <c r="Y2261">
        <f>TREND(H2256:H2260,G2256:G2260,G2261)</f>
        <v>51.264948603186177</v>
      </c>
      <c r="Z2261">
        <f>ABS((Y2261-H2261)/80*100)</f>
        <v>0.11634200398272121</v>
      </c>
      <c r="AH2261">
        <f>H2261-AG2207</f>
        <v>51.266104999999996</v>
      </c>
      <c r="AI2261">
        <f>100*(AH2261-O2261)/80</f>
        <v>1.5924312499999971</v>
      </c>
    </row>
    <row r="2262" spans="1:41" x14ac:dyDescent="0.35">
      <c r="A2262" t="s">
        <v>298</v>
      </c>
      <c r="B2262" t="s">
        <v>1111</v>
      </c>
      <c r="C2262" t="s">
        <v>2316</v>
      </c>
      <c r="D2262">
        <v>85</v>
      </c>
      <c r="E2262">
        <v>85</v>
      </c>
      <c r="F2262">
        <v>-1</v>
      </c>
      <c r="G2262">
        <v>-1.000181</v>
      </c>
      <c r="H2262">
        <v>11.74375</v>
      </c>
      <c r="J2262">
        <v>18037</v>
      </c>
      <c r="N2262" t="s">
        <v>205</v>
      </c>
      <c r="O2262">
        <f t="shared" si="105"/>
        <v>9.9927600000000005</v>
      </c>
      <c r="P2262">
        <f t="shared" si="106"/>
        <v>2.1887374999999998</v>
      </c>
      <c r="Q2262">
        <f t="shared" si="107"/>
        <v>2.1887374999999998</v>
      </c>
      <c r="Y2262">
        <f>TREND(H2256:H2260,G2256:G2260,G2262)</f>
        <v>11.625900643247626</v>
      </c>
      <c r="Z2262">
        <f>ABS((Y2262-H2262)/80*100)</f>
        <v>0.14731169594046856</v>
      </c>
      <c r="AH2262">
        <f>H2262-AG2207</f>
        <v>11.837979999999996</v>
      </c>
      <c r="AI2262">
        <f>100*(AH2262-O2262)/80</f>
        <v>2.3065249999999948</v>
      </c>
    </row>
    <row r="2263" spans="1:41" x14ac:dyDescent="0.35">
      <c r="A2263" t="s">
        <v>298</v>
      </c>
      <c r="B2263" t="s">
        <v>1111</v>
      </c>
      <c r="C2263" t="s">
        <v>2353</v>
      </c>
      <c r="D2263">
        <v>25</v>
      </c>
      <c r="E2263">
        <v>25</v>
      </c>
      <c r="F2263">
        <v>-1</v>
      </c>
      <c r="G2263">
        <v>-1.000148</v>
      </c>
      <c r="H2263">
        <v>9.6296874999999993</v>
      </c>
      <c r="J2263">
        <v>-5848</v>
      </c>
      <c r="N2263" t="s">
        <v>205</v>
      </c>
      <c r="O2263">
        <f t="shared" si="105"/>
        <v>9.9940799999999985</v>
      </c>
      <c r="P2263">
        <f t="shared" si="106"/>
        <v>-0.45549062499999904</v>
      </c>
      <c r="Q2263">
        <f t="shared" si="107"/>
        <v>0.45549062499999904</v>
      </c>
      <c r="S2263">
        <v>49.8203125</v>
      </c>
      <c r="T2263">
        <v>-0.22015937499999971</v>
      </c>
      <c r="U2263">
        <v>90.082812500000003</v>
      </c>
      <c r="V2263">
        <v>0.10481562500000763</v>
      </c>
      <c r="W2263">
        <v>80.453121948242185</v>
      </c>
      <c r="X2263">
        <f>(W2263-80)/80*100</f>
        <v>0.56640243530273082</v>
      </c>
      <c r="Y2263">
        <f>TREND(H2263:H2267,G2263:G2267,G2263)</f>
        <v>9.584791942600134</v>
      </c>
      <c r="Z2263">
        <f>ABS((Y2263-H2263)/80*100)</f>
        <v>5.6119446749831596E-2</v>
      </c>
      <c r="AA2263">
        <f>MAX(Z2263:Z2267)</f>
        <v>7.2361464980024159E-2</v>
      </c>
      <c r="AB2263">
        <f>IF(ABS(MAX(P2263:P2269)) &gt; ABS(MIN(P2263:P2269)),MAX(P2263:P2269), MIN(P2263:P2269))</f>
        <v>-0.51331562500000372</v>
      </c>
      <c r="AC2263">
        <f>IF(ABS(AB2264)&gt;ABS(AB2263),AB2264,AB2263)</f>
        <v>-0.51331562500000372</v>
      </c>
      <c r="AH2263">
        <f>H2263-AG2207</f>
        <v>9.7239174999999953</v>
      </c>
      <c r="AI2263">
        <f>100*(AH2263-O2263)/80</f>
        <v>-0.33770312500000399</v>
      </c>
      <c r="AJ2263">
        <v>49.914542499999996</v>
      </c>
      <c r="AK2263">
        <v>-0.10237187500000466</v>
      </c>
      <c r="AL2263">
        <v>90.177042499999999</v>
      </c>
      <c r="AM2263">
        <v>0.22260312500000268</v>
      </c>
      <c r="AN2263">
        <f>IF(ABS(MAX(AI2263:AI2269)) &gt; ABS(MIN(AI2263:AI2269)),MAX(AI2263:AI2269), MIN(AI2263:AI2269))</f>
        <v>-0.39552812500000867</v>
      </c>
      <c r="AO2263">
        <f>IF(ABS(AN2264)&gt;ABS(AN2263),AN2264,AN2263)</f>
        <v>-0.39552812500000867</v>
      </c>
    </row>
    <row r="2264" spans="1:41" x14ac:dyDescent="0.35">
      <c r="A2264" t="s">
        <v>298</v>
      </c>
      <c r="B2264" t="s">
        <v>1111</v>
      </c>
      <c r="C2264" t="s">
        <v>2390</v>
      </c>
      <c r="D2264">
        <v>25</v>
      </c>
      <c r="E2264">
        <v>25</v>
      </c>
      <c r="F2264">
        <v>-0.5</v>
      </c>
      <c r="G2264">
        <v>-0.50047299999999995</v>
      </c>
      <c r="H2264">
        <v>29.634374999999999</v>
      </c>
      <c r="J2264">
        <v>-5876</v>
      </c>
      <c r="N2264" t="s">
        <v>205</v>
      </c>
      <c r="O2264">
        <f t="shared" si="105"/>
        <v>29.981080000000002</v>
      </c>
      <c r="P2264">
        <f t="shared" si="106"/>
        <v>-0.43338125000000449</v>
      </c>
      <c r="Q2264">
        <f t="shared" si="107"/>
        <v>0.43338125000000449</v>
      </c>
      <c r="Y2264">
        <f>TREND(H2263:H2267,G2263:G2267,G2264)</f>
        <v>29.692264171984018</v>
      </c>
      <c r="Z2264">
        <f>ABS((Y2264-H2264)/80*100)</f>
        <v>7.2361464980024159E-2</v>
      </c>
      <c r="AB2264">
        <f>IF(ABS(T2263) &gt; ABS(V2263),T2263,V2263)</f>
        <v>-0.22015937499999971</v>
      </c>
      <c r="AH2264">
        <f>H2264-AG2207</f>
        <v>29.728604999999995</v>
      </c>
      <c r="AI2264">
        <f>100*(AH2264-O2264)/80</f>
        <v>-0.31559375000000944</v>
      </c>
      <c r="AN2264">
        <f>IF(ABS(AK2263) &gt; ABS(AM2263),AK2263,AM2263)</f>
        <v>0.22260312500000268</v>
      </c>
    </row>
    <row r="2265" spans="1:41" x14ac:dyDescent="0.35">
      <c r="A2265" t="s">
        <v>298</v>
      </c>
      <c r="B2265" t="s">
        <v>1111</v>
      </c>
      <c r="C2265" t="s">
        <v>2426</v>
      </c>
      <c r="D2265">
        <v>25</v>
      </c>
      <c r="E2265">
        <v>25</v>
      </c>
      <c r="F2265">
        <v>0</v>
      </c>
      <c r="G2265">
        <v>-8.8999999999999995E-5</v>
      </c>
      <c r="H2265">
        <v>49.8203125</v>
      </c>
      <c r="J2265">
        <v>-5895</v>
      </c>
      <c r="N2265" t="s">
        <v>205</v>
      </c>
      <c r="O2265">
        <f t="shared" si="105"/>
        <v>49.99644</v>
      </c>
      <c r="P2265">
        <f t="shared" si="106"/>
        <v>-0.22015937499999971</v>
      </c>
      <c r="Q2265">
        <f t="shared" si="107"/>
        <v>0.22015937499999971</v>
      </c>
      <c r="Y2265">
        <f>TREND(H2263:H2267,G2263:G2267,G2265)</f>
        <v>49.828267342100638</v>
      </c>
      <c r="Z2265">
        <f>ABS((Y2265-H2265)/80*100)</f>
        <v>9.9435526257973805E-3</v>
      </c>
      <c r="AH2265">
        <f>H2265-AG2207</f>
        <v>49.914542499999996</v>
      </c>
      <c r="AI2265">
        <f>100*(AH2265-O2265)/80</f>
        <v>-0.10237187500000466</v>
      </c>
    </row>
    <row r="2266" spans="1:41" x14ac:dyDescent="0.35">
      <c r="A2266" t="s">
        <v>298</v>
      </c>
      <c r="B2266" t="s">
        <v>1111</v>
      </c>
      <c r="C2266" t="s">
        <v>2463</v>
      </c>
      <c r="D2266">
        <v>25</v>
      </c>
      <c r="E2266">
        <v>25</v>
      </c>
      <c r="F2266">
        <v>0.5</v>
      </c>
      <c r="G2266">
        <v>0.50011799999999995</v>
      </c>
      <c r="H2266">
        <v>69.967187499999994</v>
      </c>
      <c r="J2266">
        <v>-5928</v>
      </c>
      <c r="N2266" t="s">
        <v>205</v>
      </c>
      <c r="O2266">
        <f t="shared" si="105"/>
        <v>70.004720000000006</v>
      </c>
      <c r="P2266">
        <f t="shared" si="106"/>
        <v>-4.6915625000014671E-2</v>
      </c>
      <c r="Q2266">
        <f t="shared" si="107"/>
        <v>4.6915625000014671E-2</v>
      </c>
      <c r="Y2266">
        <f>TREND(H2263:H2267,G2263:G2267,G2266)</f>
        <v>69.957147837309364</v>
      </c>
      <c r="Z2266">
        <f>ABS((Y2266-H2266)/80*100)</f>
        <v>1.254957836328785E-2</v>
      </c>
      <c r="AH2266">
        <f>H2266-AG2207</f>
        <v>70.06141749999999</v>
      </c>
      <c r="AI2266">
        <f>100*(AH2266-O2266)/80</f>
        <v>7.0871874999980378E-2</v>
      </c>
    </row>
    <row r="2267" spans="1:41" x14ac:dyDescent="0.35">
      <c r="A2267" t="s">
        <v>298</v>
      </c>
      <c r="B2267" t="s">
        <v>1111</v>
      </c>
      <c r="C2267" t="s">
        <v>2500</v>
      </c>
      <c r="D2267">
        <v>25</v>
      </c>
      <c r="E2267">
        <v>24.9</v>
      </c>
      <c r="F2267">
        <v>1</v>
      </c>
      <c r="G2267">
        <v>0.99997400000000003</v>
      </c>
      <c r="H2267">
        <v>90.082812500000003</v>
      </c>
      <c r="J2267">
        <v>-5949</v>
      </c>
      <c r="N2267" t="s">
        <v>205</v>
      </c>
      <c r="O2267">
        <f t="shared" si="105"/>
        <v>89.998959999999997</v>
      </c>
      <c r="P2267">
        <f t="shared" si="106"/>
        <v>0.10481562500000763</v>
      </c>
      <c r="Q2267">
        <f t="shared" si="107"/>
        <v>0.10481562500000763</v>
      </c>
      <c r="Y2267">
        <f>TREND(H2263:H2267,G2263:G2267,G2267)</f>
        <v>90.071903706005827</v>
      </c>
      <c r="Z2267">
        <f>ABS((Y2267-H2267)/80*100)</f>
        <v>1.3635992492719851E-2</v>
      </c>
      <c r="AH2267">
        <f>H2267-AG2207</f>
        <v>90.177042499999999</v>
      </c>
      <c r="AI2267">
        <f>100*(AH2267-O2267)/80</f>
        <v>0.22260312500000268</v>
      </c>
    </row>
    <row r="2268" spans="1:41" x14ac:dyDescent="0.35">
      <c r="A2268" t="s">
        <v>298</v>
      </c>
      <c r="B2268" t="s">
        <v>1111</v>
      </c>
      <c r="C2268" t="s">
        <v>2537</v>
      </c>
      <c r="D2268">
        <v>25</v>
      </c>
      <c r="E2268">
        <v>25</v>
      </c>
      <c r="F2268">
        <v>0</v>
      </c>
      <c r="G2268">
        <v>3.9999999999999998E-6</v>
      </c>
      <c r="H2268">
        <v>49.825000000000003</v>
      </c>
      <c r="J2268">
        <v>-5960</v>
      </c>
      <c r="N2268" t="s">
        <v>205</v>
      </c>
      <c r="O2268">
        <f t="shared" si="105"/>
        <v>50.000159999999994</v>
      </c>
      <c r="P2268">
        <f t="shared" si="106"/>
        <v>-0.21894999999998888</v>
      </c>
      <c r="Q2268">
        <f t="shared" si="107"/>
        <v>0.21894999999998888</v>
      </c>
      <c r="Y2268">
        <f>TREND(H2263:H2267,G2263:G2267,G2268)</f>
        <v>49.83200976450987</v>
      </c>
      <c r="Z2268">
        <f>ABS((Y2268-H2268)/80*100)</f>
        <v>8.7622056373337642E-3</v>
      </c>
      <c r="AH2268">
        <f>H2268-AG2207</f>
        <v>49.919229999999999</v>
      </c>
      <c r="AI2268">
        <f>100*(AH2268-O2268)/80</f>
        <v>-0.10116249999999383</v>
      </c>
    </row>
    <row r="2269" spans="1:41" x14ac:dyDescent="0.35">
      <c r="A2269" t="s">
        <v>298</v>
      </c>
      <c r="B2269" t="s">
        <v>1111</v>
      </c>
      <c r="C2269" t="s">
        <v>2572</v>
      </c>
      <c r="D2269">
        <v>25</v>
      </c>
      <c r="E2269">
        <v>25</v>
      </c>
      <c r="F2269">
        <v>-1</v>
      </c>
      <c r="G2269">
        <v>-0.99992899999999996</v>
      </c>
      <c r="H2269">
        <v>9.5921874999999996</v>
      </c>
      <c r="J2269">
        <v>-5979</v>
      </c>
      <c r="N2269" t="s">
        <v>205</v>
      </c>
      <c r="O2269">
        <f t="shared" si="105"/>
        <v>10.002840000000003</v>
      </c>
      <c r="P2269">
        <f t="shared" si="106"/>
        <v>-0.51331562500000372</v>
      </c>
      <c r="Q2269">
        <f t="shared" si="107"/>
        <v>0.51331562500000372</v>
      </c>
      <c r="Y2269">
        <f>TREND(H2263:H2267,G2263:G2267,G2269)</f>
        <v>9.5936047437573606</v>
      </c>
      <c r="Z2269">
        <f>ABS((Y2269-H2269)/80*100)</f>
        <v>1.7715546967012052E-3</v>
      </c>
      <c r="AH2269">
        <f>H2269-AG2207</f>
        <v>9.6864174999999957</v>
      </c>
      <c r="AI2269">
        <f>100*(AH2269-O2269)/80</f>
        <v>-0.39552812500000867</v>
      </c>
    </row>
    <row r="2270" spans="1:41" x14ac:dyDescent="0.35">
      <c r="A2270" t="s">
        <v>300</v>
      </c>
      <c r="B2270" t="s">
        <v>231</v>
      </c>
      <c r="C2270" t="s">
        <v>301</v>
      </c>
      <c r="D2270">
        <v>25</v>
      </c>
      <c r="E2270">
        <v>25</v>
      </c>
      <c r="F2270">
        <v>-1</v>
      </c>
      <c r="G2270">
        <v>-1.000062</v>
      </c>
      <c r="H2270">
        <v>10.0765625</v>
      </c>
      <c r="J2270">
        <v>-6195</v>
      </c>
      <c r="N2270" t="s">
        <v>206</v>
      </c>
      <c r="O2270">
        <f t="shared" si="105"/>
        <v>9.9975199999999997</v>
      </c>
      <c r="P2270">
        <f t="shared" si="106"/>
        <v>9.8803124999999881E-2</v>
      </c>
      <c r="Q2270">
        <f t="shared" si="107"/>
        <v>9.8803124999999881E-2</v>
      </c>
      <c r="S2270">
        <v>50.021875000000001</v>
      </c>
      <c r="T2270">
        <v>2.9043749999999591E-2</v>
      </c>
      <c r="U2270">
        <v>90.184375000000003</v>
      </c>
      <c r="V2270">
        <v>0.23706875000000238</v>
      </c>
      <c r="W2270">
        <v>80.107809448242193</v>
      </c>
      <c r="X2270">
        <f>(W2270-80)/80*100</f>
        <v>0.13476181030274148</v>
      </c>
      <c r="Y2270">
        <f>TREND(H2270:H2274,G2270:G2274,G2270)</f>
        <v>10.017491217350667</v>
      </c>
      <c r="Z2270">
        <f>ABS((Y2270-H2270)/80*100)</f>
        <v>7.3839103311665877E-2</v>
      </c>
      <c r="AA2270">
        <f>MAX(Z2270:Z2274)</f>
        <v>9.3019508860736622E-2</v>
      </c>
      <c r="AB2270">
        <f>IF(ABS(MAX(P2270:P2276)) &gt; ABS(MIN(P2270:P2276)),MAX(P2270:P2276), MIN(P2270:P2276))</f>
        <v>0.23706875000000238</v>
      </c>
      <c r="AC2270">
        <f>IF(ABS(AB2271)&gt;ABS(AB2270),AB2271,AB2270)</f>
        <v>0.23706875000000238</v>
      </c>
      <c r="AD2270">
        <f>MAX(AD2271:AD2272)</f>
        <v>2.8953125000004132E-2</v>
      </c>
      <c r="AE2270">
        <f>MAX(AE2271:AE2291)</f>
        <v>0.25757187500000223</v>
      </c>
      <c r="AF2270">
        <f>MAX(AD2270,AA2270)</f>
        <v>9.3019508860736622E-2</v>
      </c>
      <c r="AG2270">
        <f>H2272-O2272</f>
        <v>2.3234999999999673E-2</v>
      </c>
      <c r="AH2270">
        <f>H2270-AG2270</f>
        <v>10.0533275</v>
      </c>
      <c r="AI2270">
        <f>100*(AH2270-O2270)/80</f>
        <v>6.975937500000029E-2</v>
      </c>
      <c r="AJ2270">
        <v>49.998640000000002</v>
      </c>
      <c r="AK2270">
        <v>0</v>
      </c>
      <c r="AL2270">
        <v>90.161140000000003</v>
      </c>
      <c r="AM2270">
        <v>0.20802500000000279</v>
      </c>
      <c r="AN2270">
        <f>IF(ABS(MAX(AI2270:AI2276)) &gt; ABS(MIN(AI2270:AI2276)),MAX(AI2270:AI2276), MIN(AI2270:AI2276))</f>
        <v>0.20802500000000279</v>
      </c>
      <c r="AO2270">
        <f>IF(ABS(AN2271)&gt;ABS(AN2270),AN2271,AN2270)</f>
        <v>0.20802500000000279</v>
      </c>
    </row>
    <row r="2271" spans="1:41" x14ac:dyDescent="0.35">
      <c r="A2271" t="s">
        <v>300</v>
      </c>
      <c r="B2271" t="s">
        <v>231</v>
      </c>
      <c r="C2271" t="s">
        <v>341</v>
      </c>
      <c r="D2271">
        <v>25</v>
      </c>
      <c r="E2271">
        <v>25</v>
      </c>
      <c r="F2271">
        <v>-0.5</v>
      </c>
      <c r="G2271">
        <v>-0.50012999999999996</v>
      </c>
      <c r="H2271">
        <v>30.009374999999999</v>
      </c>
      <c r="J2271">
        <v>-6200</v>
      </c>
      <c r="N2271" t="s">
        <v>206</v>
      </c>
      <c r="O2271">
        <f t="shared" si="105"/>
        <v>29.994800000000001</v>
      </c>
      <c r="P2271">
        <f t="shared" si="106"/>
        <v>1.8218749999996398E-2</v>
      </c>
      <c r="Q2271">
        <f t="shared" si="107"/>
        <v>1.8218749999996398E-2</v>
      </c>
      <c r="Y2271">
        <f>TREND(H2270:H2274,G2270:G2274,G2271)</f>
        <v>30.053604542688017</v>
      </c>
      <c r="Z2271">
        <f>ABS((Y2271-H2271)/80*100)</f>
        <v>5.5286928360023246E-2</v>
      </c>
      <c r="AB2271">
        <f>IF(ABS(T2270) &gt; ABS(V2270),T2270,V2270)</f>
        <v>0.23706875000000238</v>
      </c>
      <c r="AD2271">
        <f>ABS(P2272-P2275)</f>
        <v>1.2971874999996302E-2</v>
      </c>
      <c r="AE2271">
        <f>ABS(P2298-P2270)</f>
        <v>0.13662187500000256</v>
      </c>
      <c r="AH2271">
        <f>H2271-AG2270</f>
        <v>29.986139999999999</v>
      </c>
      <c r="AI2271">
        <f>100*(AH2271-O2271)/80</f>
        <v>-1.0825000000003193E-2</v>
      </c>
      <c r="AN2271">
        <f>IF(ABS(AK2270) &gt; ABS(AM2270),AK2270,AM2270)</f>
        <v>0.20802500000000279</v>
      </c>
    </row>
    <row r="2272" spans="1:41" x14ac:dyDescent="0.35">
      <c r="A2272" t="s">
        <v>300</v>
      </c>
      <c r="B2272" t="s">
        <v>231</v>
      </c>
      <c r="C2272" t="s">
        <v>377</v>
      </c>
      <c r="D2272">
        <v>25</v>
      </c>
      <c r="E2272">
        <v>25</v>
      </c>
      <c r="F2272">
        <v>0</v>
      </c>
      <c r="G2272">
        <v>-3.4E-5</v>
      </c>
      <c r="H2272">
        <v>50.021875000000001</v>
      </c>
      <c r="J2272">
        <v>-6195</v>
      </c>
      <c r="N2272" t="s">
        <v>206</v>
      </c>
      <c r="O2272">
        <f t="shared" si="105"/>
        <v>49.998640000000002</v>
      </c>
      <c r="P2272">
        <f t="shared" si="106"/>
        <v>2.9043749999999591E-2</v>
      </c>
      <c r="Q2272">
        <f t="shared" si="107"/>
        <v>2.9043749999999591E-2</v>
      </c>
      <c r="Y2272">
        <f>TREND(H2270:H2274,G2270:G2274,G2272)</f>
        <v>50.096290607088591</v>
      </c>
      <c r="Z2272">
        <f>ABS((Y2272-H2272)/80*100)</f>
        <v>9.3019508860736622E-2</v>
      </c>
      <c r="AD2272">
        <f>ABS(P2270-P2276)</f>
        <v>2.8953125000004132E-2</v>
      </c>
      <c r="AE2272">
        <f>ABS(P2299-P2271)</f>
        <v>7.3656250000020407E-3</v>
      </c>
      <c r="AH2272">
        <f>H2272-AG2270</f>
        <v>49.998640000000002</v>
      </c>
      <c r="AI2272">
        <f>100*(AH2272-O2272)/80</f>
        <v>0</v>
      </c>
    </row>
    <row r="2273" spans="1:41" x14ac:dyDescent="0.35">
      <c r="A2273" t="s">
        <v>300</v>
      </c>
      <c r="B2273" t="s">
        <v>231</v>
      </c>
      <c r="C2273" t="s">
        <v>414</v>
      </c>
      <c r="D2273">
        <v>25</v>
      </c>
      <c r="E2273">
        <v>25</v>
      </c>
      <c r="F2273">
        <v>0.5</v>
      </c>
      <c r="G2273">
        <v>0.49998799999999999</v>
      </c>
      <c r="H2273">
        <v>70.181250000000006</v>
      </c>
      <c r="J2273">
        <v>-6204</v>
      </c>
      <c r="N2273" t="s">
        <v>206</v>
      </c>
      <c r="O2273">
        <f t="shared" si="105"/>
        <v>69.999520000000004</v>
      </c>
      <c r="P2273">
        <f t="shared" si="106"/>
        <v>0.22716250000000215</v>
      </c>
      <c r="Q2273">
        <f t="shared" si="107"/>
        <v>0.22716250000000215</v>
      </c>
      <c r="Y2273">
        <f>TREND(H2270:H2274,G2270:G2274,G2273)</f>
        <v>70.136010923375267</v>
      </c>
      <c r="Z2273">
        <f>ABS((Y2273-H2273)/80*100)</f>
        <v>5.6548845780923784E-2</v>
      </c>
      <c r="AE2273">
        <f>ABS(P2300-P2272)</f>
        <v>0.13790625000000389</v>
      </c>
      <c r="AH2273">
        <f>H2273-AG2270</f>
        <v>70.158015000000006</v>
      </c>
      <c r="AI2273">
        <f>100*(AH2273-O2273)/80</f>
        <v>0.19811875000000256</v>
      </c>
    </row>
    <row r="2274" spans="1:41" x14ac:dyDescent="0.35">
      <c r="A2274" t="s">
        <v>300</v>
      </c>
      <c r="B2274" t="s">
        <v>231</v>
      </c>
      <c r="C2274" t="s">
        <v>451</v>
      </c>
      <c r="D2274">
        <v>25</v>
      </c>
      <c r="E2274">
        <v>25</v>
      </c>
      <c r="F2274">
        <v>1</v>
      </c>
      <c r="G2274">
        <v>0.99986799999999998</v>
      </c>
      <c r="H2274">
        <v>90.184375000000003</v>
      </c>
      <c r="J2274">
        <v>-6198</v>
      </c>
      <c r="N2274" t="s">
        <v>206</v>
      </c>
      <c r="O2274">
        <f t="shared" si="105"/>
        <v>89.994720000000001</v>
      </c>
      <c r="P2274">
        <f t="shared" si="106"/>
        <v>0.23706875000000238</v>
      </c>
      <c r="Q2274">
        <f t="shared" si="107"/>
        <v>0.23706875000000238</v>
      </c>
      <c r="Y2274">
        <f>TREND(H2270:H2274,G2270:G2274,G2274)</f>
        <v>90.170040209497444</v>
      </c>
      <c r="Z2274">
        <f>ABS((Y2274-H2274)/80*100)</f>
        <v>1.7918488128199073E-2</v>
      </c>
      <c r="AE2274">
        <f>ABS(P2301-P2273)</f>
        <v>6.8900000000002848E-2</v>
      </c>
      <c r="AH2274">
        <f>H2274-AG2270</f>
        <v>90.161140000000003</v>
      </c>
      <c r="AI2274">
        <f>100*(AH2274-O2274)/80</f>
        <v>0.20802500000000279</v>
      </c>
    </row>
    <row r="2275" spans="1:41" x14ac:dyDescent="0.35">
      <c r="A2275" t="s">
        <v>300</v>
      </c>
      <c r="B2275" t="s">
        <v>231</v>
      </c>
      <c r="C2275" t="s">
        <v>488</v>
      </c>
      <c r="D2275">
        <v>25</v>
      </c>
      <c r="E2275">
        <v>25</v>
      </c>
      <c r="F2275">
        <v>0</v>
      </c>
      <c r="G2275">
        <v>-2.0000000000000002E-5</v>
      </c>
      <c r="H2275">
        <v>50.032812499999999</v>
      </c>
      <c r="J2275">
        <v>-6193</v>
      </c>
      <c r="N2275" t="s">
        <v>206</v>
      </c>
      <c r="O2275">
        <f t="shared" si="105"/>
        <v>49.999200000000002</v>
      </c>
      <c r="P2275">
        <f t="shared" si="106"/>
        <v>4.2015624999995893E-2</v>
      </c>
      <c r="Q2275">
        <f t="shared" si="107"/>
        <v>4.2015624999995893E-2</v>
      </c>
      <c r="Y2275">
        <f>TREND(H2270:H2274,G2270:G2274,G2275)</f>
        <v>50.096851694569601</v>
      </c>
      <c r="Z2275">
        <f>ABS((Y2275-H2275)/80*100)</f>
        <v>8.0048993212002983E-2</v>
      </c>
      <c r="AE2275">
        <f>ABS(P2302-P2274)</f>
        <v>0.17719375000000426</v>
      </c>
      <c r="AH2275">
        <f>H2275-AG2270</f>
        <v>50.009577499999999</v>
      </c>
      <c r="AI2275">
        <f>100*(AH2275-O2275)/80</f>
        <v>1.2971874999996302E-2</v>
      </c>
    </row>
    <row r="2276" spans="1:41" x14ac:dyDescent="0.35">
      <c r="A2276" t="s">
        <v>300</v>
      </c>
      <c r="B2276" t="s">
        <v>231</v>
      </c>
      <c r="C2276" t="s">
        <v>525</v>
      </c>
      <c r="D2276">
        <v>25</v>
      </c>
      <c r="E2276">
        <v>25</v>
      </c>
      <c r="F2276">
        <v>-1</v>
      </c>
      <c r="G2276">
        <v>-1.0001469999999999</v>
      </c>
      <c r="H2276">
        <v>10.050000000000001</v>
      </c>
      <c r="J2276">
        <v>-6198</v>
      </c>
      <c r="N2276" t="s">
        <v>206</v>
      </c>
      <c r="O2276">
        <f t="shared" si="105"/>
        <v>9.9941200000000041</v>
      </c>
      <c r="P2276">
        <f t="shared" si="106"/>
        <v>6.9849999999995749E-2</v>
      </c>
      <c r="Q2276">
        <f t="shared" si="107"/>
        <v>6.9849999999995749E-2</v>
      </c>
      <c r="Y2276">
        <f>TREND(H2270:H2274,G2270:G2274,G2276)</f>
        <v>10.014084614787414</v>
      </c>
      <c r="Z2276">
        <f>ABS((Y2276-H2276)/80*100)</f>
        <v>4.4894231515733019E-2</v>
      </c>
      <c r="AE2276">
        <f>ABS(P2303-P2275)</f>
        <v>9.5493750000006372E-2</v>
      </c>
      <c r="AH2276">
        <f>H2276-AG2270</f>
        <v>10.026765000000001</v>
      </c>
      <c r="AI2276">
        <f>100*(AH2276-O2276)/80</f>
        <v>4.0806249999996158E-2</v>
      </c>
    </row>
    <row r="2277" spans="1:41" x14ac:dyDescent="0.35">
      <c r="A2277" t="s">
        <v>300</v>
      </c>
      <c r="B2277" t="s">
        <v>231</v>
      </c>
      <c r="C2277" t="s">
        <v>562</v>
      </c>
      <c r="D2277">
        <v>-20</v>
      </c>
      <c r="E2277">
        <v>-20.100000000000001</v>
      </c>
      <c r="F2277">
        <v>-1</v>
      </c>
      <c r="G2277">
        <v>-1.0001119999999999</v>
      </c>
      <c r="H2277">
        <v>10.34375</v>
      </c>
      <c r="J2277">
        <v>-24552</v>
      </c>
      <c r="N2277" t="s">
        <v>206</v>
      </c>
      <c r="O2277">
        <f t="shared" si="105"/>
        <v>9.9955200000000044</v>
      </c>
      <c r="P2277">
        <f t="shared" si="106"/>
        <v>0.4352874999999945</v>
      </c>
      <c r="Q2277">
        <f t="shared" si="107"/>
        <v>0.4352874999999945</v>
      </c>
      <c r="S2277">
        <v>50.306249999999999</v>
      </c>
      <c r="T2277">
        <v>0.42006250000000023</v>
      </c>
      <c r="U2277">
        <v>90.392187500000006</v>
      </c>
      <c r="V2277">
        <v>0.49713437500001234</v>
      </c>
      <c r="W2277">
        <v>80.048439025878906</v>
      </c>
      <c r="X2277">
        <f>(W2277-80)/80*100</f>
        <v>6.0548782348632813E-2</v>
      </c>
      <c r="Y2277">
        <f>TREND(H2277:H2281,G2277:G2281,G2277)</f>
        <v>10.309985594430941</v>
      </c>
      <c r="Z2277">
        <f>ABS((Y2277-H2277)/80*100)</f>
        <v>4.2205506961323636E-2</v>
      </c>
      <c r="AA2277">
        <f>MAX(Z2277:Z2281)</f>
        <v>6.841009471287407E-2</v>
      </c>
      <c r="AB2277">
        <f>IF(ABS(MAX(P2277:P2283)) &gt; ABS(MIN(P2277:P2283)),MAX(P2277:P2283), MIN(P2277:P2283))</f>
        <v>0.519578125000002</v>
      </c>
      <c r="AC2277">
        <f>IF(ABS(AB2278)&gt;ABS(AB2277),AB2278,AB2277)</f>
        <v>0.519578125000002</v>
      </c>
      <c r="AE2277">
        <f>ABS(P2304-P2276)</f>
        <v>4.258750000000644E-2</v>
      </c>
      <c r="AH2277">
        <f>H2277-AG2270</f>
        <v>10.320515</v>
      </c>
      <c r="AI2277">
        <f>100*(AH2277-O2277)/80</f>
        <v>0.40624374999999491</v>
      </c>
      <c r="AJ2277">
        <v>50.283014999999999</v>
      </c>
      <c r="AK2277">
        <v>0.39101875000000064</v>
      </c>
      <c r="AL2277">
        <v>90.368952500000006</v>
      </c>
      <c r="AM2277">
        <v>0.46809062500001275</v>
      </c>
      <c r="AN2277">
        <f>IF(ABS(MAX(AI2277:AI2283)) &gt; ABS(MIN(AI2277:AI2283)),MAX(AI2277:AI2283), MIN(AI2277:AI2283))</f>
        <v>0.49053437500000241</v>
      </c>
      <c r="AO2277">
        <f>IF(ABS(AN2278)&gt;ABS(AN2277),AN2278,AN2277)</f>
        <v>0.49053437500000241</v>
      </c>
    </row>
    <row r="2278" spans="1:41" x14ac:dyDescent="0.35">
      <c r="A2278" t="s">
        <v>300</v>
      </c>
      <c r="B2278" t="s">
        <v>231</v>
      </c>
      <c r="C2278" t="s">
        <v>599</v>
      </c>
      <c r="D2278">
        <v>-20</v>
      </c>
      <c r="E2278">
        <v>-19.899999999999999</v>
      </c>
      <c r="F2278">
        <v>-0.5</v>
      </c>
      <c r="G2278">
        <v>-0.50006099999999998</v>
      </c>
      <c r="H2278">
        <v>30.292187500000001</v>
      </c>
      <c r="J2278">
        <v>-24542</v>
      </c>
      <c r="N2278" t="s">
        <v>206</v>
      </c>
      <c r="O2278">
        <f t="shared" si="105"/>
        <v>29.99756</v>
      </c>
      <c r="P2278">
        <f t="shared" si="106"/>
        <v>0.36828437500000089</v>
      </c>
      <c r="Q2278">
        <f t="shared" si="107"/>
        <v>0.36828437500000089</v>
      </c>
      <c r="Y2278">
        <f>TREND(H2277:H2281,G2277:G2281,G2278)</f>
        <v>30.321174480438806</v>
      </c>
      <c r="Z2278">
        <f>ABS((Y2278-H2278)/80*100)</f>
        <v>3.623372554850679E-2</v>
      </c>
      <c r="AB2278">
        <f>IF(ABS(T2277) &gt; ABS(V2277),T2277,V2277)</f>
        <v>0.49713437500001234</v>
      </c>
      <c r="AE2278">
        <f>ABS(P2326-P2270)</f>
        <v>0.12094999999999967</v>
      </c>
      <c r="AH2278">
        <f>H2278-AG2270</f>
        <v>30.268952500000001</v>
      </c>
      <c r="AI2278">
        <f>100*(AH2278-O2278)/80</f>
        <v>0.33924062500000129</v>
      </c>
      <c r="AN2278">
        <f>IF(ABS(AK2277) &gt; ABS(AM2277),AK2277,AM2277)</f>
        <v>0.46809062500001275</v>
      </c>
    </row>
    <row r="2279" spans="1:41" x14ac:dyDescent="0.35">
      <c r="A2279" t="s">
        <v>300</v>
      </c>
      <c r="B2279" t="s">
        <v>231</v>
      </c>
      <c r="C2279" t="s">
        <v>636</v>
      </c>
      <c r="D2279">
        <v>-20</v>
      </c>
      <c r="E2279">
        <v>-20</v>
      </c>
      <c r="F2279">
        <v>0</v>
      </c>
      <c r="G2279">
        <v>-7.45E-4</v>
      </c>
      <c r="H2279">
        <v>50.306249999999999</v>
      </c>
      <c r="J2279">
        <v>-24554</v>
      </c>
      <c r="N2279" t="s">
        <v>206</v>
      </c>
      <c r="O2279">
        <f t="shared" si="105"/>
        <v>49.970199999999998</v>
      </c>
      <c r="P2279">
        <f t="shared" si="106"/>
        <v>0.42006250000000023</v>
      </c>
      <c r="Q2279">
        <f t="shared" si="107"/>
        <v>0.42006250000000023</v>
      </c>
      <c r="Y2279">
        <f>TREND(H2277:H2281,G2277:G2281,G2279)</f>
        <v>50.302949918955889</v>
      </c>
      <c r="Z2279">
        <f>ABS((Y2279-H2279)/80*100)</f>
        <v>4.1251013051368801E-3</v>
      </c>
      <c r="AE2279">
        <f>ABS(P2327-P2271)</f>
        <v>0.15427812499999582</v>
      </c>
      <c r="AH2279">
        <f>H2279-AG2270</f>
        <v>50.283014999999999</v>
      </c>
      <c r="AI2279">
        <f>100*(AH2279-O2279)/80</f>
        <v>0.39101875000000064</v>
      </c>
    </row>
    <row r="2280" spans="1:41" x14ac:dyDescent="0.35">
      <c r="A2280" t="s">
        <v>300</v>
      </c>
      <c r="B2280" t="s">
        <v>231</v>
      </c>
      <c r="C2280" t="s">
        <v>671</v>
      </c>
      <c r="D2280">
        <v>-20</v>
      </c>
      <c r="E2280">
        <v>-20</v>
      </c>
      <c r="F2280">
        <v>0.5</v>
      </c>
      <c r="G2280">
        <v>0.50008600000000003</v>
      </c>
      <c r="H2280">
        <v>70.290625000000006</v>
      </c>
      <c r="J2280">
        <v>-24552</v>
      </c>
      <c r="N2280" t="s">
        <v>206</v>
      </c>
      <c r="O2280">
        <f t="shared" si="105"/>
        <v>70.003439999999998</v>
      </c>
      <c r="P2280">
        <f t="shared" si="106"/>
        <v>0.35898125000001002</v>
      </c>
      <c r="Q2280">
        <f t="shared" si="107"/>
        <v>0.35898125000001002</v>
      </c>
      <c r="Y2280">
        <f>TREND(H2277:H2281,G2277:G2281,G2280)</f>
        <v>70.345353075770305</v>
      </c>
      <c r="Z2280">
        <f>ABS((Y2280-H2280)/80*100)</f>
        <v>6.841009471287407E-2</v>
      </c>
      <c r="AE2280">
        <f>ABS(P2328-P2272)</f>
        <v>3.5662499999995489E-2</v>
      </c>
      <c r="AH2280">
        <f>H2280-AG2270</f>
        <v>70.267390000000006</v>
      </c>
      <c r="AI2280">
        <f>100*(AH2280-O2280)/80</f>
        <v>0.32993750000001043</v>
      </c>
    </row>
    <row r="2281" spans="1:41" x14ac:dyDescent="0.35">
      <c r="A2281" t="s">
        <v>300</v>
      </c>
      <c r="B2281" t="s">
        <v>231</v>
      </c>
      <c r="C2281" t="s">
        <v>708</v>
      </c>
      <c r="D2281">
        <v>-20</v>
      </c>
      <c r="E2281">
        <v>-20</v>
      </c>
      <c r="F2281">
        <v>1</v>
      </c>
      <c r="G2281">
        <v>0.99986200000000003</v>
      </c>
      <c r="H2281">
        <v>90.392187500000006</v>
      </c>
      <c r="J2281">
        <v>-24556</v>
      </c>
      <c r="N2281" t="s">
        <v>206</v>
      </c>
      <c r="O2281">
        <f t="shared" si="105"/>
        <v>89.994479999999996</v>
      </c>
      <c r="P2281">
        <f t="shared" si="106"/>
        <v>0.49713437500001234</v>
      </c>
      <c r="Q2281">
        <f t="shared" si="107"/>
        <v>0.49713437500001234</v>
      </c>
      <c r="Y2281">
        <f>TREND(H2277:H2281,G2277:G2281,G2281)</f>
        <v>90.34553693040408</v>
      </c>
      <c r="Z2281">
        <f>ABS((Y2281-H2281)/80*100)</f>
        <v>5.8313211994907022E-2</v>
      </c>
      <c r="AE2281">
        <f>ABS(P2329-P2273)</f>
        <v>0.11352500000000987</v>
      </c>
      <c r="AH2281">
        <f>H2281-AG2270</f>
        <v>90.368952500000006</v>
      </c>
      <c r="AI2281">
        <f>100*(AH2281-O2281)/80</f>
        <v>0.46809062500001275</v>
      </c>
    </row>
    <row r="2282" spans="1:41" x14ac:dyDescent="0.35">
      <c r="A2282" t="s">
        <v>300</v>
      </c>
      <c r="B2282" t="s">
        <v>231</v>
      </c>
      <c r="C2282" t="s">
        <v>745</v>
      </c>
      <c r="D2282">
        <v>-20</v>
      </c>
      <c r="E2282">
        <v>-20</v>
      </c>
      <c r="F2282">
        <v>0</v>
      </c>
      <c r="G2282">
        <v>8.7000000000000001E-5</v>
      </c>
      <c r="H2282">
        <v>50.243749999999999</v>
      </c>
      <c r="J2282">
        <v>-24559</v>
      </c>
      <c r="N2282" t="s">
        <v>206</v>
      </c>
      <c r="O2282">
        <f t="shared" si="105"/>
        <v>50.003479999999996</v>
      </c>
      <c r="P2282">
        <f t="shared" si="106"/>
        <v>0.30033750000000303</v>
      </c>
      <c r="Q2282">
        <f t="shared" si="107"/>
        <v>0.30033750000000303</v>
      </c>
      <c r="Y2282">
        <f>TREND(H2277:H2281,G2277:G2281,G2282)</f>
        <v>50.33624514114954</v>
      </c>
      <c r="Z2282">
        <f>ABS((Y2282-H2282)/80*100)</f>
        <v>0.11561892643692673</v>
      </c>
      <c r="AE2282">
        <f>ABS(P2330-P2274)</f>
        <v>1.4184374999981486E-2</v>
      </c>
      <c r="AH2282">
        <f>H2282-AG2270</f>
        <v>50.220514999999999</v>
      </c>
      <c r="AI2282">
        <f>100*(AH2282-O2282)/80</f>
        <v>0.27129375000000344</v>
      </c>
    </row>
    <row r="2283" spans="1:41" x14ac:dyDescent="0.35">
      <c r="A2283" t="s">
        <v>300</v>
      </c>
      <c r="B2283" t="s">
        <v>231</v>
      </c>
      <c r="C2283" t="s">
        <v>780</v>
      </c>
      <c r="D2283">
        <v>-20</v>
      </c>
      <c r="E2283">
        <v>-20.100000000000001</v>
      </c>
      <c r="F2283">
        <v>-1</v>
      </c>
      <c r="G2283">
        <v>-1.00004</v>
      </c>
      <c r="H2283">
        <v>10.4140625</v>
      </c>
      <c r="J2283">
        <v>-24578</v>
      </c>
      <c r="N2283" t="s">
        <v>206</v>
      </c>
      <c r="O2283">
        <f t="shared" si="105"/>
        <v>9.9983999999999984</v>
      </c>
      <c r="P2283">
        <f t="shared" si="106"/>
        <v>0.519578125000002</v>
      </c>
      <c r="Q2283">
        <f t="shared" si="107"/>
        <v>0.519578125000002</v>
      </c>
      <c r="Y2283">
        <f>TREND(H2277:H2281,G2277:G2281,G2283)</f>
        <v>10.312866911736158</v>
      </c>
      <c r="Z2283">
        <f>ABS((Y2283-H2283)/80*100)</f>
        <v>0.12649448532980223</v>
      </c>
      <c r="AE2283">
        <f>ABS(P2331-P2275)</f>
        <v>6.7059374999995924E-2</v>
      </c>
      <c r="AH2283">
        <f>H2283-AG2270</f>
        <v>10.3908275</v>
      </c>
      <c r="AI2283">
        <f>100*(AH2283-O2283)/80</f>
        <v>0.49053437500000241</v>
      </c>
    </row>
    <row r="2284" spans="1:41" x14ac:dyDescent="0.35">
      <c r="A2284" t="s">
        <v>300</v>
      </c>
      <c r="B2284" t="s">
        <v>231</v>
      </c>
      <c r="C2284" t="s">
        <v>817</v>
      </c>
      <c r="D2284">
        <v>0</v>
      </c>
      <c r="E2284">
        <v>-0.3</v>
      </c>
      <c r="F2284">
        <v>-1</v>
      </c>
      <c r="G2284">
        <v>-0.99982899999999997</v>
      </c>
      <c r="H2284">
        <v>10.3359375</v>
      </c>
      <c r="J2284">
        <v>-16634</v>
      </c>
      <c r="N2284" t="s">
        <v>206</v>
      </c>
      <c r="O2284">
        <f t="shared" si="105"/>
        <v>10.00684</v>
      </c>
      <c r="P2284">
        <f t="shared" si="106"/>
        <v>0.4113718749999995</v>
      </c>
      <c r="Q2284">
        <f t="shared" si="107"/>
        <v>0.4113718749999995</v>
      </c>
      <c r="S2284">
        <v>50.129687500000003</v>
      </c>
      <c r="T2284">
        <v>0.1799093750000047</v>
      </c>
      <c r="U2284">
        <v>90.260937499999997</v>
      </c>
      <c r="V2284">
        <v>0.33847187499999265</v>
      </c>
      <c r="W2284">
        <v>79.925003051757813</v>
      </c>
      <c r="X2284">
        <f>(W2284-80)/80*100</f>
        <v>-9.3746185302734375E-2</v>
      </c>
      <c r="Y2284">
        <f>TREND(H2284:H2288,G2284:G2288,G2284)</f>
        <v>10.208178802669167</v>
      </c>
      <c r="Z2284">
        <f>ABS((Y2284-H2284)/80*100)</f>
        <v>0.15969837166354139</v>
      </c>
      <c r="AA2284">
        <f>MAX(Z2284:Z2288)</f>
        <v>0.16835423397801641</v>
      </c>
      <c r="AB2284">
        <f>IF(ABS(MAX(P2284:P2290)) &gt; ABS(MIN(P2284:P2290)),MAX(P2284:P2290), MIN(P2284:P2290))</f>
        <v>0.4113718749999995</v>
      </c>
      <c r="AC2284">
        <f>IF(ABS(AB2285)&gt;ABS(AB2284),AB2285,AB2284)</f>
        <v>0.4113718749999995</v>
      </c>
      <c r="AE2284">
        <f>ABS(P2332-P2276)</f>
        <v>9.5981249999996798E-2</v>
      </c>
      <c r="AH2284">
        <f>H2284-AG2270</f>
        <v>10.3127025</v>
      </c>
      <c r="AI2284">
        <f>100*(AH2284-O2284)/80</f>
        <v>0.38232812499999991</v>
      </c>
      <c r="AJ2284">
        <v>50.106452500000003</v>
      </c>
      <c r="AK2284">
        <v>0.15086562500000511</v>
      </c>
      <c r="AL2284">
        <v>90.237702499999997</v>
      </c>
      <c r="AM2284">
        <v>0.30942812499999306</v>
      </c>
      <c r="AN2284">
        <f>IF(ABS(MAX(AI2284:AI2290)) &gt; ABS(MIN(AI2284:AI2290)),MAX(AI2284:AI2290), MIN(AI2284:AI2290))</f>
        <v>0.38232812499999991</v>
      </c>
      <c r="AO2284">
        <f>IF(ABS(AN2285)&gt;ABS(AN2284),AN2285,AN2284)</f>
        <v>0.38232812499999991</v>
      </c>
    </row>
    <row r="2285" spans="1:41" x14ac:dyDescent="0.35">
      <c r="A2285" t="s">
        <v>300</v>
      </c>
      <c r="B2285" t="s">
        <v>231</v>
      </c>
      <c r="C2285" t="s">
        <v>854</v>
      </c>
      <c r="D2285">
        <v>0</v>
      </c>
      <c r="E2285">
        <v>0.1</v>
      </c>
      <c r="F2285">
        <v>-0.5</v>
      </c>
      <c r="G2285">
        <v>-0.49995400000000001</v>
      </c>
      <c r="H2285">
        <v>30.074999999999999</v>
      </c>
      <c r="J2285">
        <v>-16585</v>
      </c>
      <c r="N2285" t="s">
        <v>206</v>
      </c>
      <c r="O2285">
        <f t="shared" si="105"/>
        <v>30.001840000000001</v>
      </c>
      <c r="P2285">
        <f t="shared" si="106"/>
        <v>9.1449999999997367E-2</v>
      </c>
      <c r="Q2285">
        <f t="shared" si="107"/>
        <v>9.1449999999997367E-2</v>
      </c>
      <c r="Y2285">
        <f>TREND(H2284:H2288,G2284:G2288,G2285)</f>
        <v>30.209683387182412</v>
      </c>
      <c r="Z2285">
        <f>ABS((Y2285-H2285)/80*100)</f>
        <v>0.16835423397801641</v>
      </c>
      <c r="AB2285">
        <f>IF(ABS(T2284) &gt; ABS(V2284),T2284,V2284)</f>
        <v>0.33847187499999265</v>
      </c>
      <c r="AE2285">
        <f>ABS(P2326-P2298)</f>
        <v>0.25757187500000223</v>
      </c>
      <c r="AH2285">
        <f>H2285-AG2270</f>
        <v>30.051765</v>
      </c>
      <c r="AI2285">
        <f>100*(AH2285-O2285)/80</f>
        <v>6.2406249999997776E-2</v>
      </c>
      <c r="AN2285">
        <f>IF(ABS(AK2284) &gt; ABS(AM2284),AK2284,AM2284)</f>
        <v>0.30942812499999306</v>
      </c>
    </row>
    <row r="2286" spans="1:41" x14ac:dyDescent="0.35">
      <c r="A2286" t="s">
        <v>300</v>
      </c>
      <c r="B2286" t="s">
        <v>231</v>
      </c>
      <c r="C2286" t="s">
        <v>889</v>
      </c>
      <c r="D2286">
        <v>0</v>
      </c>
      <c r="E2286">
        <v>0</v>
      </c>
      <c r="F2286">
        <v>0</v>
      </c>
      <c r="G2286">
        <v>-3.5599999999999998E-4</v>
      </c>
      <c r="H2286">
        <v>50.129687500000003</v>
      </c>
      <c r="J2286">
        <v>-16570</v>
      </c>
      <c r="N2286" t="s">
        <v>206</v>
      </c>
      <c r="O2286">
        <f t="shared" si="105"/>
        <v>49.985759999999999</v>
      </c>
      <c r="P2286">
        <f t="shared" si="106"/>
        <v>0.1799093750000047</v>
      </c>
      <c r="Q2286">
        <f t="shared" si="107"/>
        <v>0.1799093750000047</v>
      </c>
      <c r="Y2286">
        <f>TREND(H2284:H2288,G2284:G2288,G2286)</f>
        <v>50.200104367254738</v>
      </c>
      <c r="Z2286">
        <f>ABS((Y2286-H2286)/80*100)</f>
        <v>8.8021084068419242E-2</v>
      </c>
      <c r="AE2286">
        <f>ABS(P2327-P2299)</f>
        <v>0.16164374999999787</v>
      </c>
      <c r="AH2286">
        <f>H2286-AG2270</f>
        <v>50.106452500000003</v>
      </c>
      <c r="AI2286">
        <f>100*(AH2286-O2286)/80</f>
        <v>0.15086562500000511</v>
      </c>
    </row>
    <row r="2287" spans="1:41" x14ac:dyDescent="0.35">
      <c r="A2287" t="s">
        <v>300</v>
      </c>
      <c r="B2287" t="s">
        <v>231</v>
      </c>
      <c r="C2287" t="s">
        <v>926</v>
      </c>
      <c r="D2287">
        <v>0</v>
      </c>
      <c r="E2287">
        <v>0</v>
      </c>
      <c r="F2287">
        <v>0.5</v>
      </c>
      <c r="G2287">
        <v>0.500193</v>
      </c>
      <c r="H2287">
        <v>70.262500000000003</v>
      </c>
      <c r="J2287">
        <v>-16540</v>
      </c>
      <c r="N2287" t="s">
        <v>206</v>
      </c>
      <c r="O2287">
        <f t="shared" si="105"/>
        <v>70.007719999999992</v>
      </c>
      <c r="P2287">
        <f t="shared" si="106"/>
        <v>0.31847500000001361</v>
      </c>
      <c r="Q2287">
        <f t="shared" si="107"/>
        <v>0.31847500000001361</v>
      </c>
      <c r="Y2287">
        <f>TREND(H2284:H2288,G2284:G2288,G2287)</f>
        <v>70.2285777221405</v>
      </c>
      <c r="Z2287">
        <f>ABS((Y2287-H2287)/80*100)</f>
        <v>4.2402847324378712E-2</v>
      </c>
      <c r="AE2287">
        <f>ABS(P2328-P2300)</f>
        <v>0.17356874999999938</v>
      </c>
      <c r="AH2287">
        <f>H2287-AG2270</f>
        <v>70.239265000000003</v>
      </c>
      <c r="AI2287">
        <f>100*(AH2287-O2287)/80</f>
        <v>0.28943125000001402</v>
      </c>
    </row>
    <row r="2288" spans="1:41" x14ac:dyDescent="0.35">
      <c r="A2288" t="s">
        <v>300</v>
      </c>
      <c r="B2288" t="s">
        <v>231</v>
      </c>
      <c r="C2288" t="s">
        <v>963</v>
      </c>
      <c r="D2288">
        <v>0</v>
      </c>
      <c r="E2288">
        <v>0.1</v>
      </c>
      <c r="F2288">
        <v>1</v>
      </c>
      <c r="G2288">
        <v>0.99975400000000003</v>
      </c>
      <c r="H2288">
        <v>90.260937499999997</v>
      </c>
      <c r="J2288">
        <v>-16533</v>
      </c>
      <c r="N2288" t="s">
        <v>206</v>
      </c>
      <c r="O2288">
        <f t="shared" si="105"/>
        <v>89.990160000000003</v>
      </c>
      <c r="P2288">
        <f t="shared" si="106"/>
        <v>0.33847187499999265</v>
      </c>
      <c r="Q2288">
        <f t="shared" si="107"/>
        <v>0.33847187499999265</v>
      </c>
      <c r="Y2288">
        <f>TREND(H2284:H2288,G2284:G2288,G2288)</f>
        <v>90.217518220753206</v>
      </c>
      <c r="Z2288">
        <f>ABS((Y2288-H2288)/80*100)</f>
        <v>5.4274099058488894E-2</v>
      </c>
      <c r="AE2288">
        <f>ABS(P2329-P2301)</f>
        <v>0.18242500000001272</v>
      </c>
      <c r="AH2288">
        <f>H2288-AG2270</f>
        <v>90.237702499999997</v>
      </c>
      <c r="AI2288">
        <f>100*(AH2288-O2288)/80</f>
        <v>0.30942812499999306</v>
      </c>
    </row>
    <row r="2289" spans="1:41" x14ac:dyDescent="0.35">
      <c r="A2289" t="s">
        <v>300</v>
      </c>
      <c r="B2289" t="s">
        <v>231</v>
      </c>
      <c r="C2289" t="s">
        <v>1000</v>
      </c>
      <c r="D2289">
        <v>0</v>
      </c>
      <c r="E2289">
        <v>0</v>
      </c>
      <c r="F2289">
        <v>0</v>
      </c>
      <c r="G2289">
        <v>-1.35E-4</v>
      </c>
      <c r="H2289">
        <v>50.121875000000003</v>
      </c>
      <c r="J2289">
        <v>-16525</v>
      </c>
      <c r="N2289" t="s">
        <v>206</v>
      </c>
      <c r="O2289">
        <f t="shared" si="105"/>
        <v>49.994599999999998</v>
      </c>
      <c r="P2289">
        <f t="shared" si="106"/>
        <v>0.15909375000000558</v>
      </c>
      <c r="Q2289">
        <f t="shared" si="107"/>
        <v>0.15909375000000558</v>
      </c>
      <c r="Y2289">
        <f>TREND(H2284:H2288,G2284:G2288,G2289)</f>
        <v>50.208947243000026</v>
      </c>
      <c r="Z2289">
        <f>ABS((Y2289-H2289)/80*100)</f>
        <v>0.10884030375002851</v>
      </c>
      <c r="AE2289">
        <f>ABS(P2330-P2302)</f>
        <v>0.16300937500002277</v>
      </c>
      <c r="AH2289">
        <f>H2289-AG2270</f>
        <v>50.098640000000003</v>
      </c>
      <c r="AI2289">
        <f>100*(AH2289-O2289)/80</f>
        <v>0.13005000000000599</v>
      </c>
    </row>
    <row r="2290" spans="1:41" x14ac:dyDescent="0.35">
      <c r="A2290" t="s">
        <v>300</v>
      </c>
      <c r="B2290" t="s">
        <v>231</v>
      </c>
      <c r="C2290" t="s">
        <v>1035</v>
      </c>
      <c r="D2290">
        <v>0</v>
      </c>
      <c r="E2290">
        <v>-0.1</v>
      </c>
      <c r="F2290">
        <v>-1</v>
      </c>
      <c r="G2290">
        <v>-0.99968900000000005</v>
      </c>
      <c r="H2290">
        <v>10.196875</v>
      </c>
      <c r="J2290">
        <v>-16527</v>
      </c>
      <c r="N2290" t="s">
        <v>206</v>
      </c>
      <c r="O2290">
        <f t="shared" si="105"/>
        <v>10.012439999999998</v>
      </c>
      <c r="P2290">
        <f t="shared" si="106"/>
        <v>0.23054375000000293</v>
      </c>
      <c r="Q2290">
        <f t="shared" si="107"/>
        <v>0.23054375000000293</v>
      </c>
      <c r="Y2290">
        <f>TREND(H2284:H2288,G2284:G2288,G2290)</f>
        <v>10.213780624408258</v>
      </c>
      <c r="Z2290">
        <f>ABS((Y2290-H2290)/80*100)</f>
        <v>2.1132030510322419E-2</v>
      </c>
      <c r="AE2290">
        <f>ABS(P2331-P2303)</f>
        <v>0.1625531250000023</v>
      </c>
      <c r="AH2290">
        <f>H2290-AG2270</f>
        <v>10.173640000000001</v>
      </c>
      <c r="AI2290">
        <f>100*(AH2290-O2290)/80</f>
        <v>0.20150000000000334</v>
      </c>
    </row>
    <row r="2291" spans="1:41" x14ac:dyDescent="0.35">
      <c r="A2291" t="s">
        <v>300</v>
      </c>
      <c r="B2291" t="s">
        <v>231</v>
      </c>
      <c r="C2291" t="s">
        <v>1072</v>
      </c>
      <c r="D2291">
        <v>10</v>
      </c>
      <c r="E2291">
        <v>10</v>
      </c>
      <c r="F2291">
        <v>-1</v>
      </c>
      <c r="G2291">
        <v>-1.000154</v>
      </c>
      <c r="H2291">
        <v>10.2171875</v>
      </c>
      <c r="J2291">
        <v>-12344</v>
      </c>
      <c r="N2291" t="s">
        <v>206</v>
      </c>
      <c r="O2291">
        <f t="shared" si="105"/>
        <v>9.9938400000000005</v>
      </c>
      <c r="P2291">
        <f t="shared" si="106"/>
        <v>0.27918437499999893</v>
      </c>
      <c r="Q2291">
        <f t="shared" si="107"/>
        <v>0.27918437499999893</v>
      </c>
      <c r="S2291">
        <v>50.1015625</v>
      </c>
      <c r="T2291">
        <v>0.12780312500000335</v>
      </c>
      <c r="U2291">
        <v>90.224999999999994</v>
      </c>
      <c r="V2291">
        <v>0.30324999999999491</v>
      </c>
      <c r="W2291">
        <v>80.007810974121099</v>
      </c>
      <c r="X2291">
        <f>(W2291-80)/80*100</f>
        <v>9.7637176513742929E-3</v>
      </c>
      <c r="Y2291">
        <f>TREND(H2291:H2295,G2291:G2295,G2291)</f>
        <v>10.133351419300531</v>
      </c>
      <c r="Z2291">
        <f>ABS((Y2291-H2291)/80*100)</f>
        <v>0.10479510087433529</v>
      </c>
      <c r="AA2291">
        <f>MAX(Z2291:Z2295)</f>
        <v>0.10479510087433529</v>
      </c>
      <c r="AB2291">
        <f>IF(ABS(MAX(P2291:P2297)) &gt; ABS(MIN(P2291:P2297)),MAX(P2291:P2297), MIN(P2291:P2297))</f>
        <v>0.34595625000001462</v>
      </c>
      <c r="AC2291">
        <f>IF(ABS(AB2292)&gt;ABS(AB2291),AB2292,AB2291)</f>
        <v>0.34595625000001462</v>
      </c>
      <c r="AE2291">
        <f>ABS(P2332-P2304)</f>
        <v>0.13856875000000324</v>
      </c>
      <c r="AH2291">
        <f>H2291-AG2270</f>
        <v>10.1939525</v>
      </c>
      <c r="AI2291">
        <f>100*(AH2291-O2291)/80</f>
        <v>0.25014062499999934</v>
      </c>
      <c r="AJ2291">
        <v>50.0783275</v>
      </c>
      <c r="AK2291">
        <v>9.8759375000003757E-2</v>
      </c>
      <c r="AL2291">
        <v>90.201764999999995</v>
      </c>
      <c r="AM2291">
        <v>0.27420624999999532</v>
      </c>
      <c r="AN2291">
        <f>IF(ABS(MAX(AI2291:AI2297)) &gt; ABS(MIN(AI2291:AI2297)),MAX(AI2291:AI2297), MIN(AI2291:AI2297))</f>
        <v>0.31691250000001503</v>
      </c>
      <c r="AO2291">
        <f>IF(ABS(AN2292)&gt;ABS(AN2291),AN2292,AN2291)</f>
        <v>0.31691250000001503</v>
      </c>
    </row>
    <row r="2292" spans="1:41" x14ac:dyDescent="0.35">
      <c r="A2292" t="s">
        <v>300</v>
      </c>
      <c r="B2292" t="s">
        <v>231</v>
      </c>
      <c r="C2292" t="s">
        <v>1107</v>
      </c>
      <c r="D2292">
        <v>10</v>
      </c>
      <c r="E2292">
        <v>10</v>
      </c>
      <c r="F2292">
        <v>-0.5</v>
      </c>
      <c r="G2292">
        <v>-0.49995000000000001</v>
      </c>
      <c r="H2292">
        <v>30.0859375</v>
      </c>
      <c r="J2292">
        <v>-12350</v>
      </c>
      <c r="N2292" t="s">
        <v>206</v>
      </c>
      <c r="O2292">
        <f t="shared" si="105"/>
        <v>30.001999999999999</v>
      </c>
      <c r="P2292">
        <f t="shared" si="106"/>
        <v>0.10492187500000139</v>
      </c>
      <c r="Q2292">
        <f t="shared" si="107"/>
        <v>0.10492187500000139</v>
      </c>
      <c r="Y2292">
        <f>TREND(H2291:H2295,G2291:G2295,G2292)</f>
        <v>30.164653273440614</v>
      </c>
      <c r="Z2292">
        <f>ABS((Y2292-H2292)/80*100)</f>
        <v>9.8394716800767043E-2</v>
      </c>
      <c r="AB2292">
        <f>IF(ABS(T2291) &gt; ABS(V2291),T2291,V2291)</f>
        <v>0.30324999999999491</v>
      </c>
      <c r="AH2292">
        <f>H2292-AG2270</f>
        <v>30.0627025</v>
      </c>
      <c r="AI2292">
        <f>100*(AH2292-O2292)/80</f>
        <v>7.5878125000001795E-2</v>
      </c>
      <c r="AN2292">
        <f>IF(ABS(AK2291) &gt; ABS(AM2291),AK2291,AM2291)</f>
        <v>0.27420624999999532</v>
      </c>
    </row>
    <row r="2293" spans="1:41" x14ac:dyDescent="0.35">
      <c r="A2293" t="s">
        <v>300</v>
      </c>
      <c r="B2293" t="s">
        <v>1111</v>
      </c>
      <c r="C2293" t="s">
        <v>1145</v>
      </c>
      <c r="D2293">
        <v>10</v>
      </c>
      <c r="E2293">
        <v>10</v>
      </c>
      <c r="F2293">
        <v>0</v>
      </c>
      <c r="G2293">
        <v>-1.7E-5</v>
      </c>
      <c r="H2293">
        <v>50.1015625</v>
      </c>
      <c r="J2293">
        <v>-12337</v>
      </c>
      <c r="N2293" t="s">
        <v>206</v>
      </c>
      <c r="O2293">
        <f t="shared" si="105"/>
        <v>49.999319999999997</v>
      </c>
      <c r="P2293">
        <f t="shared" si="106"/>
        <v>0.12780312500000335</v>
      </c>
      <c r="Q2293">
        <f t="shared" si="107"/>
        <v>0.12780312500000335</v>
      </c>
      <c r="Y2293">
        <f>TREND(H2291:H2295,G2291:G2295,G2293)</f>
        <v>50.185102589811159</v>
      </c>
      <c r="Z2293">
        <f>ABS((Y2293-H2293)/80*100)</f>
        <v>0.10442511226394836</v>
      </c>
      <c r="AH2293">
        <f>H2293-AG2270</f>
        <v>50.0783275</v>
      </c>
      <c r="AI2293">
        <f>100*(AH2293-O2293)/80</f>
        <v>9.8759375000003757E-2</v>
      </c>
    </row>
    <row r="2294" spans="1:41" x14ac:dyDescent="0.35">
      <c r="A2294" t="s">
        <v>300</v>
      </c>
      <c r="B2294" t="s">
        <v>1111</v>
      </c>
      <c r="C2294" t="s">
        <v>1182</v>
      </c>
      <c r="D2294">
        <v>10</v>
      </c>
      <c r="E2294">
        <v>10</v>
      </c>
      <c r="F2294">
        <v>0.5</v>
      </c>
      <c r="G2294">
        <v>0.50003399999999998</v>
      </c>
      <c r="H2294">
        <v>70.278125000000003</v>
      </c>
      <c r="J2294">
        <v>-12328</v>
      </c>
      <c r="N2294" t="s">
        <v>206</v>
      </c>
      <c r="O2294">
        <f t="shared" si="105"/>
        <v>70.001359999999991</v>
      </c>
      <c r="P2294">
        <f t="shared" si="106"/>
        <v>0.34595625000001462</v>
      </c>
      <c r="Q2294">
        <f t="shared" si="107"/>
        <v>0.34595625000001462</v>
      </c>
      <c r="Y2294">
        <f>TREND(H2291:H2295,G2291:G2295,G2294)</f>
        <v>70.210277365431921</v>
      </c>
      <c r="Z2294">
        <f>ABS((Y2294-H2294)/80*100)</f>
        <v>8.4809543210102589E-2</v>
      </c>
      <c r="AH2294">
        <f>H2294-AG2270</f>
        <v>70.254890000000003</v>
      </c>
      <c r="AI2294">
        <f>100*(AH2294-O2294)/80</f>
        <v>0.31691250000001503</v>
      </c>
    </row>
    <row r="2295" spans="1:41" x14ac:dyDescent="0.35">
      <c r="A2295" t="s">
        <v>300</v>
      </c>
      <c r="B2295" t="s">
        <v>1111</v>
      </c>
      <c r="C2295" t="s">
        <v>1219</v>
      </c>
      <c r="D2295">
        <v>10</v>
      </c>
      <c r="E2295">
        <v>10</v>
      </c>
      <c r="F2295">
        <v>1</v>
      </c>
      <c r="G2295">
        <v>0.99956</v>
      </c>
      <c r="H2295">
        <v>90.224999999999994</v>
      </c>
      <c r="J2295">
        <v>-12328</v>
      </c>
      <c r="N2295" t="s">
        <v>206</v>
      </c>
      <c r="O2295">
        <f t="shared" si="105"/>
        <v>89.982399999999998</v>
      </c>
      <c r="P2295">
        <f t="shared" si="106"/>
        <v>0.30324999999999491</v>
      </c>
      <c r="Q2295">
        <f t="shared" si="107"/>
        <v>0.30324999999999491</v>
      </c>
      <c r="Y2295">
        <f>TREND(H2291:H2295,G2291:G2295,G2295)</f>
        <v>90.214427852015746</v>
      </c>
      <c r="Z2295">
        <f>ABS((Y2295-H2295)/80*100)</f>
        <v>1.3215184980310823E-2</v>
      </c>
      <c r="AH2295">
        <f>H2295-AG2270</f>
        <v>90.201764999999995</v>
      </c>
      <c r="AI2295">
        <f>100*(AH2295-O2295)/80</f>
        <v>0.27420624999999532</v>
      </c>
    </row>
    <row r="2296" spans="1:41" x14ac:dyDescent="0.35">
      <c r="A2296" t="s">
        <v>300</v>
      </c>
      <c r="B2296" t="s">
        <v>1111</v>
      </c>
      <c r="C2296" t="s">
        <v>1256</v>
      </c>
      <c r="D2296">
        <v>10</v>
      </c>
      <c r="E2296">
        <v>10</v>
      </c>
      <c r="F2296">
        <v>0</v>
      </c>
      <c r="G2296">
        <v>-1.93E-4</v>
      </c>
      <c r="H2296">
        <v>50.115625000000001</v>
      </c>
      <c r="J2296">
        <v>-12327</v>
      </c>
      <c r="N2296" t="s">
        <v>206</v>
      </c>
      <c r="O2296">
        <f t="shared" si="105"/>
        <v>49.992280000000001</v>
      </c>
      <c r="P2296">
        <f t="shared" si="106"/>
        <v>0.1541812500000006</v>
      </c>
      <c r="Q2296">
        <f t="shared" si="107"/>
        <v>0.1541812500000006</v>
      </c>
      <c r="Y2296">
        <f>TREND(H2291:H2295,G2291:G2295,G2296)</f>
        <v>50.178054447200687</v>
      </c>
      <c r="Z2296">
        <f>ABS((Y2296-H2296)/80*100)</f>
        <v>7.8036809000856522E-2</v>
      </c>
      <c r="AH2296">
        <f>H2296-AG2270</f>
        <v>50.092390000000002</v>
      </c>
      <c r="AI2296">
        <f>100*(AH2296-O2296)/80</f>
        <v>0.12513750000000101</v>
      </c>
    </row>
    <row r="2297" spans="1:41" x14ac:dyDescent="0.35">
      <c r="A2297" t="s">
        <v>300</v>
      </c>
      <c r="B2297" t="s">
        <v>1111</v>
      </c>
      <c r="C2297" t="s">
        <v>1292</v>
      </c>
      <c r="D2297">
        <v>10</v>
      </c>
      <c r="E2297">
        <v>10</v>
      </c>
      <c r="F2297">
        <v>-1</v>
      </c>
      <c r="G2297">
        <v>-1.000205</v>
      </c>
      <c r="H2297">
        <v>10.165625</v>
      </c>
      <c r="J2297">
        <v>-12331</v>
      </c>
      <c r="N2297" t="s">
        <v>206</v>
      </c>
      <c r="O2297">
        <f t="shared" si="105"/>
        <v>9.9917999999999996</v>
      </c>
      <c r="P2297">
        <f t="shared" si="106"/>
        <v>0.21728125000000098</v>
      </c>
      <c r="Q2297">
        <f t="shared" si="107"/>
        <v>0.21728125000000098</v>
      </c>
      <c r="Y2297">
        <f>TREND(H2291:H2295,G2291:G2295,G2297)</f>
        <v>10.131309059794084</v>
      </c>
      <c r="Z2297">
        <f>ABS((Y2297-H2297)/80*100)</f>
        <v>4.2894925257395133E-2</v>
      </c>
      <c r="AH2297">
        <f>H2297-AG2270</f>
        <v>10.142390000000001</v>
      </c>
      <c r="AI2297">
        <f>100*(AH2297-O2297)/80</f>
        <v>0.18823750000000139</v>
      </c>
    </row>
    <row r="2298" spans="1:41" x14ac:dyDescent="0.35">
      <c r="A2298" t="s">
        <v>300</v>
      </c>
      <c r="B2298" t="s">
        <v>1111</v>
      </c>
      <c r="C2298" t="s">
        <v>1328</v>
      </c>
      <c r="D2298">
        <v>25</v>
      </c>
      <c r="E2298">
        <v>25</v>
      </c>
      <c r="F2298">
        <v>-1</v>
      </c>
      <c r="G2298">
        <v>-1.000021</v>
      </c>
      <c r="H2298">
        <v>10.1875</v>
      </c>
      <c r="J2298">
        <v>-6283</v>
      </c>
      <c r="N2298" t="s">
        <v>206</v>
      </c>
      <c r="O2298">
        <f t="shared" si="105"/>
        <v>9.999159999999998</v>
      </c>
      <c r="P2298">
        <f t="shared" si="106"/>
        <v>0.23542500000000244</v>
      </c>
      <c r="Q2298">
        <f t="shared" si="107"/>
        <v>0.23542500000000244</v>
      </c>
      <c r="S2298">
        <v>50.125</v>
      </c>
      <c r="T2298">
        <v>0.16695000000000348</v>
      </c>
      <c r="U2298">
        <v>90.331249999999997</v>
      </c>
      <c r="V2298">
        <v>0.41426250000000664</v>
      </c>
      <c r="W2298">
        <v>80.143753051757813</v>
      </c>
      <c r="X2298">
        <f>(W2298-80)/80*100</f>
        <v>0.17969131469726563</v>
      </c>
      <c r="Y2298">
        <f>TREND(H2298:H2302,G2298:G2302,G2298)</f>
        <v>10.080781088761441</v>
      </c>
      <c r="Z2298">
        <f>ABS((Y2298-H2298)/80*100)</f>
        <v>0.13339863904819893</v>
      </c>
      <c r="AA2298">
        <f>MAX(Z2298:Z2302)</f>
        <v>0.1392540517336327</v>
      </c>
      <c r="AB2298">
        <f>IF(ABS(MAX(P2298:P2304)) &gt; ABS(MIN(P2298:P2304)),MAX(P2298:P2304), MIN(P2298:P2304))</f>
        <v>0.41426250000000664</v>
      </c>
      <c r="AC2298">
        <f>IF(ABS(AB2299)&gt;ABS(AB2298),AB2299,AB2298)</f>
        <v>0.41426250000000664</v>
      </c>
      <c r="AH2298">
        <f>H2298-AG2270</f>
        <v>10.164265</v>
      </c>
      <c r="AI2298">
        <f>100*(AH2298-O2298)/80</f>
        <v>0.20638125000000285</v>
      </c>
      <c r="AJ2298">
        <v>50.101765</v>
      </c>
      <c r="AK2298">
        <v>0.13790625000000389</v>
      </c>
      <c r="AL2298">
        <v>90.308014999999997</v>
      </c>
      <c r="AM2298">
        <v>0.38521875000000705</v>
      </c>
      <c r="AN2298">
        <f>IF(ABS(MAX(AI2298:AI2304)) &gt; ABS(MIN(AI2298:AI2304)),MAX(AI2298:AI2304), MIN(AI2298:AI2304))</f>
        <v>0.38521875000000705</v>
      </c>
      <c r="AO2298">
        <f>IF(ABS(AN2299)&gt;ABS(AN2298),AN2299,AN2298)</f>
        <v>0.38521875000000705</v>
      </c>
    </row>
    <row r="2299" spans="1:41" x14ac:dyDescent="0.35">
      <c r="A2299" t="s">
        <v>300</v>
      </c>
      <c r="B2299" t="s">
        <v>1111</v>
      </c>
      <c r="C2299" t="s">
        <v>1365</v>
      </c>
      <c r="D2299">
        <v>25</v>
      </c>
      <c r="E2299">
        <v>25</v>
      </c>
      <c r="F2299">
        <v>-0.5</v>
      </c>
      <c r="G2299">
        <v>-0.50008200000000003</v>
      </c>
      <c r="H2299">
        <v>30.017187499999999</v>
      </c>
      <c r="J2299">
        <v>-6272</v>
      </c>
      <c r="N2299" t="s">
        <v>206</v>
      </c>
      <c r="O2299">
        <f t="shared" si="105"/>
        <v>29.99672</v>
      </c>
      <c r="P2299">
        <f t="shared" si="106"/>
        <v>2.5584374999998438E-2</v>
      </c>
      <c r="Q2299">
        <f t="shared" si="107"/>
        <v>2.5584374999998438E-2</v>
      </c>
      <c r="Y2299">
        <f>TREND(H2298:H2302,G2298:G2302,G2299)</f>
        <v>30.128590741386905</v>
      </c>
      <c r="Z2299">
        <f>ABS((Y2299-H2299)/80*100)</f>
        <v>0.1392540517336327</v>
      </c>
      <c r="AB2299">
        <f>IF(ABS(T2298) &gt; ABS(V2298),T2298,V2298)</f>
        <v>0.41426250000000664</v>
      </c>
      <c r="AH2299">
        <f>H2299-AG2270</f>
        <v>29.993952499999999</v>
      </c>
      <c r="AI2299">
        <f>100*(AH2299-O2299)/80</f>
        <v>-3.4593750000011525E-3</v>
      </c>
      <c r="AN2299">
        <f>IF(ABS(AK2298) &gt; ABS(AM2298),AK2298,AM2298)</f>
        <v>0.38521875000000705</v>
      </c>
    </row>
    <row r="2300" spans="1:41" x14ac:dyDescent="0.35">
      <c r="A2300" t="s">
        <v>300</v>
      </c>
      <c r="B2300" t="s">
        <v>1111</v>
      </c>
      <c r="C2300" t="s">
        <v>1401</v>
      </c>
      <c r="D2300">
        <v>25</v>
      </c>
      <c r="E2300">
        <v>25</v>
      </c>
      <c r="F2300">
        <v>0</v>
      </c>
      <c r="G2300">
        <v>-2.14E-4</v>
      </c>
      <c r="H2300">
        <v>50.125</v>
      </c>
      <c r="J2300">
        <v>-6270</v>
      </c>
      <c r="N2300" t="s">
        <v>206</v>
      </c>
      <c r="O2300">
        <f t="shared" si="105"/>
        <v>49.991439999999997</v>
      </c>
      <c r="P2300">
        <f t="shared" si="106"/>
        <v>0.16695000000000348</v>
      </c>
      <c r="Q2300">
        <f t="shared" si="107"/>
        <v>0.16695000000000348</v>
      </c>
      <c r="Y2300">
        <f>TREND(H2298:H2302,G2298:G2302,G2300)</f>
        <v>50.173553257691069</v>
      </c>
      <c r="Z2300">
        <f>ABS((Y2300-H2300)/80*100)</f>
        <v>6.069157211383569E-2</v>
      </c>
      <c r="AH2300">
        <f>H2300-AG2270</f>
        <v>50.101765</v>
      </c>
      <c r="AI2300">
        <f>100*(AH2300-O2300)/80</f>
        <v>0.13790625000000389</v>
      </c>
    </row>
    <row r="2301" spans="1:41" x14ac:dyDescent="0.35">
      <c r="A2301" t="s">
        <v>300</v>
      </c>
      <c r="B2301" t="s">
        <v>1111</v>
      </c>
      <c r="C2301" t="s">
        <v>1438</v>
      </c>
      <c r="D2301">
        <v>25</v>
      </c>
      <c r="E2301">
        <v>25</v>
      </c>
      <c r="F2301">
        <v>0.5</v>
      </c>
      <c r="G2301">
        <v>0.49986000000000003</v>
      </c>
      <c r="H2301">
        <v>70.231250000000003</v>
      </c>
      <c r="J2301">
        <v>-6257</v>
      </c>
      <c r="N2301" t="s">
        <v>206</v>
      </c>
      <c r="O2301">
        <f t="shared" si="105"/>
        <v>69.994399999999999</v>
      </c>
      <c r="P2301">
        <f t="shared" si="106"/>
        <v>0.296062500000005</v>
      </c>
      <c r="Q2301">
        <f t="shared" si="107"/>
        <v>0.296062500000005</v>
      </c>
      <c r="Y2301">
        <f>TREND(H2298:H2302,G2298:G2302,G2301)</f>
        <v>70.226776479378159</v>
      </c>
      <c r="Z2301">
        <f>ABS((Y2301-H2301)/80*100)</f>
        <v>5.591900777304204E-3</v>
      </c>
      <c r="AH2301">
        <f>H2301-AG2270</f>
        <v>70.208015000000003</v>
      </c>
      <c r="AI2301">
        <f>100*(AH2301-O2301)/80</f>
        <v>0.26701875000000541</v>
      </c>
    </row>
    <row r="2302" spans="1:41" x14ac:dyDescent="0.35">
      <c r="A2302" t="s">
        <v>300</v>
      </c>
      <c r="B2302" t="s">
        <v>1111</v>
      </c>
      <c r="C2302" t="s">
        <v>1474</v>
      </c>
      <c r="D2302">
        <v>25</v>
      </c>
      <c r="E2302">
        <v>25</v>
      </c>
      <c r="F2302">
        <v>1</v>
      </c>
      <c r="G2302">
        <v>0.999996</v>
      </c>
      <c r="H2302">
        <v>90.331249999999997</v>
      </c>
      <c r="J2302">
        <v>-6262</v>
      </c>
      <c r="N2302" t="s">
        <v>206</v>
      </c>
      <c r="O2302">
        <f t="shared" si="105"/>
        <v>89.999839999999992</v>
      </c>
      <c r="P2302">
        <f t="shared" si="106"/>
        <v>0.41426250000000664</v>
      </c>
      <c r="Q2302">
        <f t="shared" si="107"/>
        <v>0.41426250000000664</v>
      </c>
      <c r="Y2302">
        <f>TREND(H2298:H2302,G2298:G2302,G2302)</f>
        <v>90.282485932782464</v>
      </c>
      <c r="Z2302">
        <f>ABS((Y2302-H2302)/80*100)</f>
        <v>6.0955084021916406E-2</v>
      </c>
      <c r="AH2302">
        <f>H2302-AG2270</f>
        <v>90.308014999999997</v>
      </c>
      <c r="AI2302">
        <f>100*(AH2302-O2302)/80</f>
        <v>0.38521875000000705</v>
      </c>
    </row>
    <row r="2303" spans="1:41" x14ac:dyDescent="0.35">
      <c r="A2303" t="s">
        <v>300</v>
      </c>
      <c r="B2303" t="s">
        <v>1111</v>
      </c>
      <c r="C2303" t="s">
        <v>1511</v>
      </c>
      <c r="D2303">
        <v>25</v>
      </c>
      <c r="E2303">
        <v>25</v>
      </c>
      <c r="F2303">
        <v>0</v>
      </c>
      <c r="G2303">
        <v>-1.3300000000000001E-4</v>
      </c>
      <c r="H2303">
        <v>50.104687499999997</v>
      </c>
      <c r="J2303">
        <v>-6263</v>
      </c>
      <c r="N2303" t="s">
        <v>206</v>
      </c>
      <c r="O2303">
        <f t="shared" si="105"/>
        <v>49.994679999999995</v>
      </c>
      <c r="P2303">
        <f t="shared" si="106"/>
        <v>0.13750937500000227</v>
      </c>
      <c r="Q2303">
        <f t="shared" si="107"/>
        <v>0.13750937500000227</v>
      </c>
      <c r="Y2303">
        <f>TREND(H2298:H2302,G2298:G2302,G2303)</f>
        <v>50.176801399128045</v>
      </c>
      <c r="Z2303">
        <f>ABS((Y2303-H2303)/80*100)</f>
        <v>9.0142373910060414E-2</v>
      </c>
      <c r="AH2303">
        <f>H2303-AG2270</f>
        <v>50.081452499999997</v>
      </c>
      <c r="AI2303">
        <f>100*(AH2303-O2303)/80</f>
        <v>0.10846562500000267</v>
      </c>
    </row>
    <row r="2304" spans="1:41" x14ac:dyDescent="0.35">
      <c r="A2304" t="s">
        <v>300</v>
      </c>
      <c r="B2304" t="s">
        <v>1111</v>
      </c>
      <c r="C2304" t="s">
        <v>1548</v>
      </c>
      <c r="D2304">
        <v>25</v>
      </c>
      <c r="E2304">
        <v>25</v>
      </c>
      <c r="F2304">
        <v>-1</v>
      </c>
      <c r="G2304">
        <v>-0.99990500000000004</v>
      </c>
      <c r="H2304">
        <v>10.09375</v>
      </c>
      <c r="J2304">
        <v>-6249</v>
      </c>
      <c r="N2304" t="s">
        <v>206</v>
      </c>
      <c r="O2304">
        <f t="shared" si="105"/>
        <v>10.003799999999998</v>
      </c>
      <c r="P2304">
        <f t="shared" si="106"/>
        <v>0.11243750000000219</v>
      </c>
      <c r="Q2304">
        <f t="shared" si="107"/>
        <v>0.11243750000000219</v>
      </c>
      <c r="Y2304">
        <f>TREND(H2298:H2302,G2298:G2302,G2304)</f>
        <v>10.085432748103287</v>
      </c>
      <c r="Z2304">
        <f>ABS((Y2304-H2304)/80*100)</f>
        <v>1.0396564870891467E-2</v>
      </c>
      <c r="AH2304">
        <f>H2304-AG2270</f>
        <v>10.070515</v>
      </c>
      <c r="AI2304">
        <f>100*(AH2304-O2304)/80</f>
        <v>8.3393750000002598E-2</v>
      </c>
    </row>
    <row r="2305" spans="1:41" x14ac:dyDescent="0.35">
      <c r="A2305" t="s">
        <v>300</v>
      </c>
      <c r="B2305" t="s">
        <v>1111</v>
      </c>
      <c r="C2305" t="s">
        <v>1585</v>
      </c>
      <c r="D2305">
        <v>50</v>
      </c>
      <c r="E2305">
        <v>50</v>
      </c>
      <c r="F2305">
        <v>-1</v>
      </c>
      <c r="G2305">
        <v>-0.99996399999999996</v>
      </c>
      <c r="H2305">
        <v>10.081250000000001</v>
      </c>
      <c r="J2305">
        <v>3798</v>
      </c>
      <c r="N2305" t="s">
        <v>206</v>
      </c>
      <c r="O2305">
        <f t="shared" si="105"/>
        <v>10.001440000000002</v>
      </c>
      <c r="P2305">
        <f t="shared" si="106"/>
        <v>9.9762499999997978E-2</v>
      </c>
      <c r="Q2305">
        <f t="shared" si="107"/>
        <v>9.9762499999997978E-2</v>
      </c>
      <c r="S2305">
        <v>50.142187499999999</v>
      </c>
      <c r="T2305">
        <v>0.18308437499999997</v>
      </c>
      <c r="U2305">
        <v>90.332812500000003</v>
      </c>
      <c r="V2305">
        <v>0.41651562500000239</v>
      </c>
      <c r="W2305">
        <v>80.25155944824219</v>
      </c>
      <c r="X2305">
        <f>(W2305-80)/80*100</f>
        <v>0.31444931030273793</v>
      </c>
      <c r="Y2305">
        <f>TREND(H2305:H2309,G2305:G2309,G2305)</f>
        <v>10.036181923899314</v>
      </c>
      <c r="Z2305">
        <f>ABS((Y2305-H2305)/80*100)</f>
        <v>5.6335095125858992E-2</v>
      </c>
      <c r="AA2305">
        <f>MAX(Z2305:Z2309)</f>
        <v>9.5792662184344124E-2</v>
      </c>
      <c r="AB2305">
        <f>IF(ABS(MAX(P2305:P2311)) &gt; ABS(MIN(P2305:P2311)),MAX(P2305:P2311), MIN(P2305:P2311))</f>
        <v>0.43793749999998965</v>
      </c>
      <c r="AC2305">
        <f>IF(ABS(AB2306)&gt;ABS(AB2305),AB2306,AB2305)</f>
        <v>0.43793749999998965</v>
      </c>
      <c r="AH2305">
        <f>H2305-AG2270</f>
        <v>10.058015000000001</v>
      </c>
      <c r="AI2305">
        <f>100*(AH2305-O2305)/80</f>
        <v>7.0718749999998387E-2</v>
      </c>
      <c r="AJ2305">
        <v>50.118952499999999</v>
      </c>
      <c r="AK2305">
        <v>0.15404062500000038</v>
      </c>
      <c r="AL2305">
        <v>90.309577500000003</v>
      </c>
      <c r="AM2305">
        <v>0.3874718750000028</v>
      </c>
      <c r="AN2305">
        <f>IF(ABS(MAX(AI2305:AI2311)) &gt; ABS(MIN(AI2305:AI2311)),MAX(AI2305:AI2311), MIN(AI2305:AI2311))</f>
        <v>0.40889374999999006</v>
      </c>
      <c r="AO2305">
        <f>IF(ABS(AN2306)&gt;ABS(AN2305),AN2306,AN2305)</f>
        <v>0.40889374999999006</v>
      </c>
    </row>
    <row r="2306" spans="1:41" x14ac:dyDescent="0.35">
      <c r="A2306" t="s">
        <v>300</v>
      </c>
      <c r="B2306" t="s">
        <v>1111</v>
      </c>
      <c r="C2306" t="s">
        <v>1621</v>
      </c>
      <c r="D2306">
        <v>50</v>
      </c>
      <c r="E2306">
        <v>50</v>
      </c>
      <c r="F2306">
        <v>-0.5</v>
      </c>
      <c r="G2306">
        <v>-0.49991099999999999</v>
      </c>
      <c r="H2306">
        <v>30.064062499999999</v>
      </c>
      <c r="J2306">
        <v>3808</v>
      </c>
      <c r="N2306" t="s">
        <v>206</v>
      </c>
      <c r="O2306">
        <f t="shared" si="105"/>
        <v>30.00356</v>
      </c>
      <c r="P2306">
        <f t="shared" si="106"/>
        <v>7.5628124999997937E-2</v>
      </c>
      <c r="Q2306">
        <f t="shared" si="107"/>
        <v>7.5628124999997937E-2</v>
      </c>
      <c r="Y2306">
        <f>TREND(H2305:H2309,G2305:G2309,G2306)</f>
        <v>30.117979026494901</v>
      </c>
      <c r="Z2306">
        <f>ABS((Y2306-H2306)/80*100)</f>
        <v>6.7395658118627466E-2</v>
      </c>
      <c r="AB2306">
        <f>IF(ABS(T2305) &gt; ABS(V2305),T2305,V2305)</f>
        <v>0.41651562500000239</v>
      </c>
      <c r="AH2306">
        <f>H2306-AG2270</f>
        <v>30.040827499999999</v>
      </c>
      <c r="AI2306">
        <f>100*(AH2306-O2306)/80</f>
        <v>4.6584374999998346E-2</v>
      </c>
      <c r="AN2306">
        <f>IF(ABS(AK2305) &gt; ABS(AM2305),AK2305,AM2305)</f>
        <v>0.3874718750000028</v>
      </c>
    </row>
    <row r="2307" spans="1:41" x14ac:dyDescent="0.35">
      <c r="A2307" t="s">
        <v>300</v>
      </c>
      <c r="B2307" t="s">
        <v>1111</v>
      </c>
      <c r="C2307" t="s">
        <v>1658</v>
      </c>
      <c r="D2307">
        <v>50</v>
      </c>
      <c r="E2307">
        <v>50</v>
      </c>
      <c r="F2307">
        <v>0</v>
      </c>
      <c r="G2307">
        <v>-1.07E-4</v>
      </c>
      <c r="H2307">
        <v>50.142187499999999</v>
      </c>
      <c r="J2307">
        <v>3821</v>
      </c>
      <c r="N2307" t="s">
        <v>206</v>
      </c>
      <c r="O2307">
        <f t="shared" si="105"/>
        <v>49.995719999999999</v>
      </c>
      <c r="P2307">
        <f t="shared" si="106"/>
        <v>0.18308437499999997</v>
      </c>
      <c r="Q2307">
        <f t="shared" si="107"/>
        <v>0.18308437499999997</v>
      </c>
      <c r="Y2307">
        <f>TREND(H2305:H2309,G2305:G2309,G2307)</f>
        <v>50.189776454098954</v>
      </c>
      <c r="Z2307">
        <f>ABS((Y2307-H2307)/80*100)</f>
        <v>5.9486192623694478E-2</v>
      </c>
      <c r="AH2307">
        <f>H2307-AG2270</f>
        <v>50.118952499999999</v>
      </c>
      <c r="AI2307">
        <f>100*(AH2307-O2307)/80</f>
        <v>0.15404062500000038</v>
      </c>
    </row>
    <row r="2308" spans="1:41" x14ac:dyDescent="0.35">
      <c r="A2308" t="s">
        <v>300</v>
      </c>
      <c r="B2308" t="s">
        <v>1111</v>
      </c>
      <c r="C2308" t="s">
        <v>1695</v>
      </c>
      <c r="D2308">
        <v>50</v>
      </c>
      <c r="E2308">
        <v>50</v>
      </c>
      <c r="F2308">
        <v>0.5</v>
      </c>
      <c r="G2308">
        <v>0.49983499999999997</v>
      </c>
      <c r="H2308">
        <v>70.34375</v>
      </c>
      <c r="J2308">
        <v>3832</v>
      </c>
      <c r="N2308" t="s">
        <v>206</v>
      </c>
      <c r="O2308">
        <f t="shared" si="105"/>
        <v>69.993400000000008</v>
      </c>
      <c r="P2308">
        <f t="shared" si="106"/>
        <v>0.43793749999998965</v>
      </c>
      <c r="Q2308">
        <f t="shared" si="107"/>
        <v>0.43793749999998965</v>
      </c>
      <c r="Y2308">
        <f>TREND(H2305:H2309,G2305:G2309,G2308)</f>
        <v>70.267115870252525</v>
      </c>
      <c r="Z2308">
        <f>ABS((Y2308-H2308)/80*100)</f>
        <v>9.5792662184344124E-2</v>
      </c>
      <c r="AH2308">
        <f>H2308-AG2270</f>
        <v>70.320515</v>
      </c>
      <c r="AI2308">
        <f>100*(AH2308-O2308)/80</f>
        <v>0.40889374999999006</v>
      </c>
    </row>
    <row r="2309" spans="1:41" x14ac:dyDescent="0.35">
      <c r="A2309" t="s">
        <v>300</v>
      </c>
      <c r="B2309" t="s">
        <v>1111</v>
      </c>
      <c r="C2309" t="s">
        <v>1732</v>
      </c>
      <c r="D2309">
        <v>50</v>
      </c>
      <c r="E2309">
        <v>50</v>
      </c>
      <c r="F2309">
        <v>1</v>
      </c>
      <c r="G2309">
        <v>0.99999000000000005</v>
      </c>
      <c r="H2309">
        <v>90.332812500000003</v>
      </c>
      <c r="J2309">
        <v>3838</v>
      </c>
      <c r="N2309" t="s">
        <v>206</v>
      </c>
      <c r="O2309">
        <f t="shared" si="105"/>
        <v>89.999600000000001</v>
      </c>
      <c r="P2309">
        <f t="shared" si="106"/>
        <v>0.41651562500000239</v>
      </c>
      <c r="Q2309">
        <f t="shared" si="107"/>
        <v>0.41651562500000239</v>
      </c>
      <c r="Y2309">
        <f>TREND(H2305:H2309,G2305:G2309,G2309)</f>
        <v>90.353009225254297</v>
      </c>
      <c r="Z2309">
        <f>ABS((Y2309-H2309)/80*100)</f>
        <v>2.5245906567867848E-2</v>
      </c>
      <c r="AH2309">
        <f>H2309-AG2270</f>
        <v>90.309577500000003</v>
      </c>
      <c r="AI2309">
        <f>100*(AH2309-O2309)/80</f>
        <v>0.3874718750000028</v>
      </c>
    </row>
    <row r="2310" spans="1:41" x14ac:dyDescent="0.35">
      <c r="A2310" t="s">
        <v>300</v>
      </c>
      <c r="B2310" t="s">
        <v>1111</v>
      </c>
      <c r="C2310" t="s">
        <v>1768</v>
      </c>
      <c r="D2310">
        <v>50</v>
      </c>
      <c r="E2310">
        <v>50</v>
      </c>
      <c r="F2310">
        <v>0</v>
      </c>
      <c r="G2310">
        <v>-6.9999999999999994E-5</v>
      </c>
      <c r="H2310">
        <v>50.131250000000001</v>
      </c>
      <c r="J2310">
        <v>3851</v>
      </c>
      <c r="N2310" t="s">
        <v>206</v>
      </c>
      <c r="O2310">
        <f t="shared" si="105"/>
        <v>49.997199999999999</v>
      </c>
      <c r="P2310">
        <f t="shared" si="106"/>
        <v>0.1675625000000025</v>
      </c>
      <c r="Q2310">
        <f t="shared" si="107"/>
        <v>0.1675625000000025</v>
      </c>
      <c r="Y2310">
        <f>TREND(H2305:H2309,G2305:G2309,G2310)</f>
        <v>50.191262349579624</v>
      </c>
      <c r="Z2310">
        <f>ABS((Y2310-H2310)/80*100)</f>
        <v>7.5015436974528171E-2</v>
      </c>
      <c r="AH2310">
        <f>H2310-AG2270</f>
        <v>50.108015000000002</v>
      </c>
      <c r="AI2310">
        <f>100*(AH2310-O2310)/80</f>
        <v>0.13851875000000291</v>
      </c>
    </row>
    <row r="2311" spans="1:41" x14ac:dyDescent="0.35">
      <c r="A2311" t="s">
        <v>300</v>
      </c>
      <c r="B2311" t="s">
        <v>1111</v>
      </c>
      <c r="C2311" t="s">
        <v>1805</v>
      </c>
      <c r="D2311">
        <v>50</v>
      </c>
      <c r="E2311">
        <v>50</v>
      </c>
      <c r="F2311">
        <v>-1</v>
      </c>
      <c r="G2311">
        <v>-0.999892</v>
      </c>
      <c r="H2311">
        <v>10.090624999999999</v>
      </c>
      <c r="J2311">
        <v>3853</v>
      </c>
      <c r="N2311" t="s">
        <v>206</v>
      </c>
      <c r="O2311">
        <f t="shared" si="105"/>
        <v>10.00432</v>
      </c>
      <c r="P2311">
        <f t="shared" si="106"/>
        <v>0.10788124999999926</v>
      </c>
      <c r="Q2311">
        <f t="shared" si="107"/>
        <v>0.10788124999999926</v>
      </c>
      <c r="Y2311">
        <f>TREND(H2305:H2309,G2305:G2309,G2311)</f>
        <v>10.039073396186019</v>
      </c>
      <c r="Z2311">
        <f>ABS((Y2311-H2311)/80*100)</f>
        <v>6.4439504767475064E-2</v>
      </c>
      <c r="AH2311">
        <f>H2311-AG2270</f>
        <v>10.06739</v>
      </c>
      <c r="AI2311">
        <f>100*(AH2311-O2311)/80</f>
        <v>7.8837499999999672E-2</v>
      </c>
    </row>
    <row r="2312" spans="1:41" x14ac:dyDescent="0.35">
      <c r="A2312" t="s">
        <v>300</v>
      </c>
      <c r="B2312" t="s">
        <v>1111</v>
      </c>
      <c r="C2312" t="s">
        <v>1842</v>
      </c>
      <c r="D2312">
        <v>70</v>
      </c>
      <c r="E2312">
        <v>70</v>
      </c>
      <c r="F2312">
        <v>-1</v>
      </c>
      <c r="G2312">
        <v>-0.99996499999999999</v>
      </c>
      <c r="H2312">
        <v>10.114062499999999</v>
      </c>
      <c r="J2312">
        <v>11942</v>
      </c>
      <c r="N2312" t="s">
        <v>206</v>
      </c>
      <c r="O2312">
        <f t="shared" si="105"/>
        <v>10.0014</v>
      </c>
      <c r="P2312">
        <f t="shared" si="106"/>
        <v>0.14082812499999875</v>
      </c>
      <c r="Q2312">
        <f t="shared" si="107"/>
        <v>0.14082812499999875</v>
      </c>
      <c r="S2312">
        <v>50.159374999999997</v>
      </c>
      <c r="T2312">
        <v>0.21896874999999483</v>
      </c>
      <c r="U2312">
        <v>90.360937500000006</v>
      </c>
      <c r="V2312">
        <v>0.44107187500001643</v>
      </c>
      <c r="W2312">
        <v>80.246876525878903</v>
      </c>
      <c r="X2312">
        <f>(W2312-80)/80*100</f>
        <v>0.30859565734862926</v>
      </c>
      <c r="Y2312">
        <f>TREND(H2312:H2316,G2312:G2316,G2312)</f>
        <v>10.075485438110135</v>
      </c>
      <c r="Z2312">
        <f>ABS((Y2312-H2312)/80*100)</f>
        <v>4.822132736232998E-2</v>
      </c>
      <c r="AA2312">
        <f>MAX(Z2312:Z2316)</f>
        <v>7.3635563606870846E-2</v>
      </c>
      <c r="AB2312">
        <f>IF(ABS(MAX(P2312:P2318)) &gt; ABS(MIN(P2312:P2318)),MAX(P2312:P2318), MIN(P2312:P2318))</f>
        <v>0.44107187500001643</v>
      </c>
      <c r="AC2312">
        <f>IF(ABS(AB2313)&gt;ABS(AB2312),AB2313,AB2312)</f>
        <v>0.44107187500001643</v>
      </c>
      <c r="AH2312">
        <f>H2312-AG2270</f>
        <v>10.0908275</v>
      </c>
      <c r="AI2312">
        <f>100*(AH2312-O2312)/80</f>
        <v>0.11178437499999916</v>
      </c>
      <c r="AJ2312">
        <v>50.136139999999997</v>
      </c>
      <c r="AK2312">
        <v>0.18992499999999524</v>
      </c>
      <c r="AL2312">
        <v>90.337702500000006</v>
      </c>
      <c r="AM2312">
        <v>0.41202812500001684</v>
      </c>
      <c r="AN2312">
        <f>IF(ABS(MAX(AI2312:AI2318)) &gt; ABS(MIN(AI2312:AI2318)),MAX(AI2312:AI2318), MIN(AI2312:AI2318))</f>
        <v>0.41202812500001684</v>
      </c>
      <c r="AO2312">
        <f>IF(ABS(AN2313)&gt;ABS(AN2312),AN2313,AN2312)</f>
        <v>0.41202812500001684</v>
      </c>
    </row>
    <row r="2313" spans="1:41" x14ac:dyDescent="0.35">
      <c r="A2313" t="s">
        <v>300</v>
      </c>
      <c r="B2313" t="s">
        <v>1111</v>
      </c>
      <c r="C2313" t="s">
        <v>1879</v>
      </c>
      <c r="D2313">
        <v>70</v>
      </c>
      <c r="E2313">
        <v>70</v>
      </c>
      <c r="F2313">
        <v>-0.5</v>
      </c>
      <c r="G2313">
        <v>-0.50000900000000004</v>
      </c>
      <c r="H2313">
        <v>30.104687500000001</v>
      </c>
      <c r="J2313">
        <v>11948</v>
      </c>
      <c r="N2313" t="s">
        <v>206</v>
      </c>
      <c r="O2313">
        <f t="shared" ref="O2313:O2376" si="108">(((G2313--1)*(40))+10)</f>
        <v>29.999639999999999</v>
      </c>
      <c r="P2313">
        <f t="shared" ref="P2313:P2376" si="109">100*(H2313-O2313)/80</f>
        <v>0.13130937500000162</v>
      </c>
      <c r="Q2313">
        <f t="shared" ref="Q2313:Q2376" si="110">ABS(P2313)</f>
        <v>0.13130937500000162</v>
      </c>
      <c r="Y2313">
        <f>TREND(H2312:H2316,G2312:G2316,G2313)</f>
        <v>30.146341017138845</v>
      </c>
      <c r="Z2313">
        <f>ABS((Y2313-H2313)/80*100)</f>
        <v>5.2066896423554887E-2</v>
      </c>
      <c r="AB2313">
        <f>IF(ABS(T2312) &gt; ABS(V2312),T2312,V2312)</f>
        <v>0.44107187500001643</v>
      </c>
      <c r="AH2313">
        <f>H2313-AG2270</f>
        <v>30.081452500000001</v>
      </c>
      <c r="AI2313">
        <f>100*(AH2313-O2313)/80</f>
        <v>0.10226562500000203</v>
      </c>
      <c r="AN2313">
        <f>IF(ABS(AK2312) &gt; ABS(AM2312),AK2312,AM2312)</f>
        <v>0.41202812500001684</v>
      </c>
    </row>
    <row r="2314" spans="1:41" x14ac:dyDescent="0.35">
      <c r="A2314" t="s">
        <v>300</v>
      </c>
      <c r="B2314" t="s">
        <v>1111</v>
      </c>
      <c r="C2314" t="s">
        <v>1916</v>
      </c>
      <c r="D2314">
        <v>70</v>
      </c>
      <c r="E2314">
        <v>70</v>
      </c>
      <c r="F2314">
        <v>0</v>
      </c>
      <c r="G2314">
        <v>-3.9500000000000001E-4</v>
      </c>
      <c r="H2314">
        <v>50.159374999999997</v>
      </c>
      <c r="J2314">
        <v>11961</v>
      </c>
      <c r="N2314" t="s">
        <v>206</v>
      </c>
      <c r="O2314">
        <f t="shared" si="108"/>
        <v>49.984200000000001</v>
      </c>
      <c r="P2314">
        <f t="shared" si="109"/>
        <v>0.21896874999999483</v>
      </c>
      <c r="Q2314">
        <f t="shared" si="110"/>
        <v>0.21896874999999483</v>
      </c>
      <c r="Y2314">
        <f>TREND(H2312:H2316,G2312:G2316,G2314)</f>
        <v>50.20346692274024</v>
      </c>
      <c r="Z2314">
        <f>ABS((Y2314-H2314)/80*100)</f>
        <v>5.5114903425304007E-2</v>
      </c>
      <c r="AH2314">
        <f>H2314-AG2270</f>
        <v>50.136139999999997</v>
      </c>
      <c r="AI2314">
        <f>100*(AH2314-O2314)/80</f>
        <v>0.18992499999999524</v>
      </c>
    </row>
    <row r="2315" spans="1:41" x14ac:dyDescent="0.35">
      <c r="A2315" t="s">
        <v>300</v>
      </c>
      <c r="B2315" t="s">
        <v>1111</v>
      </c>
      <c r="C2315" t="s">
        <v>1952</v>
      </c>
      <c r="D2315">
        <v>70</v>
      </c>
      <c r="E2315">
        <v>70</v>
      </c>
      <c r="F2315">
        <v>0.5</v>
      </c>
      <c r="G2315">
        <v>0.50032900000000002</v>
      </c>
      <c r="H2315">
        <v>70.364062500000003</v>
      </c>
      <c r="J2315">
        <v>11967</v>
      </c>
      <c r="N2315" t="s">
        <v>206</v>
      </c>
      <c r="O2315">
        <f t="shared" si="108"/>
        <v>70.013159999999999</v>
      </c>
      <c r="P2315">
        <f t="shared" si="109"/>
        <v>0.43862812500000459</v>
      </c>
      <c r="Q2315">
        <f t="shared" si="110"/>
        <v>0.43862812500000459</v>
      </c>
      <c r="Y2315">
        <f>TREND(H2312:H2316,G2312:G2316,G2315)</f>
        <v>70.305154049114506</v>
      </c>
      <c r="Z2315">
        <f>ABS((Y2315-H2315)/80*100)</f>
        <v>7.3635563606870846E-2</v>
      </c>
      <c r="AH2315">
        <f>H2315-AG2270</f>
        <v>70.340827500000003</v>
      </c>
      <c r="AI2315">
        <f>100*(AH2315-O2315)/80</f>
        <v>0.409584375000005</v>
      </c>
    </row>
    <row r="2316" spans="1:41" x14ac:dyDescent="0.35">
      <c r="A2316" t="s">
        <v>300</v>
      </c>
      <c r="B2316" t="s">
        <v>1111</v>
      </c>
      <c r="C2316" t="s">
        <v>1988</v>
      </c>
      <c r="D2316">
        <v>70</v>
      </c>
      <c r="E2316">
        <v>70</v>
      </c>
      <c r="F2316">
        <v>1</v>
      </c>
      <c r="G2316">
        <v>1.000202</v>
      </c>
      <c r="H2316">
        <v>90.360937500000006</v>
      </c>
      <c r="J2316">
        <v>11976</v>
      </c>
      <c r="N2316" t="s">
        <v>206</v>
      </c>
      <c r="O2316">
        <f t="shared" si="108"/>
        <v>90.008079999999993</v>
      </c>
      <c r="P2316">
        <f t="shared" si="109"/>
        <v>0.44107187500001643</v>
      </c>
      <c r="Q2316">
        <f t="shared" si="110"/>
        <v>0.44107187500001643</v>
      </c>
      <c r="Y2316">
        <f>TREND(H2312:H2316,G2312:G2316,G2316)</f>
        <v>90.372677572896237</v>
      </c>
      <c r="Z2316">
        <f>ABS((Y2316-H2316)/80*100)</f>
        <v>1.4675091120288641E-2</v>
      </c>
      <c r="AH2316">
        <f>H2316-AG2270</f>
        <v>90.337702500000006</v>
      </c>
      <c r="AI2316">
        <f>100*(AH2316-O2316)/80</f>
        <v>0.41202812500001684</v>
      </c>
    </row>
    <row r="2317" spans="1:41" x14ac:dyDescent="0.35">
      <c r="A2317" t="s">
        <v>300</v>
      </c>
      <c r="B2317" t="s">
        <v>1111</v>
      </c>
      <c r="C2317" t="s">
        <v>2025</v>
      </c>
      <c r="D2317">
        <v>70</v>
      </c>
      <c r="E2317">
        <v>70</v>
      </c>
      <c r="F2317">
        <v>0</v>
      </c>
      <c r="G2317">
        <v>-9.5000000000000005E-5</v>
      </c>
      <c r="H2317">
        <v>50.178125000000001</v>
      </c>
      <c r="J2317">
        <v>11989</v>
      </c>
      <c r="N2317" t="s">
        <v>206</v>
      </c>
      <c r="O2317">
        <f t="shared" si="108"/>
        <v>49.996200000000002</v>
      </c>
      <c r="P2317">
        <f t="shared" si="109"/>
        <v>0.22740624999999959</v>
      </c>
      <c r="Q2317">
        <f t="shared" si="110"/>
        <v>0.22740624999999959</v>
      </c>
      <c r="Y2317">
        <f>TREND(H2312:H2316,G2312:G2316,G2317)</f>
        <v>50.215510495922096</v>
      </c>
      <c r="Z2317">
        <f>ABS((Y2317-H2317)/80*100)</f>
        <v>4.6731869902618683E-2</v>
      </c>
      <c r="AH2317">
        <f>H2317-AG2270</f>
        <v>50.154890000000002</v>
      </c>
      <c r="AI2317">
        <f>100*(AH2317-O2317)/80</f>
        <v>0.1983625</v>
      </c>
    </row>
    <row r="2318" spans="1:41" x14ac:dyDescent="0.35">
      <c r="A2318" t="s">
        <v>300</v>
      </c>
      <c r="B2318" t="s">
        <v>1111</v>
      </c>
      <c r="C2318" t="s">
        <v>2062</v>
      </c>
      <c r="D2318">
        <v>70</v>
      </c>
      <c r="E2318">
        <v>70</v>
      </c>
      <c r="F2318">
        <v>-1</v>
      </c>
      <c r="G2318">
        <v>-1.000006</v>
      </c>
      <c r="H2318">
        <v>10.182812500000001</v>
      </c>
      <c r="J2318">
        <v>11989</v>
      </c>
      <c r="N2318" t="s">
        <v>206</v>
      </c>
      <c r="O2318">
        <f t="shared" si="108"/>
        <v>9.999760000000002</v>
      </c>
      <c r="P2318">
        <f t="shared" si="109"/>
        <v>0.22881562499999841</v>
      </c>
      <c r="Q2318">
        <f t="shared" si="110"/>
        <v>0.22881562499999841</v>
      </c>
      <c r="Y2318">
        <f>TREND(H2312:H2316,G2312:G2316,G2318)</f>
        <v>10.073839483108621</v>
      </c>
      <c r="Z2318">
        <f>ABS((Y2318-H2318)/80*100)</f>
        <v>0.13621627111422452</v>
      </c>
      <c r="AH2318">
        <f>H2318-AG2270</f>
        <v>10.159577500000001</v>
      </c>
      <c r="AI2318">
        <f>100*(AH2318-O2318)/80</f>
        <v>0.19977187499999882</v>
      </c>
    </row>
    <row r="2319" spans="1:41" x14ac:dyDescent="0.35">
      <c r="A2319" t="s">
        <v>300</v>
      </c>
      <c r="B2319" t="s">
        <v>1111</v>
      </c>
      <c r="C2319" t="s">
        <v>2098</v>
      </c>
      <c r="D2319">
        <v>85</v>
      </c>
      <c r="E2319">
        <v>85</v>
      </c>
      <c r="F2319">
        <v>-1</v>
      </c>
      <c r="G2319">
        <v>-1.0000629999999999</v>
      </c>
      <c r="H2319">
        <v>10.199999999999999</v>
      </c>
      <c r="J2319">
        <v>18058</v>
      </c>
      <c r="N2319" t="s">
        <v>206</v>
      </c>
      <c r="O2319">
        <f t="shared" si="108"/>
        <v>9.997480000000003</v>
      </c>
      <c r="P2319">
        <f t="shared" si="109"/>
        <v>0.25314999999999532</v>
      </c>
      <c r="Q2319">
        <f t="shared" si="110"/>
        <v>0.25314999999999532</v>
      </c>
      <c r="S2319">
        <v>50.246875000000003</v>
      </c>
      <c r="T2319">
        <v>0.30869374999999977</v>
      </c>
      <c r="U2319">
        <v>90.424999999999997</v>
      </c>
      <c r="V2319">
        <v>0.52819999999998757</v>
      </c>
      <c r="W2319">
        <v>80.22500305175781</v>
      </c>
      <c r="X2319">
        <f>(W2319-80)/80*100</f>
        <v>0.28125381469726207</v>
      </c>
      <c r="Y2319">
        <f>TREND(H2319:H2323,G2319:G2323,G2319)</f>
        <v>10.146085634133911</v>
      </c>
      <c r="Z2319">
        <f>ABS((Y2319-H2319)/80*100)</f>
        <v>6.7392957332610415E-2</v>
      </c>
      <c r="AA2319">
        <f>MAX(Z2319:Z2323)</f>
        <v>7.8233441621669009E-2</v>
      </c>
      <c r="AB2319">
        <f>IF(ABS(MAX(P2319:P2325)) &gt; ABS(MIN(P2319:P2325)),MAX(P2319:P2325), MIN(P2319:P2325))</f>
        <v>0.52819999999998757</v>
      </c>
      <c r="AC2319">
        <f>IF(ABS(AB2320)&gt;ABS(AB2319),AB2320,AB2319)</f>
        <v>0.52819999999998757</v>
      </c>
      <c r="AH2319">
        <f>H2319-AG2270</f>
        <v>10.176765</v>
      </c>
      <c r="AI2319">
        <f>100*(AH2319-O2319)/80</f>
        <v>0.22410624999999573</v>
      </c>
      <c r="AJ2319">
        <v>50.223640000000003</v>
      </c>
      <c r="AK2319">
        <v>0.27965000000000018</v>
      </c>
      <c r="AL2319">
        <v>90.401764999999997</v>
      </c>
      <c r="AM2319">
        <v>0.49915624999998798</v>
      </c>
      <c r="AN2319">
        <f>IF(ABS(MAX(AI2319:AI2325)) &gt; ABS(MIN(AI2319:AI2325)),MAX(AI2319:AI2325), MIN(AI2319:AI2325))</f>
        <v>0.49915624999998798</v>
      </c>
      <c r="AO2319">
        <f>IF(ABS(AN2320)&gt;ABS(AN2319),AN2320,AN2319)</f>
        <v>0.49915624999998798</v>
      </c>
    </row>
    <row r="2320" spans="1:41" x14ac:dyDescent="0.35">
      <c r="A2320" t="s">
        <v>300</v>
      </c>
      <c r="B2320" t="s">
        <v>1111</v>
      </c>
      <c r="C2320" t="s">
        <v>2134</v>
      </c>
      <c r="D2320">
        <v>85</v>
      </c>
      <c r="E2320">
        <v>85</v>
      </c>
      <c r="F2320">
        <v>-0.5</v>
      </c>
      <c r="G2320">
        <v>-0.50021599999999999</v>
      </c>
      <c r="H2320">
        <v>30.146875000000001</v>
      </c>
      <c r="J2320">
        <v>18058</v>
      </c>
      <c r="N2320" t="s">
        <v>206</v>
      </c>
      <c r="O2320">
        <f t="shared" si="108"/>
        <v>29.99136</v>
      </c>
      <c r="P2320">
        <f t="shared" si="109"/>
        <v>0.19439375000000148</v>
      </c>
      <c r="Q2320">
        <f t="shared" si="110"/>
        <v>0.19439375000000148</v>
      </c>
      <c r="Y2320">
        <f>TREND(H2319:H2323,G2319:G2323,G2320)</f>
        <v>30.209461753297337</v>
      </c>
      <c r="Z2320">
        <f>ABS((Y2320-H2320)/80*100)</f>
        <v>7.8233441621669009E-2</v>
      </c>
      <c r="AB2320">
        <f>IF(ABS(T2319) &gt; ABS(V2319),T2319,V2319)</f>
        <v>0.52819999999998757</v>
      </c>
      <c r="AH2320">
        <f>H2320-AG2270</f>
        <v>30.123640000000002</v>
      </c>
      <c r="AI2320">
        <f>100*(AH2320-O2320)/80</f>
        <v>0.16535000000000188</v>
      </c>
      <c r="AN2320">
        <f>IF(ABS(AK2319) &gt; ABS(AM2319),AK2319,AM2319)</f>
        <v>0.49915624999998798</v>
      </c>
    </row>
    <row r="2321" spans="1:41" x14ac:dyDescent="0.35">
      <c r="A2321" t="s">
        <v>300</v>
      </c>
      <c r="B2321" t="s">
        <v>1111</v>
      </c>
      <c r="C2321" t="s">
        <v>2170</v>
      </c>
      <c r="D2321">
        <v>85</v>
      </c>
      <c r="E2321">
        <v>85</v>
      </c>
      <c r="F2321">
        <v>0</v>
      </c>
      <c r="G2321">
        <v>-1.9999999999999999E-6</v>
      </c>
      <c r="H2321">
        <v>50.246875000000003</v>
      </c>
      <c r="J2321">
        <v>18069</v>
      </c>
      <c r="N2321" t="s">
        <v>206</v>
      </c>
      <c r="O2321">
        <f t="shared" si="108"/>
        <v>49.999920000000003</v>
      </c>
      <c r="P2321">
        <f t="shared" si="109"/>
        <v>0.30869374999999977</v>
      </c>
      <c r="Q2321">
        <f t="shared" si="110"/>
        <v>0.30869374999999977</v>
      </c>
      <c r="Y2321">
        <f>TREND(H2319:H2323,G2319:G2323,G2321)</f>
        <v>50.287568898226112</v>
      </c>
      <c r="Z2321">
        <f>ABS((Y2321-H2321)/80*100)</f>
        <v>5.0867372782636977E-2</v>
      </c>
      <c r="AH2321">
        <f>H2321-AG2270</f>
        <v>50.223640000000003</v>
      </c>
      <c r="AI2321">
        <f>100*(AH2321-O2321)/80</f>
        <v>0.27965000000000018</v>
      </c>
    </row>
    <row r="2322" spans="1:41" x14ac:dyDescent="0.35">
      <c r="A2322" t="s">
        <v>300</v>
      </c>
      <c r="B2322" t="s">
        <v>1111</v>
      </c>
      <c r="C2322" t="s">
        <v>2207</v>
      </c>
      <c r="D2322">
        <v>85</v>
      </c>
      <c r="E2322">
        <v>85</v>
      </c>
      <c r="F2322">
        <v>0.5</v>
      </c>
      <c r="G2322">
        <v>0.49989</v>
      </c>
      <c r="H2322">
        <v>70.40625</v>
      </c>
      <c r="J2322">
        <v>18069</v>
      </c>
      <c r="N2322" t="s">
        <v>206</v>
      </c>
      <c r="O2322">
        <f t="shared" si="108"/>
        <v>69.995599999999996</v>
      </c>
      <c r="P2322">
        <f t="shared" si="109"/>
        <v>0.51331250000000495</v>
      </c>
      <c r="Q2322">
        <f t="shared" si="110"/>
        <v>0.51331250000000495</v>
      </c>
      <c r="Y2322">
        <f>TREND(H2319:H2323,G2319:G2323,G2322)</f>
        <v>70.35275127395478</v>
      </c>
      <c r="Z2322">
        <f>ABS((Y2322-H2322)/80*100)</f>
        <v>6.6873407556524711E-2</v>
      </c>
      <c r="AH2322">
        <f>H2322-AG2270</f>
        <v>70.383015</v>
      </c>
      <c r="AI2322">
        <f>100*(AH2322-O2322)/80</f>
        <v>0.48426875000000535</v>
      </c>
    </row>
    <row r="2323" spans="1:41" x14ac:dyDescent="0.35">
      <c r="A2323" t="s">
        <v>300</v>
      </c>
      <c r="B2323" t="s">
        <v>1111</v>
      </c>
      <c r="C2323" t="s">
        <v>2244</v>
      </c>
      <c r="D2323">
        <v>85</v>
      </c>
      <c r="E2323">
        <v>85</v>
      </c>
      <c r="F2323">
        <v>1</v>
      </c>
      <c r="G2323">
        <v>1.0000610000000001</v>
      </c>
      <c r="H2323">
        <v>90.424999999999997</v>
      </c>
      <c r="J2323">
        <v>18088</v>
      </c>
      <c r="N2323" t="s">
        <v>206</v>
      </c>
      <c r="O2323">
        <f t="shared" si="108"/>
        <v>90.002440000000007</v>
      </c>
      <c r="P2323">
        <f t="shared" si="109"/>
        <v>0.52819999999998757</v>
      </c>
      <c r="Q2323">
        <f t="shared" si="110"/>
        <v>0.52819999999998757</v>
      </c>
      <c r="Y2323">
        <f>TREND(H2319:H2323,G2319:G2323,G2323)</f>
        <v>90.429132440387889</v>
      </c>
      <c r="Z2323">
        <f>ABS((Y2323-H2323)/80*100)</f>
        <v>5.1655504848646672E-3</v>
      </c>
      <c r="AH2323">
        <f>H2323-AG2270</f>
        <v>90.401764999999997</v>
      </c>
      <c r="AI2323">
        <f>100*(AH2323-O2323)/80</f>
        <v>0.49915624999998798</v>
      </c>
    </row>
    <row r="2324" spans="1:41" x14ac:dyDescent="0.35">
      <c r="A2324" t="s">
        <v>300</v>
      </c>
      <c r="B2324" t="s">
        <v>1111</v>
      </c>
      <c r="C2324" t="s">
        <v>2280</v>
      </c>
      <c r="D2324">
        <v>85</v>
      </c>
      <c r="E2324">
        <v>85</v>
      </c>
      <c r="F2324">
        <v>0</v>
      </c>
      <c r="G2324">
        <v>-1.08E-4</v>
      </c>
      <c r="H2324">
        <v>50.168750000000003</v>
      </c>
      <c r="J2324">
        <v>18090</v>
      </c>
      <c r="N2324" t="s">
        <v>206</v>
      </c>
      <c r="O2324">
        <f t="shared" si="108"/>
        <v>49.99568</v>
      </c>
      <c r="P2324">
        <f t="shared" si="109"/>
        <v>0.2163375000000034</v>
      </c>
      <c r="Q2324">
        <f t="shared" si="110"/>
        <v>0.2163375000000034</v>
      </c>
      <c r="Y2324">
        <f>TREND(H2319:H2323,G2319:G2323,G2324)</f>
        <v>50.283314160539121</v>
      </c>
      <c r="Z2324">
        <f>ABS((Y2324-H2324)/80*100)</f>
        <v>0.14320520067389708</v>
      </c>
      <c r="AH2324">
        <f>H2324-AG2270</f>
        <v>50.145515000000003</v>
      </c>
      <c r="AI2324">
        <f>100*(AH2324-O2324)/80</f>
        <v>0.18729375000000381</v>
      </c>
    </row>
    <row r="2325" spans="1:41" x14ac:dyDescent="0.35">
      <c r="A2325" t="s">
        <v>300</v>
      </c>
      <c r="B2325" t="s">
        <v>1111</v>
      </c>
      <c r="C2325" t="s">
        <v>2317</v>
      </c>
      <c r="D2325">
        <v>85</v>
      </c>
      <c r="E2325">
        <v>85</v>
      </c>
      <c r="F2325">
        <v>-1</v>
      </c>
      <c r="G2325">
        <v>-1.000108</v>
      </c>
      <c r="H2325">
        <v>10.231249999999999</v>
      </c>
      <c r="J2325">
        <v>18096</v>
      </c>
      <c r="N2325" t="s">
        <v>206</v>
      </c>
      <c r="O2325">
        <f t="shared" si="108"/>
        <v>9.9956800000000001</v>
      </c>
      <c r="P2325">
        <f t="shared" si="109"/>
        <v>0.29446249999999896</v>
      </c>
      <c r="Q2325">
        <f t="shared" si="110"/>
        <v>0.29446249999999896</v>
      </c>
      <c r="Y2325">
        <f>TREND(H2319:H2323,G2319:G2323,G2325)</f>
        <v>10.144279377568672</v>
      </c>
      <c r="Z2325">
        <f>ABS((Y2325-H2325)/80*100)</f>
        <v>0.10871327803915865</v>
      </c>
      <c r="AH2325">
        <f>H2325-AG2270</f>
        <v>10.208015</v>
      </c>
      <c r="AI2325">
        <f>100*(AH2325-O2325)/80</f>
        <v>0.26541874999999937</v>
      </c>
    </row>
    <row r="2326" spans="1:41" x14ac:dyDescent="0.35">
      <c r="A2326" t="s">
        <v>300</v>
      </c>
      <c r="B2326" t="s">
        <v>1111</v>
      </c>
      <c r="C2326" t="s">
        <v>2354</v>
      </c>
      <c r="D2326">
        <v>25</v>
      </c>
      <c r="E2326">
        <v>25</v>
      </c>
      <c r="F2326">
        <v>-1</v>
      </c>
      <c r="G2326">
        <v>-1.000143</v>
      </c>
      <c r="H2326">
        <v>9.9765625</v>
      </c>
      <c r="J2326">
        <v>-6045</v>
      </c>
      <c r="N2326" t="s">
        <v>206</v>
      </c>
      <c r="O2326">
        <f t="shared" si="108"/>
        <v>9.9942799999999998</v>
      </c>
      <c r="P2326">
        <f t="shared" si="109"/>
        <v>-2.2146874999999788E-2</v>
      </c>
      <c r="Q2326">
        <f t="shared" si="110"/>
        <v>2.2146874999999788E-2</v>
      </c>
      <c r="S2326">
        <v>49.990625000000001</v>
      </c>
      <c r="T2326">
        <v>-6.6187499999958987E-3</v>
      </c>
      <c r="U2326">
        <v>90.201562499999994</v>
      </c>
      <c r="V2326">
        <v>0.25125312499998387</v>
      </c>
      <c r="W2326">
        <v>80.224998474121094</v>
      </c>
      <c r="X2326">
        <f>(W2326-80)/80*100</f>
        <v>0.28124809265136719</v>
      </c>
      <c r="Y2326">
        <f>TREND(H2326:H2330,G2326:G2330,G2326)</f>
        <v>9.8988599845166476</v>
      </c>
      <c r="Z2326">
        <f>ABS((Y2326-H2326)/80*100)</f>
        <v>9.7128144354190482E-2</v>
      </c>
      <c r="AA2326">
        <f>MAX(Z2326:Z2330)</f>
        <v>9.7128144354190482E-2</v>
      </c>
      <c r="AB2326">
        <f>IF(ABS(MAX(P2326:P2332)) &gt; ABS(MIN(P2326:P2332)),MAX(P2326:P2332), MIN(P2326:P2332))</f>
        <v>0.25125312499998387</v>
      </c>
      <c r="AC2326">
        <f>IF(ABS(AB2327)&gt;ABS(AB2326),AB2327,AB2326)</f>
        <v>0.25125312499998387</v>
      </c>
      <c r="AH2326">
        <f>H2326-AG2270</f>
        <v>9.9533275000000003</v>
      </c>
      <c r="AI2326">
        <f>100*(AH2326-O2326)/80</f>
        <v>-5.1190624999999379E-2</v>
      </c>
      <c r="AJ2326">
        <v>49.967390000000002</v>
      </c>
      <c r="AK2326">
        <v>-3.5662499999995489E-2</v>
      </c>
      <c r="AL2326">
        <v>90.178327499999995</v>
      </c>
      <c r="AM2326">
        <v>0.22220937499998428</v>
      </c>
      <c r="AN2326">
        <f>IF(ABS(MAX(AI2326:AI2332)) &gt; ABS(MIN(AI2326:AI2332)),MAX(AI2326:AI2332), MIN(AI2326:AI2332))</f>
        <v>0.22220937499998428</v>
      </c>
      <c r="AO2326">
        <f>IF(ABS(AN2327)&gt;ABS(AN2326),AN2327,AN2326)</f>
        <v>0.22220937499998428</v>
      </c>
    </row>
    <row r="2327" spans="1:41" x14ac:dyDescent="0.35">
      <c r="A2327" t="s">
        <v>300</v>
      </c>
      <c r="B2327" t="s">
        <v>1111</v>
      </c>
      <c r="C2327" t="s">
        <v>2391</v>
      </c>
      <c r="D2327">
        <v>25</v>
      </c>
      <c r="E2327">
        <v>25</v>
      </c>
      <c r="F2327">
        <v>-0.5</v>
      </c>
      <c r="G2327">
        <v>-0.50052099999999999</v>
      </c>
      <c r="H2327">
        <v>29.870312500000001</v>
      </c>
      <c r="J2327">
        <v>-6051</v>
      </c>
      <c r="N2327" t="s">
        <v>206</v>
      </c>
      <c r="O2327">
        <f t="shared" si="108"/>
        <v>29.97916</v>
      </c>
      <c r="P2327">
        <f t="shared" si="109"/>
        <v>-0.13605937499999943</v>
      </c>
      <c r="Q2327">
        <f t="shared" si="110"/>
        <v>0.13605937499999943</v>
      </c>
      <c r="Y2327">
        <f>TREND(H2326:H2330,G2326:G2330,G2327)</f>
        <v>29.947406640590209</v>
      </c>
      <c r="Z2327">
        <f>ABS((Y2327-H2327)/80*100)</f>
        <v>9.6367675737760727E-2</v>
      </c>
      <c r="AB2327">
        <f>IF(ABS(T2326) &gt; ABS(V2326),T2326,V2326)</f>
        <v>0.25125312499998387</v>
      </c>
      <c r="AH2327">
        <f>H2327-AG2270</f>
        <v>29.847077500000001</v>
      </c>
      <c r="AI2327">
        <f>100*(AH2327-O2327)/80</f>
        <v>-0.16510312499999902</v>
      </c>
      <c r="AN2327">
        <f>IF(ABS(AK2326) &gt; ABS(AM2326),AK2326,AM2326)</f>
        <v>0.22220937499998428</v>
      </c>
    </row>
    <row r="2328" spans="1:41" x14ac:dyDescent="0.35">
      <c r="A2328" t="s">
        <v>300</v>
      </c>
      <c r="B2328" t="s">
        <v>1111</v>
      </c>
      <c r="C2328" t="s">
        <v>2427</v>
      </c>
      <c r="D2328">
        <v>25</v>
      </c>
      <c r="E2328">
        <v>25</v>
      </c>
      <c r="F2328">
        <v>0</v>
      </c>
      <c r="G2328">
        <v>-1.02E-4</v>
      </c>
      <c r="H2328">
        <v>49.990625000000001</v>
      </c>
      <c r="J2328">
        <v>-6062</v>
      </c>
      <c r="N2328" t="s">
        <v>206</v>
      </c>
      <c r="O2328">
        <f t="shared" si="108"/>
        <v>49.995919999999998</v>
      </c>
      <c r="P2328">
        <f t="shared" si="109"/>
        <v>-6.6187499999958987E-3</v>
      </c>
      <c r="Q2328">
        <f t="shared" si="110"/>
        <v>6.6187499999958987E-3</v>
      </c>
      <c r="Y2328">
        <f>TREND(H2326:H2330,G2326:G2330,G2328)</f>
        <v>50.027934858093992</v>
      </c>
      <c r="Z2328">
        <f>ABS((Y2328-H2328)/80*100)</f>
        <v>4.6637322617488763E-2</v>
      </c>
      <c r="AH2328">
        <f>H2328-AG2270</f>
        <v>49.967390000000002</v>
      </c>
      <c r="AI2328">
        <f>100*(AH2328-O2328)/80</f>
        <v>-3.5662499999995489E-2</v>
      </c>
    </row>
    <row r="2329" spans="1:41" x14ac:dyDescent="0.35">
      <c r="A2329" t="s">
        <v>300</v>
      </c>
      <c r="B2329" t="s">
        <v>1111</v>
      </c>
      <c r="C2329" t="s">
        <v>2464</v>
      </c>
      <c r="D2329">
        <v>25</v>
      </c>
      <c r="E2329">
        <v>25</v>
      </c>
      <c r="F2329">
        <v>0.5</v>
      </c>
      <c r="G2329">
        <v>0.50007100000000004</v>
      </c>
      <c r="H2329">
        <v>70.09375</v>
      </c>
      <c r="J2329">
        <v>-6074</v>
      </c>
      <c r="N2329" t="s">
        <v>206</v>
      </c>
      <c r="O2329">
        <f t="shared" si="108"/>
        <v>70.002840000000006</v>
      </c>
      <c r="P2329">
        <f t="shared" si="109"/>
        <v>0.11363749999999229</v>
      </c>
      <c r="Q2329">
        <f t="shared" si="110"/>
        <v>0.11363749999999229</v>
      </c>
      <c r="Y2329">
        <f>TREND(H2326:H2330,G2326:G2330,G2329)</f>
        <v>70.098591727904136</v>
      </c>
      <c r="Z2329">
        <f>ABS((Y2329-H2329)/80*100)</f>
        <v>6.0521598801699383E-3</v>
      </c>
      <c r="AH2329">
        <f>H2329-AG2270</f>
        <v>70.070515</v>
      </c>
      <c r="AI2329">
        <f>100*(AH2329-O2329)/80</f>
        <v>8.4593749999992696E-2</v>
      </c>
    </row>
    <row r="2330" spans="1:41" x14ac:dyDescent="0.35">
      <c r="A2330" t="s">
        <v>300</v>
      </c>
      <c r="B2330" t="s">
        <v>1111</v>
      </c>
      <c r="C2330" t="s">
        <v>2501</v>
      </c>
      <c r="D2330">
        <v>25</v>
      </c>
      <c r="E2330">
        <v>24.9</v>
      </c>
      <c r="F2330">
        <v>1</v>
      </c>
      <c r="G2330">
        <v>1.000014</v>
      </c>
      <c r="H2330">
        <v>90.201562499999994</v>
      </c>
      <c r="J2330">
        <v>-6087</v>
      </c>
      <c r="N2330" t="s">
        <v>206</v>
      </c>
      <c r="O2330">
        <f t="shared" si="108"/>
        <v>90.000560000000007</v>
      </c>
      <c r="P2330">
        <f t="shared" si="109"/>
        <v>0.25125312499998387</v>
      </c>
      <c r="Q2330">
        <f t="shared" si="110"/>
        <v>0.25125312499998387</v>
      </c>
      <c r="Y2330">
        <f>TREND(H2326:H2330,G2326:G2330,G2330)</f>
        <v>90.160019288895</v>
      </c>
      <c r="Z2330">
        <f>ABS((Y2330-H2330)/80*100)</f>
        <v>5.1929013881242263E-2</v>
      </c>
      <c r="AH2330">
        <f>H2330-AG2270</f>
        <v>90.178327499999995</v>
      </c>
      <c r="AI2330">
        <f>100*(AH2330-O2330)/80</f>
        <v>0.22220937499998428</v>
      </c>
    </row>
    <row r="2331" spans="1:41" x14ac:dyDescent="0.35">
      <c r="A2331" t="s">
        <v>300</v>
      </c>
      <c r="B2331" t="s">
        <v>1111</v>
      </c>
      <c r="C2331" t="s">
        <v>2538</v>
      </c>
      <c r="D2331">
        <v>25</v>
      </c>
      <c r="E2331">
        <v>25</v>
      </c>
      <c r="F2331">
        <v>0</v>
      </c>
      <c r="G2331">
        <v>-4.6E-5</v>
      </c>
      <c r="H2331">
        <v>49.978124999999999</v>
      </c>
      <c r="J2331">
        <v>-6089</v>
      </c>
      <c r="N2331" t="s">
        <v>206</v>
      </c>
      <c r="O2331">
        <f t="shared" si="108"/>
        <v>49.998159999999999</v>
      </c>
      <c r="P2331">
        <f t="shared" si="109"/>
        <v>-2.5043750000000031E-2</v>
      </c>
      <c r="Q2331">
        <f t="shared" si="110"/>
        <v>2.5043750000000031E-2</v>
      </c>
      <c r="Y2331">
        <f>TREND(H2326:H2330,G2326:G2330,G2331)</f>
        <v>50.030181994154333</v>
      </c>
      <c r="Z2331">
        <f>ABS((Y2331-H2331)/80*100)</f>
        <v>6.5071242692917863E-2</v>
      </c>
      <c r="AH2331">
        <f>H2331-AG2270</f>
        <v>49.954889999999999</v>
      </c>
      <c r="AI2331">
        <f>100*(AH2331-O2331)/80</f>
        <v>-5.4087499999999622E-2</v>
      </c>
    </row>
    <row r="2332" spans="1:41" x14ac:dyDescent="0.35">
      <c r="A2332" t="s">
        <v>300</v>
      </c>
      <c r="B2332" t="s">
        <v>1111</v>
      </c>
      <c r="C2332" t="s">
        <v>2573</v>
      </c>
      <c r="D2332">
        <v>25</v>
      </c>
      <c r="E2332">
        <v>25</v>
      </c>
      <c r="F2332">
        <v>-1</v>
      </c>
      <c r="G2332">
        <v>-0.99986799999999998</v>
      </c>
      <c r="H2332">
        <v>9.984375</v>
      </c>
      <c r="J2332">
        <v>-6100</v>
      </c>
      <c r="N2332" t="s">
        <v>206</v>
      </c>
      <c r="O2332">
        <f t="shared" si="108"/>
        <v>10.005280000000001</v>
      </c>
      <c r="P2332">
        <f t="shared" si="109"/>
        <v>-2.6131250000001049E-2</v>
      </c>
      <c r="Q2332">
        <f t="shared" si="110"/>
        <v>2.6131250000001049E-2</v>
      </c>
      <c r="Y2332">
        <f>TREND(H2326:H2330,G2326:G2330,G2332)</f>
        <v>9.9098950276701174</v>
      </c>
      <c r="Z2332">
        <f>ABS((Y2332-H2332)/80*100)</f>
        <v>9.3099965412353214E-2</v>
      </c>
      <c r="AH2332">
        <f>H2332-AG2270</f>
        <v>9.9611400000000003</v>
      </c>
      <c r="AI2332">
        <f>100*(AH2332-O2332)/80</f>
        <v>-5.517500000000064E-2</v>
      </c>
    </row>
    <row r="2333" spans="1:41" x14ac:dyDescent="0.35">
      <c r="A2333" t="s">
        <v>302</v>
      </c>
      <c r="B2333" t="s">
        <v>231</v>
      </c>
      <c r="C2333" t="s">
        <v>303</v>
      </c>
      <c r="D2333">
        <v>25</v>
      </c>
      <c r="E2333">
        <v>25</v>
      </c>
      <c r="F2333">
        <v>-1</v>
      </c>
      <c r="G2333">
        <v>-0.99996200000000002</v>
      </c>
      <c r="H2333">
        <v>49.998437500000001</v>
      </c>
      <c r="J2333">
        <v>-1</v>
      </c>
      <c r="N2333" t="s">
        <v>207</v>
      </c>
      <c r="O2333">
        <f t="shared" si="108"/>
        <v>10.001519999999999</v>
      </c>
      <c r="P2333">
        <f t="shared" si="109"/>
        <v>49.996146875000008</v>
      </c>
      <c r="Q2333">
        <f t="shared" si="110"/>
        <v>49.996146875000008</v>
      </c>
      <c r="S2333">
        <v>49.998437500000001</v>
      </c>
      <c r="T2333">
        <v>5.9468750000046811E-3</v>
      </c>
      <c r="U2333">
        <v>49.998437500000001</v>
      </c>
      <c r="V2333">
        <v>-49.994703125000008</v>
      </c>
      <c r="W2333">
        <v>-1.5258789076710855E-6</v>
      </c>
      <c r="X2333">
        <f>(W2333-80)/80*100</f>
        <v>-100.00000190734863</v>
      </c>
      <c r="Y2333">
        <f>TREND(H2333:H2337,G2333:G2337,G2333)</f>
        <v>49.998437500000001</v>
      </c>
      <c r="Z2333">
        <f>ABS((Y2333-H2333)/80*100)</f>
        <v>0</v>
      </c>
      <c r="AA2333">
        <f>MAX(Z2333:Z2337)</f>
        <v>0</v>
      </c>
      <c r="AB2333">
        <f>IF(ABS(MAX(P2333:P2339)) &gt; ABS(MIN(P2333:P2339)),MAX(P2333:P2339), MIN(P2333:P2339))</f>
        <v>50.008596875000002</v>
      </c>
      <c r="AC2333">
        <f>IF(ABS(AB2334)&gt;ABS(AB2333),AB2334,AB2333)</f>
        <v>50.008596875000002</v>
      </c>
      <c r="AD2333">
        <f>MAX(AD2334:AD2335)</f>
        <v>1.2449999999994077E-2</v>
      </c>
      <c r="AE2333">
        <f>MAX(AE2334:AE2354)</f>
        <v>2.0299999999991769E-2</v>
      </c>
      <c r="AF2333">
        <f>MAX(AD2333,AA2333)</f>
        <v>1.2449999999994077E-2</v>
      </c>
      <c r="AG2333">
        <f>H2335-O2335</f>
        <v>4.7575000000037448E-3</v>
      </c>
      <c r="AH2333">
        <f>H2333-AG2333</f>
        <v>49.993679999999998</v>
      </c>
      <c r="AI2333">
        <f>100*(AH2333-O2333)/80</f>
        <v>49.990200000000002</v>
      </c>
      <c r="AJ2333">
        <v>49.993679999999998</v>
      </c>
      <c r="AK2333">
        <v>0</v>
      </c>
      <c r="AL2333">
        <v>49.993679999999998</v>
      </c>
      <c r="AM2333">
        <v>-50.000650000000014</v>
      </c>
      <c r="AN2333">
        <f>IF(ABS(MAX(AI2333:AI2339)) &gt; ABS(MIN(AI2333:AI2339)),MAX(AI2333:AI2339), MIN(AI2333:AI2339))</f>
        <v>50.002650000000003</v>
      </c>
      <c r="AO2333">
        <f>IF(ABS(AN2334)&gt;ABS(AN2333),AN2334,AN2333)</f>
        <v>50.002650000000003</v>
      </c>
    </row>
    <row r="2334" spans="1:41" x14ac:dyDescent="0.35">
      <c r="A2334" t="s">
        <v>302</v>
      </c>
      <c r="B2334" t="s">
        <v>231</v>
      </c>
      <c r="C2334" t="s">
        <v>342</v>
      </c>
      <c r="D2334">
        <v>25</v>
      </c>
      <c r="E2334">
        <v>25</v>
      </c>
      <c r="F2334">
        <v>-0.5</v>
      </c>
      <c r="G2334">
        <v>-0.50006700000000004</v>
      </c>
      <c r="H2334">
        <v>49.998437500000001</v>
      </c>
      <c r="J2334">
        <v>-1</v>
      </c>
      <c r="N2334" t="s">
        <v>207</v>
      </c>
      <c r="O2334">
        <f t="shared" si="108"/>
        <v>29.997319999999998</v>
      </c>
      <c r="P2334">
        <f t="shared" si="109"/>
        <v>25.001396875000005</v>
      </c>
      <c r="Q2334">
        <f t="shared" si="110"/>
        <v>25.001396875000005</v>
      </c>
      <c r="Y2334">
        <f>TREND(H2333:H2337,G2333:G2337,G2334)</f>
        <v>49.998437500000001</v>
      </c>
      <c r="Z2334">
        <f>ABS((Y2334-H2334)/80*100)</f>
        <v>0</v>
      </c>
      <c r="AB2334">
        <f>IF(ABS(T2333) &gt; ABS(V2333),T2333,V2333)</f>
        <v>-49.994703125000008</v>
      </c>
      <c r="AD2334">
        <f>ABS(P2335-P2338)</f>
        <v>4.1500000000027626E-3</v>
      </c>
      <c r="AE2334">
        <f>ABS(P2361-P2333)</f>
        <v>2.8000000000076852E-3</v>
      </c>
      <c r="AH2334">
        <f>H2334-AG2333</f>
        <v>49.993679999999998</v>
      </c>
      <c r="AI2334">
        <f>100*(AH2334-O2334)/80</f>
        <v>24.995449999999998</v>
      </c>
      <c r="AN2334">
        <f>IF(ABS(AK2333) &gt; ABS(AM2333),AK2333,AM2333)</f>
        <v>-50.000650000000014</v>
      </c>
    </row>
    <row r="2335" spans="1:41" x14ac:dyDescent="0.35">
      <c r="A2335" t="s">
        <v>302</v>
      </c>
      <c r="B2335" t="s">
        <v>231</v>
      </c>
      <c r="C2335" t="s">
        <v>378</v>
      </c>
      <c r="D2335">
        <v>25</v>
      </c>
      <c r="E2335">
        <v>25</v>
      </c>
      <c r="F2335">
        <v>0</v>
      </c>
      <c r="G2335">
        <v>-1.5799999999999999E-4</v>
      </c>
      <c r="H2335">
        <v>49.998437500000001</v>
      </c>
      <c r="J2335">
        <v>-1</v>
      </c>
      <c r="N2335" t="s">
        <v>207</v>
      </c>
      <c r="O2335">
        <f t="shared" si="108"/>
        <v>49.993679999999998</v>
      </c>
      <c r="P2335">
        <f t="shared" si="109"/>
        <v>5.9468750000046811E-3</v>
      </c>
      <c r="Q2335">
        <f t="shared" si="110"/>
        <v>5.9468750000046811E-3</v>
      </c>
      <c r="Y2335">
        <f>TREND(H2333:H2337,G2333:G2337,G2335)</f>
        <v>49.998437500000001</v>
      </c>
      <c r="Z2335">
        <f>ABS((Y2335-H2335)/80*100)</f>
        <v>0</v>
      </c>
      <c r="AD2335">
        <f>ABS(P2333-P2339)</f>
        <v>1.2449999999994077E-2</v>
      </c>
      <c r="AE2335">
        <f>ABS(P2362-P2334)</f>
        <v>2.5499999999958334E-3</v>
      </c>
      <c r="AH2335">
        <f>H2335-AG2333</f>
        <v>49.993679999999998</v>
      </c>
      <c r="AI2335">
        <f>100*(AH2335-O2335)/80</f>
        <v>0</v>
      </c>
    </row>
    <row r="2336" spans="1:41" x14ac:dyDescent="0.35">
      <c r="A2336" t="s">
        <v>302</v>
      </c>
      <c r="B2336" t="s">
        <v>231</v>
      </c>
      <c r="C2336" t="s">
        <v>415</v>
      </c>
      <c r="D2336">
        <v>25</v>
      </c>
      <c r="E2336">
        <v>25</v>
      </c>
      <c r="F2336">
        <v>0.5</v>
      </c>
      <c r="G2336">
        <v>0.49995099999999998</v>
      </c>
      <c r="H2336">
        <v>49.998437500000001</v>
      </c>
      <c r="J2336">
        <v>-1</v>
      </c>
      <c r="N2336" t="s">
        <v>207</v>
      </c>
      <c r="O2336">
        <f t="shared" si="108"/>
        <v>69.998040000000003</v>
      </c>
      <c r="P2336">
        <f t="shared" si="109"/>
        <v>-24.999503125</v>
      </c>
      <c r="Q2336">
        <f t="shared" si="110"/>
        <v>24.999503125</v>
      </c>
      <c r="Y2336">
        <f>TREND(H2333:H2337,G2333:G2337,G2336)</f>
        <v>49.998437500000001</v>
      </c>
      <c r="Z2336">
        <f>ABS((Y2336-H2336)/80*100)</f>
        <v>0</v>
      </c>
      <c r="AE2336">
        <f>ABS(P2363-P2335)</f>
        <v>2.5999999999992696E-3</v>
      </c>
      <c r="AH2336">
        <f>H2336-AG2333</f>
        <v>49.993679999999998</v>
      </c>
      <c r="AI2336">
        <f>100*(AH2336-O2336)/80</f>
        <v>-25.005450000000007</v>
      </c>
    </row>
    <row r="2337" spans="1:41" x14ac:dyDescent="0.35">
      <c r="A2337" t="s">
        <v>302</v>
      </c>
      <c r="B2337" t="s">
        <v>231</v>
      </c>
      <c r="C2337" t="s">
        <v>452</v>
      </c>
      <c r="D2337">
        <v>25</v>
      </c>
      <c r="E2337">
        <v>25</v>
      </c>
      <c r="F2337">
        <v>1</v>
      </c>
      <c r="G2337">
        <v>0.99985500000000005</v>
      </c>
      <c r="H2337">
        <v>49.998437500000001</v>
      </c>
      <c r="J2337">
        <v>-1</v>
      </c>
      <c r="N2337" t="s">
        <v>207</v>
      </c>
      <c r="O2337">
        <f t="shared" si="108"/>
        <v>89.994200000000006</v>
      </c>
      <c r="P2337">
        <f t="shared" si="109"/>
        <v>-49.994703125000008</v>
      </c>
      <c r="Q2337">
        <f t="shared" si="110"/>
        <v>49.994703125000008</v>
      </c>
      <c r="Y2337">
        <f>TREND(H2333:H2337,G2333:G2337,G2337)</f>
        <v>49.998437500000001</v>
      </c>
      <c r="Z2337">
        <f>ABS((Y2337-H2337)/80*100)</f>
        <v>0</v>
      </c>
      <c r="AE2337">
        <f>ABS(P2364-P2336)</f>
        <v>5.000000000002558E-3</v>
      </c>
      <c r="AH2337">
        <f>H2337-AG2333</f>
        <v>49.993679999999998</v>
      </c>
      <c r="AI2337">
        <f>100*(AH2337-O2337)/80</f>
        <v>-50.000650000000014</v>
      </c>
    </row>
    <row r="2338" spans="1:41" x14ac:dyDescent="0.35">
      <c r="A2338" t="s">
        <v>302</v>
      </c>
      <c r="B2338" t="s">
        <v>231</v>
      </c>
      <c r="C2338" t="s">
        <v>489</v>
      </c>
      <c r="D2338">
        <v>25</v>
      </c>
      <c r="E2338">
        <v>25</v>
      </c>
      <c r="F2338">
        <v>0</v>
      </c>
      <c r="G2338">
        <v>-7.4999999999999993E-5</v>
      </c>
      <c r="H2338">
        <v>49.998437500000001</v>
      </c>
      <c r="J2338">
        <v>-1</v>
      </c>
      <c r="N2338" t="s">
        <v>207</v>
      </c>
      <c r="O2338">
        <f t="shared" si="108"/>
        <v>49.997</v>
      </c>
      <c r="P2338">
        <f t="shared" si="109"/>
        <v>1.7968750000019185E-3</v>
      </c>
      <c r="Q2338">
        <f t="shared" si="110"/>
        <v>1.7968750000019185E-3</v>
      </c>
      <c r="Y2338">
        <f>TREND(H2333:H2337,G2333:G2337,G2338)</f>
        <v>49.998437500000001</v>
      </c>
      <c r="Z2338">
        <f>ABS((Y2338-H2338)/80*100)</f>
        <v>0</v>
      </c>
      <c r="AE2338">
        <f>ABS(P2365-P2337)</f>
        <v>8.0000000000168825E-3</v>
      </c>
      <c r="AH2338">
        <f>H2338-AG2333</f>
        <v>49.993679999999998</v>
      </c>
      <c r="AI2338">
        <f>100*(AH2338-O2338)/80</f>
        <v>-4.1500000000027626E-3</v>
      </c>
    </row>
    <row r="2339" spans="1:41" x14ac:dyDescent="0.35">
      <c r="A2339" t="s">
        <v>302</v>
      </c>
      <c r="B2339" t="s">
        <v>231</v>
      </c>
      <c r="C2339" t="s">
        <v>526</v>
      </c>
      <c r="D2339">
        <v>25</v>
      </c>
      <c r="E2339">
        <v>25</v>
      </c>
      <c r="F2339">
        <v>-1</v>
      </c>
      <c r="G2339">
        <v>-1.000211</v>
      </c>
      <c r="H2339">
        <v>49.998437500000001</v>
      </c>
      <c r="J2339">
        <v>-1</v>
      </c>
      <c r="N2339" t="s">
        <v>207</v>
      </c>
      <c r="O2339">
        <f t="shared" si="108"/>
        <v>9.9915600000000016</v>
      </c>
      <c r="P2339">
        <f t="shared" si="109"/>
        <v>50.008596875000002</v>
      </c>
      <c r="Q2339">
        <f t="shared" si="110"/>
        <v>50.008596875000002</v>
      </c>
      <c r="Y2339">
        <f>TREND(H2333:H2337,G2333:G2337,G2339)</f>
        <v>49.998437500000001</v>
      </c>
      <c r="Z2339">
        <f>ABS((Y2339-H2339)/80*100)</f>
        <v>0</v>
      </c>
      <c r="AE2339">
        <f>ABS(P2366-P2338)</f>
        <v>4.8499999999940258E-3</v>
      </c>
      <c r="AH2339">
        <f>H2339-AG2333</f>
        <v>49.993679999999998</v>
      </c>
      <c r="AI2339">
        <f>100*(AH2339-O2339)/80</f>
        <v>50.002650000000003</v>
      </c>
    </row>
    <row r="2340" spans="1:41" x14ac:dyDescent="0.35">
      <c r="A2340" t="s">
        <v>302</v>
      </c>
      <c r="B2340" t="s">
        <v>231</v>
      </c>
      <c r="C2340" t="s">
        <v>563</v>
      </c>
      <c r="D2340">
        <v>-20</v>
      </c>
      <c r="E2340">
        <v>-20.100000000000001</v>
      </c>
      <c r="F2340">
        <v>-1</v>
      </c>
      <c r="G2340">
        <v>-1.0000800000000001</v>
      </c>
      <c r="H2340">
        <v>49.998437500000001</v>
      </c>
      <c r="J2340">
        <v>-1</v>
      </c>
      <c r="N2340" t="s">
        <v>207</v>
      </c>
      <c r="O2340">
        <f t="shared" si="108"/>
        <v>9.9967999999999968</v>
      </c>
      <c r="P2340">
        <f t="shared" si="109"/>
        <v>50.002046875000005</v>
      </c>
      <c r="Q2340">
        <f t="shared" si="110"/>
        <v>50.002046875000005</v>
      </c>
      <c r="S2340">
        <v>49.998437500000001</v>
      </c>
      <c r="T2340">
        <v>2.9646874999995632E-2</v>
      </c>
      <c r="U2340">
        <v>49.998437500000001</v>
      </c>
      <c r="V2340">
        <v>-49.995703124999991</v>
      </c>
      <c r="W2340">
        <v>-1.5258789076710855E-6</v>
      </c>
      <c r="X2340">
        <f>(W2340-80)/80*100</f>
        <v>-100.00000190734863</v>
      </c>
      <c r="Y2340">
        <f>TREND(H2340:H2344,G2340:G2344,G2340)</f>
        <v>49.998437500000001</v>
      </c>
      <c r="Z2340">
        <f>ABS((Y2340-H2340)/80*100)</f>
        <v>0</v>
      </c>
      <c r="AA2340">
        <f>MAX(Z2340:Z2344)</f>
        <v>0</v>
      </c>
      <c r="AB2340">
        <f>IF(ABS(MAX(P2340:P2346)) &gt; ABS(MIN(P2340:P2346)),MAX(P2340:P2346), MIN(P2340:P2346))</f>
        <v>50.002046875000005</v>
      </c>
      <c r="AC2340">
        <f>IF(ABS(AB2341)&gt;ABS(AB2340),AB2341,AB2340)</f>
        <v>50.002046875000005</v>
      </c>
      <c r="AE2340">
        <f>ABS(P2367-P2339)</f>
        <v>1.2600000000006162E-2</v>
      </c>
      <c r="AH2340">
        <f>H2340-AG2333</f>
        <v>49.993679999999998</v>
      </c>
      <c r="AI2340">
        <f>100*(AH2340-O2340)/80</f>
        <v>49.996100000000006</v>
      </c>
      <c r="AJ2340">
        <v>49.993679999999998</v>
      </c>
      <c r="AK2340">
        <v>2.3699999999990951E-2</v>
      </c>
      <c r="AL2340">
        <v>49.993679999999998</v>
      </c>
      <c r="AM2340">
        <v>-50.001649999999991</v>
      </c>
      <c r="AN2340">
        <f>IF(ABS(MAX(AI2340:AI2346)) &gt; ABS(MIN(AI2340:AI2346)),MAX(AI2340:AI2346), MIN(AI2340:AI2346))</f>
        <v>-50.001649999999991</v>
      </c>
      <c r="AO2340">
        <f>IF(ABS(AN2341)&gt;ABS(AN2340),AN2341,AN2340)</f>
        <v>-50.001649999999991</v>
      </c>
    </row>
    <row r="2341" spans="1:41" x14ac:dyDescent="0.35">
      <c r="A2341" t="s">
        <v>302</v>
      </c>
      <c r="B2341" t="s">
        <v>231</v>
      </c>
      <c r="C2341" t="s">
        <v>600</v>
      </c>
      <c r="D2341">
        <v>-20</v>
      </c>
      <c r="E2341">
        <v>-19.899999999999999</v>
      </c>
      <c r="F2341">
        <v>-0.5</v>
      </c>
      <c r="G2341">
        <v>-0.50002899999999995</v>
      </c>
      <c r="H2341">
        <v>49.998437500000001</v>
      </c>
      <c r="J2341">
        <v>-1</v>
      </c>
      <c r="N2341" t="s">
        <v>207</v>
      </c>
      <c r="O2341">
        <f t="shared" si="108"/>
        <v>29.998840000000001</v>
      </c>
      <c r="P2341">
        <f t="shared" si="109"/>
        <v>24.999496874999998</v>
      </c>
      <c r="Q2341">
        <f t="shared" si="110"/>
        <v>24.999496874999998</v>
      </c>
      <c r="Y2341">
        <f>TREND(H2340:H2344,G2340:G2344,G2341)</f>
        <v>49.998437500000001</v>
      </c>
      <c r="Z2341">
        <f>ABS((Y2341-H2341)/80*100)</f>
        <v>0</v>
      </c>
      <c r="AB2341">
        <f>IF(ABS(T2340) &gt; ABS(V2340),T2340,V2340)</f>
        <v>-49.995703124999991</v>
      </c>
      <c r="AE2341">
        <f>ABS(P2389-P2333)</f>
        <v>9.9999999999980105E-3</v>
      </c>
      <c r="AH2341">
        <f>H2341-AG2333</f>
        <v>49.993679999999998</v>
      </c>
      <c r="AI2341">
        <f>100*(AH2341-O2341)/80</f>
        <v>24.993549999999995</v>
      </c>
      <c r="AN2341">
        <f>IF(ABS(AK2340) &gt; ABS(AM2340),AK2340,AM2340)</f>
        <v>-50.001649999999991</v>
      </c>
    </row>
    <row r="2342" spans="1:41" x14ac:dyDescent="0.35">
      <c r="A2342" t="s">
        <v>302</v>
      </c>
      <c r="B2342" t="s">
        <v>231</v>
      </c>
      <c r="C2342" t="s">
        <v>636</v>
      </c>
      <c r="D2342">
        <v>-20</v>
      </c>
      <c r="E2342">
        <v>-20</v>
      </c>
      <c r="F2342">
        <v>0</v>
      </c>
      <c r="G2342">
        <v>-6.3199999999999997E-4</v>
      </c>
      <c r="H2342">
        <v>49.998437500000001</v>
      </c>
      <c r="J2342">
        <v>-1</v>
      </c>
      <c r="N2342" t="s">
        <v>207</v>
      </c>
      <c r="O2342">
        <f t="shared" si="108"/>
        <v>49.974720000000005</v>
      </c>
      <c r="P2342">
        <f t="shared" si="109"/>
        <v>2.9646874999995632E-2</v>
      </c>
      <c r="Q2342">
        <f t="shared" si="110"/>
        <v>2.9646874999995632E-2</v>
      </c>
      <c r="Y2342">
        <f>TREND(H2340:H2344,G2340:G2344,G2342)</f>
        <v>49.998437500000001</v>
      </c>
      <c r="Z2342">
        <f>ABS((Y2342-H2342)/80*100)</f>
        <v>0</v>
      </c>
      <c r="AE2342">
        <f>ABS(P2390-P2334)</f>
        <v>2.0299999999991769E-2</v>
      </c>
      <c r="AH2342">
        <f>H2342-AG2333</f>
        <v>49.993679999999998</v>
      </c>
      <c r="AI2342">
        <f>100*(AH2342-O2342)/80</f>
        <v>2.3699999999990951E-2</v>
      </c>
    </row>
    <row r="2343" spans="1:41" x14ac:dyDescent="0.35">
      <c r="A2343" t="s">
        <v>302</v>
      </c>
      <c r="B2343" t="s">
        <v>231</v>
      </c>
      <c r="C2343" t="s">
        <v>672</v>
      </c>
      <c r="D2343">
        <v>-20</v>
      </c>
      <c r="E2343">
        <v>-20</v>
      </c>
      <c r="F2343">
        <v>0.5</v>
      </c>
      <c r="G2343">
        <v>0.50000199999999995</v>
      </c>
      <c r="H2343">
        <v>49.998437500000001</v>
      </c>
      <c r="J2343">
        <v>-1</v>
      </c>
      <c r="N2343" t="s">
        <v>207</v>
      </c>
      <c r="O2343">
        <f t="shared" si="108"/>
        <v>70.000079999999997</v>
      </c>
      <c r="P2343">
        <f t="shared" si="109"/>
        <v>-25.002053124999996</v>
      </c>
      <c r="Q2343">
        <f t="shared" si="110"/>
        <v>25.002053124999996</v>
      </c>
      <c r="Y2343">
        <f>TREND(H2340:H2344,G2340:G2344,G2343)</f>
        <v>49.998437500000001</v>
      </c>
      <c r="Z2343">
        <f>ABS((Y2343-H2343)/80*100)</f>
        <v>0</v>
      </c>
      <c r="AE2343">
        <f>ABS(P2391-P2335)</f>
        <v>3.2500000000013074E-3</v>
      </c>
      <c r="AH2343">
        <f>H2343-AG2333</f>
        <v>49.993679999999998</v>
      </c>
      <c r="AI2343">
        <f>100*(AH2343-O2343)/80</f>
        <v>-25.007999999999999</v>
      </c>
    </row>
    <row r="2344" spans="1:41" x14ac:dyDescent="0.35">
      <c r="A2344" t="s">
        <v>302</v>
      </c>
      <c r="B2344" t="s">
        <v>231</v>
      </c>
      <c r="C2344" t="s">
        <v>709</v>
      </c>
      <c r="D2344">
        <v>-20</v>
      </c>
      <c r="E2344">
        <v>-20</v>
      </c>
      <c r="F2344">
        <v>1</v>
      </c>
      <c r="G2344">
        <v>0.99987499999999996</v>
      </c>
      <c r="H2344">
        <v>49.998437500000001</v>
      </c>
      <c r="J2344">
        <v>-1</v>
      </c>
      <c r="N2344" t="s">
        <v>207</v>
      </c>
      <c r="O2344">
        <f t="shared" si="108"/>
        <v>89.99499999999999</v>
      </c>
      <c r="P2344">
        <f t="shared" si="109"/>
        <v>-49.995703124999991</v>
      </c>
      <c r="Q2344">
        <f t="shared" si="110"/>
        <v>49.995703124999991</v>
      </c>
      <c r="Y2344">
        <f>TREND(H2340:H2344,G2340:G2344,G2344)</f>
        <v>49.998437500000001</v>
      </c>
      <c r="Z2344">
        <f>ABS((Y2344-H2344)/80*100)</f>
        <v>0</v>
      </c>
      <c r="AE2344">
        <f>ABS(P2392-P2336)</f>
        <v>2.049999999993446E-3</v>
      </c>
      <c r="AH2344">
        <f>H2344-AG2333</f>
        <v>49.993679999999998</v>
      </c>
      <c r="AI2344">
        <f>100*(AH2344-O2344)/80</f>
        <v>-50.001649999999991</v>
      </c>
    </row>
    <row r="2345" spans="1:41" x14ac:dyDescent="0.35">
      <c r="A2345" t="s">
        <v>302</v>
      </c>
      <c r="B2345" t="s">
        <v>231</v>
      </c>
      <c r="C2345" t="s">
        <v>745</v>
      </c>
      <c r="D2345">
        <v>-20</v>
      </c>
      <c r="E2345">
        <v>-20</v>
      </c>
      <c r="F2345">
        <v>0</v>
      </c>
      <c r="G2345">
        <v>1E-4</v>
      </c>
      <c r="H2345">
        <v>49.998437500000001</v>
      </c>
      <c r="J2345">
        <v>-1</v>
      </c>
      <c r="N2345" t="s">
        <v>207</v>
      </c>
      <c r="O2345">
        <f t="shared" si="108"/>
        <v>50.003999999999998</v>
      </c>
      <c r="P2345">
        <f t="shared" si="109"/>
        <v>-6.9531249999954525E-3</v>
      </c>
      <c r="Q2345">
        <f t="shared" si="110"/>
        <v>6.9531249999954525E-3</v>
      </c>
      <c r="Y2345">
        <f>TREND(H2340:H2344,G2340:G2344,G2345)</f>
        <v>49.998437500000001</v>
      </c>
      <c r="Z2345">
        <f>ABS((Y2345-H2345)/80*100)</f>
        <v>0</v>
      </c>
      <c r="AE2345">
        <f>ABS(P2393-P2337)</f>
        <v>1.1150000000000659E-2</v>
      </c>
      <c r="AH2345">
        <f>H2345-AG2333</f>
        <v>49.993679999999998</v>
      </c>
      <c r="AI2345">
        <f>100*(AH2345-O2345)/80</f>
        <v>-1.2900000000000134E-2</v>
      </c>
    </row>
    <row r="2346" spans="1:41" x14ac:dyDescent="0.35">
      <c r="A2346" t="s">
        <v>302</v>
      </c>
      <c r="B2346" t="s">
        <v>231</v>
      </c>
      <c r="C2346" t="s">
        <v>781</v>
      </c>
      <c r="D2346">
        <v>-20</v>
      </c>
      <c r="E2346">
        <v>-20.100000000000001</v>
      </c>
      <c r="F2346">
        <v>-1</v>
      </c>
      <c r="G2346">
        <v>-1.0000690000000001</v>
      </c>
      <c r="H2346">
        <v>49.998437500000001</v>
      </c>
      <c r="J2346">
        <v>-1</v>
      </c>
      <c r="N2346" t="s">
        <v>207</v>
      </c>
      <c r="O2346">
        <f t="shared" si="108"/>
        <v>9.9972399999999961</v>
      </c>
      <c r="P2346">
        <f t="shared" si="109"/>
        <v>50.001496875000001</v>
      </c>
      <c r="Q2346">
        <f t="shared" si="110"/>
        <v>50.001496875000001</v>
      </c>
      <c r="Y2346">
        <f>TREND(H2340:H2344,G2340:G2344,G2346)</f>
        <v>49.998437500000001</v>
      </c>
      <c r="Z2346">
        <f>ABS((Y2346-H2346)/80*100)</f>
        <v>0</v>
      </c>
      <c r="AE2346">
        <f>ABS(P2394-P2338)</f>
        <v>1.6499999999997073E-3</v>
      </c>
      <c r="AH2346">
        <f>H2346-AG2333</f>
        <v>49.993679999999998</v>
      </c>
      <c r="AI2346">
        <f>100*(AH2346-O2346)/80</f>
        <v>49.995549999999994</v>
      </c>
    </row>
    <row r="2347" spans="1:41" x14ac:dyDescent="0.35">
      <c r="A2347" t="s">
        <v>302</v>
      </c>
      <c r="B2347" t="s">
        <v>231</v>
      </c>
      <c r="C2347" t="s">
        <v>818</v>
      </c>
      <c r="D2347">
        <v>0</v>
      </c>
      <c r="E2347">
        <v>-0.3</v>
      </c>
      <c r="F2347">
        <v>-1</v>
      </c>
      <c r="G2347">
        <v>-0.99965899999999996</v>
      </c>
      <c r="H2347">
        <v>49.998437500000001</v>
      </c>
      <c r="J2347">
        <v>-1</v>
      </c>
      <c r="N2347" t="s">
        <v>207</v>
      </c>
      <c r="O2347">
        <f t="shared" si="108"/>
        <v>10.013640000000002</v>
      </c>
      <c r="P2347">
        <f t="shared" si="109"/>
        <v>49.980996875000002</v>
      </c>
      <c r="Q2347">
        <f t="shared" si="110"/>
        <v>49.980996875000002</v>
      </c>
      <c r="S2347">
        <v>49.998437500000001</v>
      </c>
      <c r="T2347">
        <v>1.5496875000007293E-2</v>
      </c>
      <c r="U2347">
        <v>49.998437500000001</v>
      </c>
      <c r="V2347">
        <v>-49.988753125000002</v>
      </c>
      <c r="W2347">
        <v>-1.5258789076710855E-6</v>
      </c>
      <c r="X2347">
        <f>(W2347-80)/80*100</f>
        <v>-100.00000190734863</v>
      </c>
      <c r="Y2347">
        <f>TREND(H2347:H2351,G2347:G2351,G2347)</f>
        <v>49.998437500000001</v>
      </c>
      <c r="Z2347">
        <f>ABS((Y2347-H2347)/80*100)</f>
        <v>0</v>
      </c>
      <c r="AA2347">
        <f>MAX(Z2347:Z2351)</f>
        <v>0</v>
      </c>
      <c r="AB2347">
        <f>IF(ABS(MAX(P2347:P2353)) &gt; ABS(MIN(P2347:P2353)),MAX(P2347:P2353), MIN(P2347:P2353))</f>
        <v>-49.988753125000002</v>
      </c>
      <c r="AC2347">
        <f>IF(ABS(AB2348)&gt;ABS(AB2347),AB2348,AB2347)</f>
        <v>-49.988753125000002</v>
      </c>
      <c r="AE2347">
        <f>ABS(P2395-P2339)</f>
        <v>1.6350000000002751E-2</v>
      </c>
      <c r="AH2347">
        <f>H2347-AG2333</f>
        <v>49.993679999999998</v>
      </c>
      <c r="AI2347">
        <f>100*(AH2347-O2347)/80</f>
        <v>49.975049999999996</v>
      </c>
      <c r="AJ2347">
        <v>49.993679999999998</v>
      </c>
      <c r="AK2347">
        <v>9.550000000002612E-3</v>
      </c>
      <c r="AL2347">
        <v>49.993679999999998</v>
      </c>
      <c r="AM2347">
        <v>-49.994700000000009</v>
      </c>
      <c r="AN2347">
        <f>IF(ABS(MAX(AI2347:AI2353)) &gt; ABS(MIN(AI2347:AI2353)),MAX(AI2347:AI2353), MIN(AI2347:AI2353))</f>
        <v>-49.994700000000009</v>
      </c>
      <c r="AO2347">
        <f>IF(ABS(AN2348)&gt;ABS(AN2347),AN2348,AN2347)</f>
        <v>-49.994700000000009</v>
      </c>
    </row>
    <row r="2348" spans="1:41" x14ac:dyDescent="0.35">
      <c r="A2348" t="s">
        <v>302</v>
      </c>
      <c r="B2348" t="s">
        <v>231</v>
      </c>
      <c r="C2348" t="s">
        <v>855</v>
      </c>
      <c r="D2348">
        <v>0</v>
      </c>
      <c r="E2348">
        <v>0.1</v>
      </c>
      <c r="F2348">
        <v>-0.5</v>
      </c>
      <c r="G2348">
        <v>-0.49995200000000001</v>
      </c>
      <c r="H2348">
        <v>49.998437500000001</v>
      </c>
      <c r="J2348">
        <v>-1</v>
      </c>
      <c r="N2348" t="s">
        <v>207</v>
      </c>
      <c r="O2348">
        <f t="shared" si="108"/>
        <v>30.001920000000002</v>
      </c>
      <c r="P2348">
        <f t="shared" si="109"/>
        <v>24.995646874999998</v>
      </c>
      <c r="Q2348">
        <f t="shared" si="110"/>
        <v>24.995646874999998</v>
      </c>
      <c r="Y2348">
        <f>TREND(H2347:H2351,G2347:G2351,G2348)</f>
        <v>49.998437500000001</v>
      </c>
      <c r="Z2348">
        <f>ABS((Y2348-H2348)/80*100)</f>
        <v>0</v>
      </c>
      <c r="AB2348">
        <f>IF(ABS(T2347) &gt; ABS(V2347),T2347,V2347)</f>
        <v>-49.988753125000002</v>
      </c>
      <c r="AE2348">
        <f>ABS(P2389-P2361)</f>
        <v>1.2800000000005696E-2</v>
      </c>
      <c r="AH2348">
        <f>H2348-AG2333</f>
        <v>49.993679999999998</v>
      </c>
      <c r="AI2348">
        <f>100*(AH2348-O2348)/80</f>
        <v>24.989699999999992</v>
      </c>
      <c r="AN2348">
        <f>IF(ABS(AK2347) &gt; ABS(AM2347),AK2347,AM2347)</f>
        <v>-49.994700000000009</v>
      </c>
    </row>
    <row r="2349" spans="1:41" x14ac:dyDescent="0.35">
      <c r="A2349" t="s">
        <v>302</v>
      </c>
      <c r="B2349" t="s">
        <v>231</v>
      </c>
      <c r="C2349" t="s">
        <v>890</v>
      </c>
      <c r="D2349">
        <v>0</v>
      </c>
      <c r="E2349">
        <v>-0.1</v>
      </c>
      <c r="F2349">
        <v>0</v>
      </c>
      <c r="G2349">
        <v>-3.4900000000000003E-4</v>
      </c>
      <c r="H2349">
        <v>49.998437500000001</v>
      </c>
      <c r="J2349">
        <v>-1</v>
      </c>
      <c r="N2349" t="s">
        <v>207</v>
      </c>
      <c r="O2349">
        <f t="shared" si="108"/>
        <v>49.986039999999996</v>
      </c>
      <c r="P2349">
        <f t="shared" si="109"/>
        <v>1.5496875000007293E-2</v>
      </c>
      <c r="Q2349">
        <f t="shared" si="110"/>
        <v>1.5496875000007293E-2</v>
      </c>
      <c r="Y2349">
        <f>TREND(H2347:H2351,G2347:G2351,G2349)</f>
        <v>49.998437500000001</v>
      </c>
      <c r="Z2349">
        <f>ABS((Y2349-H2349)/80*100)</f>
        <v>0</v>
      </c>
      <c r="AE2349">
        <f>ABS(P2390-P2362)</f>
        <v>1.7749999999995936E-2</v>
      </c>
      <c r="AH2349">
        <f>H2349-AG2333</f>
        <v>49.993679999999998</v>
      </c>
      <c r="AI2349">
        <f>100*(AH2349-O2349)/80</f>
        <v>9.550000000002612E-3</v>
      </c>
    </row>
    <row r="2350" spans="1:41" x14ac:dyDescent="0.35">
      <c r="A2350" t="s">
        <v>302</v>
      </c>
      <c r="B2350" t="s">
        <v>231</v>
      </c>
      <c r="C2350" t="s">
        <v>927</v>
      </c>
      <c r="D2350">
        <v>0</v>
      </c>
      <c r="E2350">
        <v>0</v>
      </c>
      <c r="F2350">
        <v>0.5</v>
      </c>
      <c r="G2350">
        <v>0.50024999999999997</v>
      </c>
      <c r="H2350">
        <v>49.998437500000001</v>
      </c>
      <c r="J2350">
        <v>-1</v>
      </c>
      <c r="N2350" t="s">
        <v>207</v>
      </c>
      <c r="O2350">
        <f t="shared" si="108"/>
        <v>70.009999999999991</v>
      </c>
      <c r="P2350">
        <f t="shared" si="109"/>
        <v>-25.014453124999985</v>
      </c>
      <c r="Q2350">
        <f t="shared" si="110"/>
        <v>25.014453124999985</v>
      </c>
      <c r="Y2350">
        <f>TREND(H2347:H2351,G2347:G2351,G2350)</f>
        <v>49.998437500000001</v>
      </c>
      <c r="Z2350">
        <f>ABS((Y2350-H2350)/80*100)</f>
        <v>0</v>
      </c>
      <c r="AE2350">
        <f>ABS(P2391-P2363)</f>
        <v>6.5000000000203784E-4</v>
      </c>
      <c r="AH2350">
        <f>H2350-AG2333</f>
        <v>49.993679999999998</v>
      </c>
      <c r="AI2350">
        <f>100*(AH2350-O2350)/80</f>
        <v>-25.020399999999992</v>
      </c>
    </row>
    <row r="2351" spans="1:41" x14ac:dyDescent="0.35">
      <c r="A2351" t="s">
        <v>302</v>
      </c>
      <c r="B2351" t="s">
        <v>231</v>
      </c>
      <c r="C2351" t="s">
        <v>964</v>
      </c>
      <c r="D2351">
        <v>0</v>
      </c>
      <c r="E2351">
        <v>0.1</v>
      </c>
      <c r="F2351">
        <v>1</v>
      </c>
      <c r="G2351">
        <v>0.99973599999999996</v>
      </c>
      <c r="H2351">
        <v>49.998437500000001</v>
      </c>
      <c r="J2351">
        <v>-1</v>
      </c>
      <c r="N2351" t="s">
        <v>207</v>
      </c>
      <c r="O2351">
        <f t="shared" si="108"/>
        <v>89.989440000000002</v>
      </c>
      <c r="P2351">
        <f t="shared" si="109"/>
        <v>-49.988753125000002</v>
      </c>
      <c r="Q2351">
        <f t="shared" si="110"/>
        <v>49.988753125000002</v>
      </c>
      <c r="Y2351">
        <f>TREND(H2347:H2351,G2347:G2351,G2351)</f>
        <v>49.998437500000001</v>
      </c>
      <c r="Z2351">
        <f>ABS((Y2351-H2351)/80*100)</f>
        <v>0</v>
      </c>
      <c r="AE2351">
        <f>ABS(P2392-P2364)</f>
        <v>7.0499999999960039E-3</v>
      </c>
      <c r="AH2351">
        <f>H2351-AG2333</f>
        <v>49.993679999999998</v>
      </c>
      <c r="AI2351">
        <f>100*(AH2351-O2351)/80</f>
        <v>-49.994700000000009</v>
      </c>
    </row>
    <row r="2352" spans="1:41" x14ac:dyDescent="0.35">
      <c r="A2352" t="s">
        <v>302</v>
      </c>
      <c r="B2352" t="s">
        <v>231</v>
      </c>
      <c r="C2352" t="s">
        <v>1000</v>
      </c>
      <c r="D2352">
        <v>0</v>
      </c>
      <c r="E2352">
        <v>0</v>
      </c>
      <c r="F2352">
        <v>0</v>
      </c>
      <c r="G2352">
        <v>-1.8200000000000001E-4</v>
      </c>
      <c r="H2352">
        <v>49.998437500000001</v>
      </c>
      <c r="J2352">
        <v>-1</v>
      </c>
      <c r="N2352" t="s">
        <v>207</v>
      </c>
      <c r="O2352">
        <f t="shared" si="108"/>
        <v>49.992719999999998</v>
      </c>
      <c r="P2352">
        <f t="shared" si="109"/>
        <v>7.1468750000036607E-3</v>
      </c>
      <c r="Q2352">
        <f t="shared" si="110"/>
        <v>7.1468750000036607E-3</v>
      </c>
      <c r="Y2352">
        <f>TREND(H2347:H2351,G2347:G2351,G2352)</f>
        <v>49.998437500000001</v>
      </c>
      <c r="Z2352">
        <f>ABS((Y2352-H2352)/80*100)</f>
        <v>0</v>
      </c>
      <c r="AE2352">
        <f>ABS(P2393-P2365)</f>
        <v>3.1499999999837769E-3</v>
      </c>
      <c r="AH2352">
        <f>H2352-AG2333</f>
        <v>49.993679999999998</v>
      </c>
      <c r="AI2352">
        <f>100*(AH2352-O2352)/80</f>
        <v>1.1999999999989797E-3</v>
      </c>
    </row>
    <row r="2353" spans="1:41" x14ac:dyDescent="0.35">
      <c r="A2353" t="s">
        <v>302</v>
      </c>
      <c r="B2353" t="s">
        <v>231</v>
      </c>
      <c r="C2353" t="s">
        <v>1036</v>
      </c>
      <c r="D2353">
        <v>0</v>
      </c>
      <c r="E2353">
        <v>-0.1</v>
      </c>
      <c r="F2353">
        <v>-1</v>
      </c>
      <c r="G2353">
        <v>-0.99980199999999997</v>
      </c>
      <c r="H2353">
        <v>49.998437500000001</v>
      </c>
      <c r="J2353">
        <v>-1</v>
      </c>
      <c r="N2353" t="s">
        <v>207</v>
      </c>
      <c r="O2353">
        <f t="shared" si="108"/>
        <v>10.007920000000002</v>
      </c>
      <c r="P2353">
        <f t="shared" si="109"/>
        <v>49.988146874999998</v>
      </c>
      <c r="Q2353">
        <f t="shared" si="110"/>
        <v>49.988146874999998</v>
      </c>
      <c r="Y2353">
        <f>TREND(H2347:H2351,G2347:G2351,G2353)</f>
        <v>49.998437500000001</v>
      </c>
      <c r="Z2353">
        <f>ABS((Y2353-H2353)/80*100)</f>
        <v>0</v>
      </c>
      <c r="AE2353">
        <f>ABS(P2394-P2366)</f>
        <v>6.499999999993733E-3</v>
      </c>
      <c r="AH2353">
        <f>H2353-AG2333</f>
        <v>49.993679999999998</v>
      </c>
      <c r="AI2353">
        <f>100*(AH2353-O2353)/80</f>
        <v>49.982199999999999</v>
      </c>
    </row>
    <row r="2354" spans="1:41" x14ac:dyDescent="0.35">
      <c r="A2354" t="s">
        <v>302</v>
      </c>
      <c r="B2354" t="s">
        <v>231</v>
      </c>
      <c r="C2354" t="s">
        <v>1072</v>
      </c>
      <c r="D2354">
        <v>10</v>
      </c>
      <c r="E2354">
        <v>10</v>
      </c>
      <c r="F2354">
        <v>-1</v>
      </c>
      <c r="G2354">
        <v>-1.000076</v>
      </c>
      <c r="H2354">
        <v>49.998437500000001</v>
      </c>
      <c r="J2354">
        <v>-1</v>
      </c>
      <c r="N2354" t="s">
        <v>207</v>
      </c>
      <c r="O2354">
        <f t="shared" si="108"/>
        <v>9.9969600000000014</v>
      </c>
      <c r="P2354">
        <f t="shared" si="109"/>
        <v>50.001846874999998</v>
      </c>
      <c r="Q2354">
        <f t="shared" si="110"/>
        <v>50.001846874999998</v>
      </c>
      <c r="S2354">
        <v>49.998437500000001</v>
      </c>
      <c r="T2354">
        <v>-2.5531249999932726E-3</v>
      </c>
      <c r="U2354">
        <v>49.998437500000001</v>
      </c>
      <c r="V2354">
        <v>-49.97255312499999</v>
      </c>
      <c r="W2354">
        <v>-1.5258789076710855E-6</v>
      </c>
      <c r="X2354">
        <f>(W2354-80)/80*100</f>
        <v>-100.00000190734863</v>
      </c>
      <c r="Y2354">
        <f>TREND(H2354:H2358,G2354:G2358,G2354)</f>
        <v>49.998437500000001</v>
      </c>
      <c r="Z2354">
        <f>ABS((Y2354-H2354)/80*100)</f>
        <v>0</v>
      </c>
      <c r="AA2354">
        <f>MAX(Z2354:Z2358)</f>
        <v>0</v>
      </c>
      <c r="AB2354">
        <f>IF(ABS(MAX(P2354:P2360)) &gt; ABS(MIN(P2354:P2360)),MAX(P2354:P2360), MIN(P2354:P2360))</f>
        <v>50.006046874999996</v>
      </c>
      <c r="AC2354">
        <f>IF(ABS(AB2355)&gt;ABS(AB2354),AB2355,AB2354)</f>
        <v>50.006046874999996</v>
      </c>
      <c r="AE2354">
        <f>ABS(P2395-P2367)</f>
        <v>3.7499999999965894E-3</v>
      </c>
      <c r="AH2354">
        <f>H2354-AG2333</f>
        <v>49.993679999999998</v>
      </c>
      <c r="AI2354">
        <f>100*(AH2354-O2354)/80</f>
        <v>49.995899999999992</v>
      </c>
      <c r="AJ2354">
        <v>49.993679999999998</v>
      </c>
      <c r="AK2354">
        <v>-8.4999999999979536E-3</v>
      </c>
      <c r="AL2354">
        <v>49.993679999999998</v>
      </c>
      <c r="AM2354">
        <v>-49.978499999999997</v>
      </c>
      <c r="AN2354">
        <f>IF(ABS(MAX(AI2354:AI2360)) &gt; ABS(MIN(AI2354:AI2360)),MAX(AI2354:AI2360), MIN(AI2354:AI2360))</f>
        <v>50.000099999999996</v>
      </c>
      <c r="AO2354">
        <f>IF(ABS(AN2355)&gt;ABS(AN2354),AN2355,AN2354)</f>
        <v>50.000099999999996</v>
      </c>
    </row>
    <row r="2355" spans="1:41" x14ac:dyDescent="0.35">
      <c r="A2355" t="s">
        <v>302</v>
      </c>
      <c r="B2355" t="s">
        <v>231</v>
      </c>
      <c r="C2355" t="s">
        <v>1108</v>
      </c>
      <c r="D2355">
        <v>10</v>
      </c>
      <c r="E2355">
        <v>10</v>
      </c>
      <c r="F2355">
        <v>-0.5</v>
      </c>
      <c r="G2355">
        <v>-0.49993900000000002</v>
      </c>
      <c r="H2355">
        <v>49.998437500000001</v>
      </c>
      <c r="J2355">
        <v>-1</v>
      </c>
      <c r="N2355" t="s">
        <v>207</v>
      </c>
      <c r="O2355">
        <f t="shared" si="108"/>
        <v>30.00244</v>
      </c>
      <c r="P2355">
        <f t="shared" si="109"/>
        <v>24.994996875000002</v>
      </c>
      <c r="Q2355">
        <f t="shared" si="110"/>
        <v>24.994996875000002</v>
      </c>
      <c r="Y2355">
        <f>TREND(H2354:H2358,G2354:G2358,G2355)</f>
        <v>49.998437500000001</v>
      </c>
      <c r="Z2355">
        <f>ABS((Y2355-H2355)/80*100)</f>
        <v>0</v>
      </c>
      <c r="AB2355">
        <f>IF(ABS(T2354) &gt; ABS(V2354),T2354,V2354)</f>
        <v>-49.97255312499999</v>
      </c>
      <c r="AH2355">
        <f>H2355-AG2333</f>
        <v>49.993679999999998</v>
      </c>
      <c r="AI2355">
        <f>100*(AH2355-O2355)/80</f>
        <v>24.989049999999999</v>
      </c>
      <c r="AN2355">
        <f>IF(ABS(AK2354) &gt; ABS(AM2354),AK2354,AM2354)</f>
        <v>-49.978499999999997</v>
      </c>
    </row>
    <row r="2356" spans="1:41" x14ac:dyDescent="0.35">
      <c r="A2356" t="s">
        <v>302</v>
      </c>
      <c r="B2356" t="s">
        <v>1111</v>
      </c>
      <c r="C2356" t="s">
        <v>1146</v>
      </c>
      <c r="D2356">
        <v>10</v>
      </c>
      <c r="E2356">
        <v>10</v>
      </c>
      <c r="F2356">
        <v>0</v>
      </c>
      <c r="G2356">
        <v>1.2E-5</v>
      </c>
      <c r="H2356">
        <v>49.998437500000001</v>
      </c>
      <c r="J2356">
        <v>-1</v>
      </c>
      <c r="N2356" t="s">
        <v>207</v>
      </c>
      <c r="O2356">
        <f t="shared" si="108"/>
        <v>50.000479999999996</v>
      </c>
      <c r="P2356">
        <f t="shared" si="109"/>
        <v>-2.5531249999932726E-3</v>
      </c>
      <c r="Q2356">
        <f t="shared" si="110"/>
        <v>2.5531249999932726E-3</v>
      </c>
      <c r="Y2356">
        <f>TREND(H2354:H2358,G2354:G2358,G2356)</f>
        <v>49.998437500000001</v>
      </c>
      <c r="Z2356">
        <f>ABS((Y2356-H2356)/80*100)</f>
        <v>0</v>
      </c>
      <c r="AH2356">
        <f>H2356-AG2333</f>
        <v>49.993679999999998</v>
      </c>
      <c r="AI2356">
        <f>100*(AH2356-O2356)/80</f>
        <v>-8.4999999999979536E-3</v>
      </c>
    </row>
    <row r="2357" spans="1:41" x14ac:dyDescent="0.35">
      <c r="A2357" t="s">
        <v>302</v>
      </c>
      <c r="B2357" t="s">
        <v>1111</v>
      </c>
      <c r="C2357" t="s">
        <v>1183</v>
      </c>
      <c r="D2357">
        <v>10</v>
      </c>
      <c r="E2357">
        <v>10</v>
      </c>
      <c r="F2357">
        <v>0.5</v>
      </c>
      <c r="G2357">
        <v>0.50007299999999999</v>
      </c>
      <c r="H2357">
        <v>49.998437500000001</v>
      </c>
      <c r="J2357">
        <v>-1</v>
      </c>
      <c r="N2357" t="s">
        <v>207</v>
      </c>
      <c r="O2357">
        <f t="shared" si="108"/>
        <v>70.002920000000003</v>
      </c>
      <c r="P2357">
        <f t="shared" si="109"/>
        <v>-25.005603125</v>
      </c>
      <c r="Q2357">
        <f t="shared" si="110"/>
        <v>25.005603125</v>
      </c>
      <c r="Y2357">
        <f>TREND(H2354:H2358,G2354:G2358,G2357)</f>
        <v>49.998437500000001</v>
      </c>
      <c r="Z2357">
        <f>ABS((Y2357-H2357)/80*100)</f>
        <v>0</v>
      </c>
      <c r="AH2357">
        <f>H2357-AG2333</f>
        <v>49.993679999999998</v>
      </c>
      <c r="AI2357">
        <f>100*(AH2357-O2357)/80</f>
        <v>-25.011550000000007</v>
      </c>
    </row>
    <row r="2358" spans="1:41" x14ac:dyDescent="0.35">
      <c r="A2358" t="s">
        <v>302</v>
      </c>
      <c r="B2358" t="s">
        <v>1111</v>
      </c>
      <c r="C2358" t="s">
        <v>1220</v>
      </c>
      <c r="D2358">
        <v>10</v>
      </c>
      <c r="E2358">
        <v>10</v>
      </c>
      <c r="F2358">
        <v>1</v>
      </c>
      <c r="G2358">
        <v>0.99941199999999997</v>
      </c>
      <c r="H2358">
        <v>49.998437500000001</v>
      </c>
      <c r="J2358">
        <v>-1</v>
      </c>
      <c r="N2358" t="s">
        <v>207</v>
      </c>
      <c r="O2358">
        <f t="shared" si="108"/>
        <v>89.976479999999995</v>
      </c>
      <c r="P2358">
        <f t="shared" si="109"/>
        <v>-49.97255312499999</v>
      </c>
      <c r="Q2358">
        <f t="shared" si="110"/>
        <v>49.97255312499999</v>
      </c>
      <c r="Y2358">
        <f>TREND(H2354:H2358,G2354:G2358,G2358)</f>
        <v>49.998437500000001</v>
      </c>
      <c r="Z2358">
        <f>ABS((Y2358-H2358)/80*100)</f>
        <v>0</v>
      </c>
      <c r="AH2358">
        <f>H2358-AG2333</f>
        <v>49.993679999999998</v>
      </c>
      <c r="AI2358">
        <f>100*(AH2358-O2358)/80</f>
        <v>-49.978499999999997</v>
      </c>
    </row>
    <row r="2359" spans="1:41" x14ac:dyDescent="0.35">
      <c r="A2359" t="s">
        <v>302</v>
      </c>
      <c r="B2359" t="s">
        <v>1111</v>
      </c>
      <c r="C2359" t="s">
        <v>1256</v>
      </c>
      <c r="D2359">
        <v>10</v>
      </c>
      <c r="E2359">
        <v>10</v>
      </c>
      <c r="F2359">
        <v>0</v>
      </c>
      <c r="G2359">
        <v>-1.37E-4</v>
      </c>
      <c r="H2359">
        <v>49.998437500000001</v>
      </c>
      <c r="J2359">
        <v>-1</v>
      </c>
      <c r="N2359" t="s">
        <v>207</v>
      </c>
      <c r="O2359">
        <f t="shared" si="108"/>
        <v>49.994519999999994</v>
      </c>
      <c r="P2359">
        <f t="shared" si="109"/>
        <v>4.8968750000089045E-3</v>
      </c>
      <c r="Q2359">
        <f t="shared" si="110"/>
        <v>4.8968750000089045E-3</v>
      </c>
      <c r="Y2359">
        <f>TREND(H2354:H2358,G2354:G2358,G2359)</f>
        <v>49.998437500000001</v>
      </c>
      <c r="Z2359">
        <f>ABS((Y2359-H2359)/80*100)</f>
        <v>0</v>
      </c>
      <c r="AH2359">
        <f>H2359-AG2333</f>
        <v>49.993679999999998</v>
      </c>
      <c r="AI2359">
        <f>100*(AH2359-O2359)/80</f>
        <v>-1.0499999999957765E-3</v>
      </c>
    </row>
    <row r="2360" spans="1:41" x14ac:dyDescent="0.35">
      <c r="A2360" t="s">
        <v>302</v>
      </c>
      <c r="B2360" t="s">
        <v>1111</v>
      </c>
      <c r="C2360" t="s">
        <v>1292</v>
      </c>
      <c r="D2360">
        <v>10</v>
      </c>
      <c r="E2360">
        <v>10</v>
      </c>
      <c r="F2360">
        <v>-1</v>
      </c>
      <c r="G2360">
        <v>-1.0001599999999999</v>
      </c>
      <c r="H2360">
        <v>49.998437500000001</v>
      </c>
      <c r="J2360">
        <v>-1</v>
      </c>
      <c r="N2360" t="s">
        <v>207</v>
      </c>
      <c r="O2360">
        <f t="shared" si="108"/>
        <v>9.9936000000000025</v>
      </c>
      <c r="P2360">
        <f t="shared" si="109"/>
        <v>50.006046874999996</v>
      </c>
      <c r="Q2360">
        <f t="shared" si="110"/>
        <v>50.006046874999996</v>
      </c>
      <c r="Y2360">
        <f>TREND(H2354:H2358,G2354:G2358,G2360)</f>
        <v>49.998437500000001</v>
      </c>
      <c r="Z2360">
        <f>ABS((Y2360-H2360)/80*100)</f>
        <v>0</v>
      </c>
      <c r="AH2360">
        <f>H2360-AG2333</f>
        <v>49.993679999999998</v>
      </c>
      <c r="AI2360">
        <f>100*(AH2360-O2360)/80</f>
        <v>50.000099999999996</v>
      </c>
    </row>
    <row r="2361" spans="1:41" x14ac:dyDescent="0.35">
      <c r="A2361" t="s">
        <v>302</v>
      </c>
      <c r="B2361" t="s">
        <v>1111</v>
      </c>
      <c r="C2361" t="s">
        <v>1329</v>
      </c>
      <c r="D2361">
        <v>25</v>
      </c>
      <c r="E2361">
        <v>25</v>
      </c>
      <c r="F2361">
        <v>-1</v>
      </c>
      <c r="G2361">
        <v>-0.99990599999999996</v>
      </c>
      <c r="H2361">
        <v>49.998437500000001</v>
      </c>
      <c r="J2361">
        <v>-1</v>
      </c>
      <c r="N2361" t="s">
        <v>207</v>
      </c>
      <c r="O2361">
        <f t="shared" si="108"/>
        <v>10.003760000000002</v>
      </c>
      <c r="P2361">
        <f t="shared" si="109"/>
        <v>49.993346875</v>
      </c>
      <c r="Q2361">
        <f t="shared" si="110"/>
        <v>49.993346875</v>
      </c>
      <c r="S2361">
        <v>49.998437500000001</v>
      </c>
      <c r="T2361">
        <v>3.3468750000054115E-3</v>
      </c>
      <c r="U2361">
        <v>49.998437500000001</v>
      </c>
      <c r="V2361">
        <v>-50.002703125000025</v>
      </c>
      <c r="W2361">
        <v>-1.5258789076710855E-6</v>
      </c>
      <c r="X2361">
        <f>(W2361-80)/80*100</f>
        <v>-100.00000190734863</v>
      </c>
      <c r="Y2361">
        <f>TREND(H2361:H2365,G2361:G2365,G2361)</f>
        <v>49.998437500000001</v>
      </c>
      <c r="Z2361">
        <f>ABS((Y2361-H2361)/80*100)</f>
        <v>0</v>
      </c>
      <c r="AA2361">
        <f>MAX(Z2361:Z2365)</f>
        <v>0</v>
      </c>
      <c r="AB2361">
        <f>IF(ABS(MAX(P2361:P2367)) &gt; ABS(MIN(P2361:P2367)),MAX(P2361:P2367), MIN(P2361:P2367))</f>
        <v>-50.002703125000025</v>
      </c>
      <c r="AC2361">
        <f>IF(ABS(AB2362)&gt;ABS(AB2361),AB2362,AB2361)</f>
        <v>-50.002703125000025</v>
      </c>
      <c r="AH2361">
        <f>H2361-AG2333</f>
        <v>49.993679999999998</v>
      </c>
      <c r="AI2361">
        <f>100*(AH2361-O2361)/80</f>
        <v>49.987399999999994</v>
      </c>
      <c r="AJ2361">
        <v>49.993679999999998</v>
      </c>
      <c r="AK2361">
        <v>-2.5999999999992696E-3</v>
      </c>
      <c r="AL2361">
        <v>49.993679999999998</v>
      </c>
      <c r="AM2361">
        <v>-50.008650000000031</v>
      </c>
      <c r="AN2361">
        <f>IF(ABS(MAX(AI2361:AI2367)) &gt; ABS(MIN(AI2361:AI2367)),MAX(AI2361:AI2367), MIN(AI2361:AI2367))</f>
        <v>-50.008650000000031</v>
      </c>
      <c r="AO2361">
        <f>IF(ABS(AN2362)&gt;ABS(AN2361),AN2362,AN2361)</f>
        <v>-50.008650000000031</v>
      </c>
    </row>
    <row r="2362" spans="1:41" x14ac:dyDescent="0.35">
      <c r="A2362" t="s">
        <v>302</v>
      </c>
      <c r="B2362" t="s">
        <v>1111</v>
      </c>
      <c r="C2362" t="s">
        <v>1366</v>
      </c>
      <c r="D2362">
        <v>25</v>
      </c>
      <c r="E2362">
        <v>25</v>
      </c>
      <c r="F2362">
        <v>-0.5</v>
      </c>
      <c r="G2362">
        <v>-0.50011799999999995</v>
      </c>
      <c r="H2362">
        <v>49.998437500000001</v>
      </c>
      <c r="J2362">
        <v>-1</v>
      </c>
      <c r="N2362" t="s">
        <v>207</v>
      </c>
      <c r="O2362">
        <f t="shared" si="108"/>
        <v>29.995280000000001</v>
      </c>
      <c r="P2362">
        <f t="shared" si="109"/>
        <v>25.003946875</v>
      </c>
      <c r="Q2362">
        <f t="shared" si="110"/>
        <v>25.003946875</v>
      </c>
      <c r="Y2362">
        <f>TREND(H2361:H2365,G2361:G2365,G2362)</f>
        <v>49.998437500000001</v>
      </c>
      <c r="Z2362">
        <f>ABS((Y2362-H2362)/80*100)</f>
        <v>0</v>
      </c>
      <c r="AB2362">
        <f>IF(ABS(T2361) &gt; ABS(V2361),T2361,V2361)</f>
        <v>-50.002703125000025</v>
      </c>
      <c r="AH2362">
        <f>H2362-AG2333</f>
        <v>49.993679999999998</v>
      </c>
      <c r="AI2362">
        <f>100*(AH2362-O2362)/80</f>
        <v>24.997999999999998</v>
      </c>
      <c r="AN2362">
        <f>IF(ABS(AK2361) &gt; ABS(AM2361),AK2361,AM2361)</f>
        <v>-50.008650000000031</v>
      </c>
    </row>
    <row r="2363" spans="1:41" x14ac:dyDescent="0.35">
      <c r="A2363" t="s">
        <v>302</v>
      </c>
      <c r="B2363" t="s">
        <v>1111</v>
      </c>
      <c r="C2363" t="s">
        <v>1402</v>
      </c>
      <c r="D2363">
        <v>25</v>
      </c>
      <c r="E2363">
        <v>25</v>
      </c>
      <c r="F2363">
        <v>0</v>
      </c>
      <c r="G2363">
        <v>-1.06E-4</v>
      </c>
      <c r="H2363">
        <v>49.998437500000001</v>
      </c>
      <c r="J2363">
        <v>-1</v>
      </c>
      <c r="N2363" t="s">
        <v>207</v>
      </c>
      <c r="O2363">
        <f t="shared" si="108"/>
        <v>49.995759999999997</v>
      </c>
      <c r="P2363">
        <f t="shared" si="109"/>
        <v>3.3468750000054115E-3</v>
      </c>
      <c r="Q2363">
        <f t="shared" si="110"/>
        <v>3.3468750000054115E-3</v>
      </c>
      <c r="Y2363">
        <f>TREND(H2361:H2365,G2361:G2365,G2363)</f>
        <v>49.998437500000001</v>
      </c>
      <c r="Z2363">
        <f>ABS((Y2363-H2363)/80*100)</f>
        <v>0</v>
      </c>
      <c r="AH2363">
        <f>H2363-AG2333</f>
        <v>49.993679999999998</v>
      </c>
      <c r="AI2363">
        <f>100*(AH2363-O2363)/80</f>
        <v>-2.5999999999992696E-3</v>
      </c>
    </row>
    <row r="2364" spans="1:41" x14ac:dyDescent="0.35">
      <c r="A2364" t="s">
        <v>302</v>
      </c>
      <c r="B2364" t="s">
        <v>1111</v>
      </c>
      <c r="C2364" t="s">
        <v>1439</v>
      </c>
      <c r="D2364">
        <v>25</v>
      </c>
      <c r="E2364">
        <v>25</v>
      </c>
      <c r="F2364">
        <v>0.5</v>
      </c>
      <c r="G2364">
        <v>0.49985099999999999</v>
      </c>
      <c r="H2364">
        <v>49.998437500000001</v>
      </c>
      <c r="J2364">
        <v>-1</v>
      </c>
      <c r="N2364" t="s">
        <v>207</v>
      </c>
      <c r="O2364">
        <f t="shared" si="108"/>
        <v>69.994039999999998</v>
      </c>
      <c r="P2364">
        <f t="shared" si="109"/>
        <v>-24.994503124999998</v>
      </c>
      <c r="Q2364">
        <f t="shared" si="110"/>
        <v>24.994503124999998</v>
      </c>
      <c r="Y2364">
        <f>TREND(H2361:H2365,G2361:G2365,G2364)</f>
        <v>49.998437500000001</v>
      </c>
      <c r="Z2364">
        <f>ABS((Y2364-H2364)/80*100)</f>
        <v>0</v>
      </c>
      <c r="AH2364">
        <f>H2364-AG2333</f>
        <v>49.993679999999998</v>
      </c>
      <c r="AI2364">
        <f>100*(AH2364-O2364)/80</f>
        <v>-25.000450000000001</v>
      </c>
    </row>
    <row r="2365" spans="1:41" x14ac:dyDescent="0.35">
      <c r="A2365" t="s">
        <v>302</v>
      </c>
      <c r="B2365" t="s">
        <v>1111</v>
      </c>
      <c r="C2365" t="s">
        <v>1475</v>
      </c>
      <c r="D2365">
        <v>25</v>
      </c>
      <c r="E2365">
        <v>25</v>
      </c>
      <c r="F2365">
        <v>1</v>
      </c>
      <c r="G2365">
        <v>1.0000150000000001</v>
      </c>
      <c r="H2365">
        <v>49.998437500000001</v>
      </c>
      <c r="J2365">
        <v>-1</v>
      </c>
      <c r="N2365" t="s">
        <v>207</v>
      </c>
      <c r="O2365">
        <f t="shared" si="108"/>
        <v>90.00060000000002</v>
      </c>
      <c r="P2365">
        <f t="shared" si="109"/>
        <v>-50.002703125000025</v>
      </c>
      <c r="Q2365">
        <f t="shared" si="110"/>
        <v>50.002703125000025</v>
      </c>
      <c r="Y2365">
        <f>TREND(H2361:H2365,G2361:G2365,G2365)</f>
        <v>49.998437500000001</v>
      </c>
      <c r="Z2365">
        <f>ABS((Y2365-H2365)/80*100)</f>
        <v>0</v>
      </c>
      <c r="AH2365">
        <f>H2365-AG2333</f>
        <v>49.993679999999998</v>
      </c>
      <c r="AI2365">
        <f>100*(AH2365-O2365)/80</f>
        <v>-50.008650000000031</v>
      </c>
    </row>
    <row r="2366" spans="1:41" x14ac:dyDescent="0.35">
      <c r="A2366" t="s">
        <v>302</v>
      </c>
      <c r="B2366" t="s">
        <v>1111</v>
      </c>
      <c r="C2366" t="s">
        <v>1512</v>
      </c>
      <c r="D2366">
        <v>25</v>
      </c>
      <c r="E2366">
        <v>25</v>
      </c>
      <c r="F2366">
        <v>0</v>
      </c>
      <c r="G2366">
        <v>-1.7200000000000001E-4</v>
      </c>
      <c r="H2366">
        <v>49.998437500000001</v>
      </c>
      <c r="J2366">
        <v>-1</v>
      </c>
      <c r="N2366" t="s">
        <v>207</v>
      </c>
      <c r="O2366">
        <f t="shared" si="108"/>
        <v>49.993120000000005</v>
      </c>
      <c r="P2366">
        <f t="shared" si="109"/>
        <v>6.6468749999959442E-3</v>
      </c>
      <c r="Q2366">
        <f t="shared" si="110"/>
        <v>6.6468749999959442E-3</v>
      </c>
      <c r="Y2366">
        <f>TREND(H2361:H2365,G2361:G2365,G2366)</f>
        <v>49.998437500000001</v>
      </c>
      <c r="Z2366">
        <f>ABS((Y2366-H2366)/80*100)</f>
        <v>0</v>
      </c>
      <c r="AH2366">
        <f>H2366-AG2333</f>
        <v>49.993679999999998</v>
      </c>
      <c r="AI2366">
        <f>100*(AH2366-O2366)/80</f>
        <v>6.9999999999126317E-4</v>
      </c>
    </row>
    <row r="2367" spans="1:41" x14ac:dyDescent="0.35">
      <c r="A2367" t="s">
        <v>302</v>
      </c>
      <c r="B2367" t="s">
        <v>1111</v>
      </c>
      <c r="C2367" t="s">
        <v>1549</v>
      </c>
      <c r="D2367">
        <v>25</v>
      </c>
      <c r="E2367">
        <v>25</v>
      </c>
      <c r="F2367">
        <v>-1</v>
      </c>
      <c r="G2367">
        <v>-0.99995900000000004</v>
      </c>
      <c r="H2367">
        <v>49.998437500000001</v>
      </c>
      <c r="J2367">
        <v>-1</v>
      </c>
      <c r="N2367" t="s">
        <v>207</v>
      </c>
      <c r="O2367">
        <f t="shared" si="108"/>
        <v>10.001639999999998</v>
      </c>
      <c r="P2367">
        <f t="shared" si="109"/>
        <v>49.995996874999996</v>
      </c>
      <c r="Q2367">
        <f t="shared" si="110"/>
        <v>49.995996874999996</v>
      </c>
      <c r="Y2367">
        <f>TREND(H2361:H2365,G2361:G2365,G2367)</f>
        <v>49.998437500000001</v>
      </c>
      <c r="Z2367">
        <f>ABS((Y2367-H2367)/80*100)</f>
        <v>0</v>
      </c>
      <c r="AH2367">
        <f>H2367-AG2333</f>
        <v>49.993679999999998</v>
      </c>
      <c r="AI2367">
        <f>100*(AH2367-O2367)/80</f>
        <v>49.990050000000004</v>
      </c>
    </row>
    <row r="2368" spans="1:41" x14ac:dyDescent="0.35">
      <c r="A2368" t="s">
        <v>302</v>
      </c>
      <c r="B2368" t="s">
        <v>1111</v>
      </c>
      <c r="C2368" t="s">
        <v>1586</v>
      </c>
      <c r="D2368">
        <v>50</v>
      </c>
      <c r="E2368">
        <v>50</v>
      </c>
      <c r="F2368">
        <v>-1</v>
      </c>
      <c r="G2368">
        <v>-1.0000329999999999</v>
      </c>
      <c r="H2368">
        <v>49.998437500000001</v>
      </c>
      <c r="J2368">
        <v>-1</v>
      </c>
      <c r="N2368" t="s">
        <v>207</v>
      </c>
      <c r="O2368">
        <f t="shared" si="108"/>
        <v>9.998680000000002</v>
      </c>
      <c r="P2368">
        <f t="shared" si="109"/>
        <v>49.999696874999998</v>
      </c>
      <c r="Q2368">
        <f t="shared" si="110"/>
        <v>49.999696874999998</v>
      </c>
      <c r="S2368">
        <v>49.998437500000001</v>
      </c>
      <c r="T2368">
        <v>4.2468749999979849E-3</v>
      </c>
      <c r="U2368">
        <v>49.998437500000001</v>
      </c>
      <c r="V2368">
        <v>-50.00355312500001</v>
      </c>
      <c r="W2368">
        <v>-1.5258789076710855E-6</v>
      </c>
      <c r="X2368">
        <f>(W2368-80)/80*100</f>
        <v>-100.00000190734863</v>
      </c>
      <c r="Y2368">
        <f>TREND(H2368:H2372,G2368:G2372,G2368)</f>
        <v>49.998437500000001</v>
      </c>
      <c r="Z2368">
        <f>ABS((Y2368-H2368)/80*100)</f>
        <v>0</v>
      </c>
      <c r="AA2368">
        <f>MAX(Z2368:Z2372)</f>
        <v>0</v>
      </c>
      <c r="AB2368">
        <f>IF(ABS(MAX(P2368:P2374)) &gt; ABS(MIN(P2368:P2374)),MAX(P2368:P2374), MIN(P2368:P2374))</f>
        <v>-50.00355312500001</v>
      </c>
      <c r="AC2368">
        <f>IF(ABS(AB2369)&gt;ABS(AB2368),AB2369,AB2368)</f>
        <v>-50.00355312500001</v>
      </c>
      <c r="AH2368">
        <f>H2368-AG2333</f>
        <v>49.993679999999998</v>
      </c>
      <c r="AI2368">
        <f>100*(AH2368-O2368)/80</f>
        <v>49.993749999999991</v>
      </c>
      <c r="AJ2368">
        <v>49.993679999999998</v>
      </c>
      <c r="AK2368">
        <v>-1.7000000000066962E-3</v>
      </c>
      <c r="AL2368">
        <v>49.993679999999998</v>
      </c>
      <c r="AM2368">
        <v>-50.009500000000017</v>
      </c>
      <c r="AN2368">
        <f>IF(ABS(MAX(AI2368:AI2374)) &gt; ABS(MIN(AI2368:AI2374)),MAX(AI2368:AI2374), MIN(AI2368:AI2374))</f>
        <v>-50.009500000000017</v>
      </c>
      <c r="AO2368">
        <f>IF(ABS(AN2369)&gt;ABS(AN2368),AN2369,AN2368)</f>
        <v>-50.009500000000017</v>
      </c>
    </row>
    <row r="2369" spans="1:41" x14ac:dyDescent="0.35">
      <c r="A2369" t="s">
        <v>302</v>
      </c>
      <c r="B2369" t="s">
        <v>1111</v>
      </c>
      <c r="C2369" t="s">
        <v>1622</v>
      </c>
      <c r="D2369">
        <v>50</v>
      </c>
      <c r="E2369">
        <v>50</v>
      </c>
      <c r="F2369">
        <v>-0.5</v>
      </c>
      <c r="G2369">
        <v>-0.49987300000000001</v>
      </c>
      <c r="H2369">
        <v>49.998437500000001</v>
      </c>
      <c r="J2369">
        <v>-1</v>
      </c>
      <c r="N2369" t="s">
        <v>207</v>
      </c>
      <c r="O2369">
        <f t="shared" si="108"/>
        <v>30.00508</v>
      </c>
      <c r="P2369">
        <f t="shared" si="109"/>
        <v>24.991696875000002</v>
      </c>
      <c r="Q2369">
        <f t="shared" si="110"/>
        <v>24.991696875000002</v>
      </c>
      <c r="Y2369">
        <f>TREND(H2368:H2372,G2368:G2372,G2369)</f>
        <v>49.998437500000001</v>
      </c>
      <c r="Z2369">
        <f>ABS((Y2369-H2369)/80*100)</f>
        <v>0</v>
      </c>
      <c r="AB2369">
        <f>IF(ABS(T2368) &gt; ABS(V2368),T2368,V2368)</f>
        <v>-50.00355312500001</v>
      </c>
      <c r="AH2369">
        <f>H2369-AG2333</f>
        <v>49.993679999999998</v>
      </c>
      <c r="AI2369">
        <f>100*(AH2369-O2369)/80</f>
        <v>24.985749999999999</v>
      </c>
      <c r="AN2369">
        <f>IF(ABS(AK2368) &gt; ABS(AM2368),AK2368,AM2368)</f>
        <v>-50.009500000000017</v>
      </c>
    </row>
    <row r="2370" spans="1:41" x14ac:dyDescent="0.35">
      <c r="A2370" t="s">
        <v>302</v>
      </c>
      <c r="B2370" t="s">
        <v>1111</v>
      </c>
      <c r="C2370" t="s">
        <v>1659</v>
      </c>
      <c r="D2370">
        <v>50</v>
      </c>
      <c r="E2370">
        <v>50</v>
      </c>
      <c r="F2370">
        <v>0</v>
      </c>
      <c r="G2370">
        <v>-1.2400000000000001E-4</v>
      </c>
      <c r="H2370">
        <v>49.998437500000001</v>
      </c>
      <c r="J2370">
        <v>-1</v>
      </c>
      <c r="N2370" t="s">
        <v>207</v>
      </c>
      <c r="O2370">
        <f t="shared" si="108"/>
        <v>49.995040000000003</v>
      </c>
      <c r="P2370">
        <f t="shared" si="109"/>
        <v>4.2468749999979849E-3</v>
      </c>
      <c r="Q2370">
        <f t="shared" si="110"/>
        <v>4.2468749999979849E-3</v>
      </c>
      <c r="Y2370">
        <f>TREND(H2368:H2372,G2368:G2372,G2370)</f>
        <v>49.998437500000001</v>
      </c>
      <c r="Z2370">
        <f>ABS((Y2370-H2370)/80*100)</f>
        <v>0</v>
      </c>
      <c r="AH2370">
        <f>H2370-AG2333</f>
        <v>49.993679999999998</v>
      </c>
      <c r="AI2370">
        <f>100*(AH2370-O2370)/80</f>
        <v>-1.7000000000066962E-3</v>
      </c>
    </row>
    <row r="2371" spans="1:41" x14ac:dyDescent="0.35">
      <c r="A2371" t="s">
        <v>302</v>
      </c>
      <c r="B2371" t="s">
        <v>1111</v>
      </c>
      <c r="C2371" t="s">
        <v>1696</v>
      </c>
      <c r="D2371">
        <v>50</v>
      </c>
      <c r="E2371">
        <v>50</v>
      </c>
      <c r="F2371">
        <v>0.5</v>
      </c>
      <c r="G2371">
        <v>0.50000199999999995</v>
      </c>
      <c r="H2371">
        <v>49.998437500000001</v>
      </c>
      <c r="J2371">
        <v>-1</v>
      </c>
      <c r="N2371" t="s">
        <v>207</v>
      </c>
      <c r="O2371">
        <f t="shared" si="108"/>
        <v>70.000079999999997</v>
      </c>
      <c r="P2371">
        <f t="shared" si="109"/>
        <v>-25.002053124999996</v>
      </c>
      <c r="Q2371">
        <f t="shared" si="110"/>
        <v>25.002053124999996</v>
      </c>
      <c r="Y2371">
        <f>TREND(H2368:H2372,G2368:G2372,G2371)</f>
        <v>49.998437500000001</v>
      </c>
      <c r="Z2371">
        <f>ABS((Y2371-H2371)/80*100)</f>
        <v>0</v>
      </c>
      <c r="AH2371">
        <f>H2371-AG2333</f>
        <v>49.993679999999998</v>
      </c>
      <c r="AI2371">
        <f>100*(AH2371-O2371)/80</f>
        <v>-25.007999999999999</v>
      </c>
    </row>
    <row r="2372" spans="1:41" x14ac:dyDescent="0.35">
      <c r="A2372" t="s">
        <v>302</v>
      </c>
      <c r="B2372" t="s">
        <v>1111</v>
      </c>
      <c r="C2372" t="s">
        <v>1733</v>
      </c>
      <c r="D2372">
        <v>50</v>
      </c>
      <c r="E2372">
        <v>50</v>
      </c>
      <c r="F2372">
        <v>1</v>
      </c>
      <c r="G2372">
        <v>1.000032</v>
      </c>
      <c r="H2372">
        <v>49.998437500000001</v>
      </c>
      <c r="J2372">
        <v>-1</v>
      </c>
      <c r="N2372" t="s">
        <v>207</v>
      </c>
      <c r="O2372">
        <f t="shared" si="108"/>
        <v>90.001280000000008</v>
      </c>
      <c r="P2372">
        <f t="shared" si="109"/>
        <v>-50.00355312500001</v>
      </c>
      <c r="Q2372">
        <f t="shared" si="110"/>
        <v>50.00355312500001</v>
      </c>
      <c r="Y2372">
        <f>TREND(H2368:H2372,G2368:G2372,G2372)</f>
        <v>49.998437500000001</v>
      </c>
      <c r="Z2372">
        <f>ABS((Y2372-H2372)/80*100)</f>
        <v>0</v>
      </c>
      <c r="AH2372">
        <f>H2372-AG2333</f>
        <v>49.993679999999998</v>
      </c>
      <c r="AI2372">
        <f>100*(AH2372-O2372)/80</f>
        <v>-50.009500000000017</v>
      </c>
    </row>
    <row r="2373" spans="1:41" x14ac:dyDescent="0.35">
      <c r="A2373" t="s">
        <v>302</v>
      </c>
      <c r="B2373" t="s">
        <v>1111</v>
      </c>
      <c r="C2373" t="s">
        <v>1769</v>
      </c>
      <c r="D2373">
        <v>50</v>
      </c>
      <c r="E2373">
        <v>50</v>
      </c>
      <c r="F2373">
        <v>0</v>
      </c>
      <c r="G2373">
        <v>-1.2999999999999999E-5</v>
      </c>
      <c r="H2373">
        <v>49.998437500000001</v>
      </c>
      <c r="J2373">
        <v>-1</v>
      </c>
      <c r="N2373" t="s">
        <v>207</v>
      </c>
      <c r="O2373">
        <f t="shared" si="108"/>
        <v>49.999479999999998</v>
      </c>
      <c r="P2373">
        <f t="shared" si="109"/>
        <v>-1.3031249999961858E-3</v>
      </c>
      <c r="Q2373">
        <f t="shared" si="110"/>
        <v>1.3031249999961858E-3</v>
      </c>
      <c r="Y2373">
        <f>TREND(H2368:H2372,G2368:G2372,G2373)</f>
        <v>49.998437500000001</v>
      </c>
      <c r="Z2373">
        <f>ABS((Y2373-H2373)/80*100)</f>
        <v>0</v>
      </c>
      <c r="AH2373">
        <f>H2373-AG2333</f>
        <v>49.993679999999998</v>
      </c>
      <c r="AI2373">
        <f>100*(AH2373-O2373)/80</f>
        <v>-7.2500000000008669E-3</v>
      </c>
    </row>
    <row r="2374" spans="1:41" x14ac:dyDescent="0.35">
      <c r="A2374" t="s">
        <v>302</v>
      </c>
      <c r="B2374" t="s">
        <v>1111</v>
      </c>
      <c r="C2374" t="s">
        <v>1806</v>
      </c>
      <c r="D2374">
        <v>50</v>
      </c>
      <c r="E2374">
        <v>50</v>
      </c>
      <c r="F2374">
        <v>-1</v>
      </c>
      <c r="G2374">
        <v>-0.99999300000000002</v>
      </c>
      <c r="H2374">
        <v>49.998437500000001</v>
      </c>
      <c r="J2374">
        <v>-1</v>
      </c>
      <c r="N2374" t="s">
        <v>207</v>
      </c>
      <c r="O2374">
        <f t="shared" si="108"/>
        <v>10.00028</v>
      </c>
      <c r="P2374">
        <f t="shared" si="109"/>
        <v>49.99769687500001</v>
      </c>
      <c r="Q2374">
        <f t="shared" si="110"/>
        <v>49.99769687500001</v>
      </c>
      <c r="Y2374">
        <f>TREND(H2368:H2372,G2368:G2372,G2374)</f>
        <v>49.998437500000001</v>
      </c>
      <c r="Z2374">
        <f>ABS((Y2374-H2374)/80*100)</f>
        <v>0</v>
      </c>
      <c r="AH2374">
        <f>H2374-AG2333</f>
        <v>49.993679999999998</v>
      </c>
      <c r="AI2374">
        <f>100*(AH2374-O2374)/80</f>
        <v>49.991749999999989</v>
      </c>
    </row>
    <row r="2375" spans="1:41" x14ac:dyDescent="0.35">
      <c r="A2375" t="s">
        <v>302</v>
      </c>
      <c r="B2375" t="s">
        <v>1111</v>
      </c>
      <c r="C2375" t="s">
        <v>1843</v>
      </c>
      <c r="D2375">
        <v>70</v>
      </c>
      <c r="E2375">
        <v>70</v>
      </c>
      <c r="F2375">
        <v>-1</v>
      </c>
      <c r="G2375">
        <v>-0.99993100000000001</v>
      </c>
      <c r="H2375">
        <v>49.998437500000001</v>
      </c>
      <c r="J2375">
        <v>-1</v>
      </c>
      <c r="N2375" t="s">
        <v>207</v>
      </c>
      <c r="O2375">
        <f t="shared" si="108"/>
        <v>10.002759999999999</v>
      </c>
      <c r="P2375">
        <f t="shared" si="109"/>
        <v>49.994596874999999</v>
      </c>
      <c r="Q2375">
        <f t="shared" si="110"/>
        <v>49.994596874999999</v>
      </c>
      <c r="S2375">
        <v>49.998437500000001</v>
      </c>
      <c r="T2375">
        <v>1.7546875000000739E-2</v>
      </c>
      <c r="U2375">
        <v>49.998437500000001</v>
      </c>
      <c r="V2375">
        <v>-50.006453125000007</v>
      </c>
      <c r="W2375">
        <v>-1.5258789076710855E-6</v>
      </c>
      <c r="X2375">
        <f>(W2375-80)/80*100</f>
        <v>-100.00000190734863</v>
      </c>
      <c r="Y2375">
        <f>TREND(H2375:H2379,G2375:G2379,G2375)</f>
        <v>49.998437500000001</v>
      </c>
      <c r="Z2375">
        <f>ABS((Y2375-H2375)/80*100)</f>
        <v>0</v>
      </c>
      <c r="AA2375">
        <f>MAX(Z2375:Z2379)</f>
        <v>0</v>
      </c>
      <c r="AB2375">
        <f>IF(ABS(MAX(P2375:P2381)) &gt; ABS(MIN(P2375:P2381)),MAX(P2375:P2381), MIN(P2375:P2381))</f>
        <v>-50.006453125000007</v>
      </c>
      <c r="AC2375">
        <f>IF(ABS(AB2376)&gt;ABS(AB2375),AB2376,AB2375)</f>
        <v>-50.006453125000007</v>
      </c>
      <c r="AH2375">
        <f>H2375-AG2333</f>
        <v>49.993679999999998</v>
      </c>
      <c r="AI2375">
        <f>100*(AH2375-O2375)/80</f>
        <v>49.98865</v>
      </c>
      <c r="AJ2375">
        <v>49.993679999999998</v>
      </c>
      <c r="AK2375">
        <v>1.1599999999996058E-2</v>
      </c>
      <c r="AL2375">
        <v>49.993679999999998</v>
      </c>
      <c r="AM2375">
        <v>-50.012400000000007</v>
      </c>
      <c r="AN2375">
        <f>IF(ABS(MAX(AI2375:AI2381)) &gt; ABS(MIN(AI2375:AI2381)),MAX(AI2375:AI2381), MIN(AI2375:AI2381))</f>
        <v>-50.012400000000007</v>
      </c>
      <c r="AO2375">
        <f>IF(ABS(AN2376)&gt;ABS(AN2375),AN2376,AN2375)</f>
        <v>-50.012400000000007</v>
      </c>
    </row>
    <row r="2376" spans="1:41" x14ac:dyDescent="0.35">
      <c r="A2376" t="s">
        <v>302</v>
      </c>
      <c r="B2376" t="s">
        <v>1111</v>
      </c>
      <c r="C2376" t="s">
        <v>1880</v>
      </c>
      <c r="D2376">
        <v>70</v>
      </c>
      <c r="E2376">
        <v>70</v>
      </c>
      <c r="F2376">
        <v>-0.5</v>
      </c>
      <c r="G2376">
        <v>-0.49997799999999998</v>
      </c>
      <c r="H2376">
        <v>49.998437500000001</v>
      </c>
      <c r="J2376">
        <v>-1</v>
      </c>
      <c r="N2376" t="s">
        <v>207</v>
      </c>
      <c r="O2376">
        <f t="shared" si="108"/>
        <v>30.000879999999999</v>
      </c>
      <c r="P2376">
        <f t="shared" si="109"/>
        <v>24.996946875000003</v>
      </c>
      <c r="Q2376">
        <f t="shared" si="110"/>
        <v>24.996946875000003</v>
      </c>
      <c r="Y2376">
        <f>TREND(H2375:H2379,G2375:G2379,G2376)</f>
        <v>49.998437500000001</v>
      </c>
      <c r="Z2376">
        <f>ABS((Y2376-H2376)/80*100)</f>
        <v>0</v>
      </c>
      <c r="AB2376">
        <f>IF(ABS(T2375) &gt; ABS(V2375),T2375,V2375)</f>
        <v>-50.006453125000007</v>
      </c>
      <c r="AH2376">
        <f>H2376-AG2333</f>
        <v>49.993679999999998</v>
      </c>
      <c r="AI2376">
        <f>100*(AH2376-O2376)/80</f>
        <v>24.991</v>
      </c>
      <c r="AN2376">
        <f>IF(ABS(AK2375) &gt; ABS(AM2375),AK2375,AM2375)</f>
        <v>-50.012400000000007</v>
      </c>
    </row>
    <row r="2377" spans="1:41" x14ac:dyDescent="0.35">
      <c r="A2377" t="s">
        <v>302</v>
      </c>
      <c r="B2377" t="s">
        <v>1111</v>
      </c>
      <c r="C2377" t="s">
        <v>1917</v>
      </c>
      <c r="D2377">
        <v>70</v>
      </c>
      <c r="E2377">
        <v>70</v>
      </c>
      <c r="F2377">
        <v>0</v>
      </c>
      <c r="G2377">
        <v>-3.8999999999999999E-4</v>
      </c>
      <c r="H2377">
        <v>49.998437500000001</v>
      </c>
      <c r="J2377">
        <v>-1</v>
      </c>
      <c r="N2377" t="s">
        <v>207</v>
      </c>
      <c r="O2377">
        <f t="shared" ref="O2377:O2440" si="111">(((G2377--1)*(40))+10)</f>
        <v>49.984400000000001</v>
      </c>
      <c r="P2377">
        <f t="shared" ref="P2377:P2440" si="112">100*(H2377-O2377)/80</f>
        <v>1.7546875000000739E-2</v>
      </c>
      <c r="Q2377">
        <f t="shared" ref="Q2377:Q2440" si="113">ABS(P2377)</f>
        <v>1.7546875000000739E-2</v>
      </c>
      <c r="Y2377">
        <f>TREND(H2375:H2379,G2375:G2379,G2377)</f>
        <v>49.998437500000001</v>
      </c>
      <c r="Z2377">
        <f>ABS((Y2377-H2377)/80*100)</f>
        <v>0</v>
      </c>
      <c r="AH2377">
        <f>H2377-AG2333</f>
        <v>49.993679999999998</v>
      </c>
      <c r="AI2377">
        <f>100*(AH2377-O2377)/80</f>
        <v>1.1599999999996058E-2</v>
      </c>
    </row>
    <row r="2378" spans="1:41" x14ac:dyDescent="0.35">
      <c r="A2378" t="s">
        <v>302</v>
      </c>
      <c r="B2378" t="s">
        <v>1111</v>
      </c>
      <c r="C2378" t="s">
        <v>1953</v>
      </c>
      <c r="D2378">
        <v>70</v>
      </c>
      <c r="E2378">
        <v>70</v>
      </c>
      <c r="F2378">
        <v>0.5</v>
      </c>
      <c r="G2378">
        <v>0.50052700000000006</v>
      </c>
      <c r="H2378">
        <v>49.998437500000001</v>
      </c>
      <c r="J2378">
        <v>-1</v>
      </c>
      <c r="N2378" t="s">
        <v>207</v>
      </c>
      <c r="O2378">
        <f t="shared" si="111"/>
        <v>70.021079999999998</v>
      </c>
      <c r="P2378">
        <f t="shared" si="112"/>
        <v>-25.028303124999997</v>
      </c>
      <c r="Q2378">
        <f t="shared" si="113"/>
        <v>25.028303124999997</v>
      </c>
      <c r="Y2378">
        <f>TREND(H2375:H2379,G2375:G2379,G2378)</f>
        <v>49.998437500000001</v>
      </c>
      <c r="Z2378">
        <f>ABS((Y2378-H2378)/80*100)</f>
        <v>0</v>
      </c>
      <c r="AH2378">
        <f>H2378-AG2333</f>
        <v>49.993679999999998</v>
      </c>
      <c r="AI2378">
        <f>100*(AH2378-O2378)/80</f>
        <v>-25.03425</v>
      </c>
    </row>
    <row r="2379" spans="1:41" x14ac:dyDescent="0.35">
      <c r="A2379" t="s">
        <v>302</v>
      </c>
      <c r="B2379" t="s">
        <v>1111</v>
      </c>
      <c r="C2379" t="s">
        <v>1989</v>
      </c>
      <c r="D2379">
        <v>70</v>
      </c>
      <c r="E2379">
        <v>70</v>
      </c>
      <c r="F2379">
        <v>1</v>
      </c>
      <c r="G2379">
        <v>1.0000899999999999</v>
      </c>
      <c r="H2379">
        <v>49.998437500000001</v>
      </c>
      <c r="J2379">
        <v>-1</v>
      </c>
      <c r="N2379" t="s">
        <v>207</v>
      </c>
      <c r="O2379">
        <f t="shared" si="111"/>
        <v>90.003600000000006</v>
      </c>
      <c r="P2379">
        <f t="shared" si="112"/>
        <v>-50.006453125000007</v>
      </c>
      <c r="Q2379">
        <f t="shared" si="113"/>
        <v>50.006453125000007</v>
      </c>
      <c r="Y2379">
        <f>TREND(H2375:H2379,G2375:G2379,G2379)</f>
        <v>49.998437500000001</v>
      </c>
      <c r="Z2379">
        <f>ABS((Y2379-H2379)/80*100)</f>
        <v>0</v>
      </c>
      <c r="AH2379">
        <f>H2379-AG2333</f>
        <v>49.993679999999998</v>
      </c>
      <c r="AI2379">
        <f>100*(AH2379-O2379)/80</f>
        <v>-50.012400000000007</v>
      </c>
    </row>
    <row r="2380" spans="1:41" x14ac:dyDescent="0.35">
      <c r="A2380" t="s">
        <v>302</v>
      </c>
      <c r="B2380" t="s">
        <v>1111</v>
      </c>
      <c r="C2380" t="s">
        <v>2026</v>
      </c>
      <c r="D2380">
        <v>70</v>
      </c>
      <c r="E2380">
        <v>70</v>
      </c>
      <c r="F2380">
        <v>0</v>
      </c>
      <c r="G2380">
        <v>2.6999999999999999E-5</v>
      </c>
      <c r="H2380">
        <v>49.998437500000001</v>
      </c>
      <c r="J2380">
        <v>-1</v>
      </c>
      <c r="N2380" t="s">
        <v>207</v>
      </c>
      <c r="O2380">
        <f t="shared" si="111"/>
        <v>50.001080000000002</v>
      </c>
      <c r="P2380">
        <f t="shared" si="112"/>
        <v>-3.3031250000004064E-3</v>
      </c>
      <c r="Q2380">
        <f t="shared" si="113"/>
        <v>3.3031250000004064E-3</v>
      </c>
      <c r="Y2380">
        <f>TREND(H2375:H2379,G2375:G2379,G2380)</f>
        <v>49.998437500000001</v>
      </c>
      <c r="Z2380">
        <f>ABS((Y2380-H2380)/80*100)</f>
        <v>0</v>
      </c>
      <c r="AH2380">
        <f>H2380-AG2333</f>
        <v>49.993679999999998</v>
      </c>
      <c r="AI2380">
        <f>100*(AH2380-O2380)/80</f>
        <v>-9.2500000000050875E-3</v>
      </c>
    </row>
    <row r="2381" spans="1:41" x14ac:dyDescent="0.35">
      <c r="A2381" t="s">
        <v>302</v>
      </c>
      <c r="B2381" t="s">
        <v>1111</v>
      </c>
      <c r="C2381" t="s">
        <v>2063</v>
      </c>
      <c r="D2381">
        <v>70</v>
      </c>
      <c r="E2381">
        <v>70</v>
      </c>
      <c r="F2381">
        <v>-1</v>
      </c>
      <c r="G2381">
        <v>-0.99997999999999998</v>
      </c>
      <c r="H2381">
        <v>49.998437500000001</v>
      </c>
      <c r="J2381">
        <v>-1</v>
      </c>
      <c r="N2381" t="s">
        <v>207</v>
      </c>
      <c r="O2381">
        <f t="shared" si="111"/>
        <v>10.000800000000002</v>
      </c>
      <c r="P2381">
        <f t="shared" si="112"/>
        <v>49.997046874999995</v>
      </c>
      <c r="Q2381">
        <f t="shared" si="113"/>
        <v>49.997046874999995</v>
      </c>
      <c r="Y2381">
        <f>TREND(H2375:H2379,G2375:G2379,G2381)</f>
        <v>49.998437500000001</v>
      </c>
      <c r="Z2381">
        <f>ABS((Y2381-H2381)/80*100)</f>
        <v>0</v>
      </c>
      <c r="AH2381">
        <f>H2381-AG2333</f>
        <v>49.993679999999998</v>
      </c>
      <c r="AI2381">
        <f>100*(AH2381-O2381)/80</f>
        <v>49.991100000000003</v>
      </c>
    </row>
    <row r="2382" spans="1:41" x14ac:dyDescent="0.35">
      <c r="A2382" t="s">
        <v>302</v>
      </c>
      <c r="B2382" t="s">
        <v>1111</v>
      </c>
      <c r="C2382" t="s">
        <v>2098</v>
      </c>
      <c r="D2382">
        <v>85</v>
      </c>
      <c r="E2382">
        <v>85</v>
      </c>
      <c r="F2382">
        <v>-1</v>
      </c>
      <c r="G2382">
        <v>-1.0000469999999999</v>
      </c>
      <c r="H2382">
        <v>49.998437500000001</v>
      </c>
      <c r="J2382">
        <v>-1</v>
      </c>
      <c r="N2382" t="s">
        <v>207</v>
      </c>
      <c r="O2382">
        <f t="shared" si="111"/>
        <v>9.9981200000000037</v>
      </c>
      <c r="P2382">
        <f t="shared" si="112"/>
        <v>50.000396874999993</v>
      </c>
      <c r="Q2382">
        <f t="shared" si="113"/>
        <v>50.000396874999993</v>
      </c>
      <c r="S2382">
        <v>49.998437500000001</v>
      </c>
      <c r="T2382">
        <v>-5.0531249999963279E-3</v>
      </c>
      <c r="U2382">
        <v>49.998437500000001</v>
      </c>
      <c r="V2382">
        <v>-50.004303124999993</v>
      </c>
      <c r="W2382">
        <v>-1.5258789076710855E-6</v>
      </c>
      <c r="X2382">
        <f>(W2382-80)/80*100</f>
        <v>-100.00000190734863</v>
      </c>
      <c r="Y2382">
        <f>TREND(H2382:H2386,G2382:G2386,G2382)</f>
        <v>49.998437500000001</v>
      </c>
      <c r="Z2382">
        <f>ABS((Y2382-H2382)/80*100)</f>
        <v>0</v>
      </c>
      <c r="AA2382">
        <f>MAX(Z2382:Z2386)</f>
        <v>0</v>
      </c>
      <c r="AB2382">
        <f>IF(ABS(MAX(P2382:P2388)) &gt; ABS(MIN(P2382:P2388)),MAX(P2382:P2388), MIN(P2382:P2388))</f>
        <v>-50.004303124999993</v>
      </c>
      <c r="AC2382">
        <f>IF(ABS(AB2383)&gt;ABS(AB2382),AB2383,AB2382)</f>
        <v>-50.004303124999993</v>
      </c>
      <c r="AH2382">
        <f>H2382-AG2333</f>
        <v>49.993679999999998</v>
      </c>
      <c r="AI2382">
        <f>100*(AH2382-O2382)/80</f>
        <v>49.994449999999993</v>
      </c>
      <c r="AJ2382">
        <v>49.993679999999998</v>
      </c>
      <c r="AK2382">
        <v>-1.1000000000001009E-2</v>
      </c>
      <c r="AL2382">
        <v>49.993679999999998</v>
      </c>
      <c r="AM2382">
        <v>-50.010249999999999</v>
      </c>
      <c r="AN2382">
        <f>IF(ABS(MAX(AI2382:AI2388)) &gt; ABS(MIN(AI2382:AI2388)),MAX(AI2382:AI2388), MIN(AI2382:AI2388))</f>
        <v>-50.010249999999999</v>
      </c>
      <c r="AO2382">
        <f>IF(ABS(AN2383)&gt;ABS(AN2382),AN2383,AN2382)</f>
        <v>-50.010249999999999</v>
      </c>
    </row>
    <row r="2383" spans="1:41" x14ac:dyDescent="0.35">
      <c r="A2383" t="s">
        <v>302</v>
      </c>
      <c r="B2383" t="s">
        <v>1111</v>
      </c>
      <c r="C2383" t="s">
        <v>2134</v>
      </c>
      <c r="D2383">
        <v>85</v>
      </c>
      <c r="E2383">
        <v>85</v>
      </c>
      <c r="F2383">
        <v>-0.5</v>
      </c>
      <c r="G2383">
        <v>-0.500143</v>
      </c>
      <c r="H2383">
        <v>49.998437500000001</v>
      </c>
      <c r="J2383">
        <v>-1</v>
      </c>
      <c r="N2383" t="s">
        <v>207</v>
      </c>
      <c r="O2383">
        <f t="shared" si="111"/>
        <v>29.99428</v>
      </c>
      <c r="P2383">
        <f t="shared" si="112"/>
        <v>25.005196875000003</v>
      </c>
      <c r="Q2383">
        <f t="shared" si="113"/>
        <v>25.005196875000003</v>
      </c>
      <c r="Y2383">
        <f>TREND(H2382:H2386,G2382:G2386,G2383)</f>
        <v>49.998437500000001</v>
      </c>
      <c r="Z2383">
        <f>ABS((Y2383-H2383)/80*100)</f>
        <v>0</v>
      </c>
      <c r="AB2383">
        <f>IF(ABS(T2382) &gt; ABS(V2382),T2382,V2382)</f>
        <v>-50.004303124999993</v>
      </c>
      <c r="AH2383">
        <f>H2383-AG2333</f>
        <v>49.993679999999998</v>
      </c>
      <c r="AI2383">
        <f>100*(AH2383-O2383)/80</f>
        <v>24.999249999999996</v>
      </c>
      <c r="AN2383">
        <f>IF(ABS(AK2382) &gt; ABS(AM2382),AK2382,AM2382)</f>
        <v>-50.010249999999999</v>
      </c>
    </row>
    <row r="2384" spans="1:41" x14ac:dyDescent="0.35">
      <c r="A2384" t="s">
        <v>302</v>
      </c>
      <c r="B2384" t="s">
        <v>1111</v>
      </c>
      <c r="C2384" t="s">
        <v>2171</v>
      </c>
      <c r="D2384">
        <v>85</v>
      </c>
      <c r="E2384">
        <v>85</v>
      </c>
      <c r="F2384">
        <v>0</v>
      </c>
      <c r="G2384">
        <v>6.2000000000000003E-5</v>
      </c>
      <c r="H2384">
        <v>49.998437500000001</v>
      </c>
      <c r="J2384">
        <v>-1</v>
      </c>
      <c r="N2384" t="s">
        <v>207</v>
      </c>
      <c r="O2384">
        <f t="shared" si="111"/>
        <v>50.002479999999998</v>
      </c>
      <c r="P2384">
        <f t="shared" si="112"/>
        <v>-5.0531249999963279E-3</v>
      </c>
      <c r="Q2384">
        <f t="shared" si="113"/>
        <v>5.0531249999963279E-3</v>
      </c>
      <c r="Y2384">
        <f>TREND(H2382:H2386,G2382:G2386,G2384)</f>
        <v>49.998437500000001</v>
      </c>
      <c r="Z2384">
        <f>ABS((Y2384-H2384)/80*100)</f>
        <v>0</v>
      </c>
      <c r="AH2384">
        <f>H2384-AG2333</f>
        <v>49.993679999999998</v>
      </c>
      <c r="AI2384">
        <f>100*(AH2384-O2384)/80</f>
        <v>-1.1000000000001009E-2</v>
      </c>
    </row>
    <row r="2385" spans="1:41" x14ac:dyDescent="0.35">
      <c r="A2385" t="s">
        <v>302</v>
      </c>
      <c r="B2385" t="s">
        <v>1111</v>
      </c>
      <c r="C2385" t="s">
        <v>2208</v>
      </c>
      <c r="D2385">
        <v>85</v>
      </c>
      <c r="E2385">
        <v>85</v>
      </c>
      <c r="F2385">
        <v>0.5</v>
      </c>
      <c r="G2385">
        <v>0.49995600000000001</v>
      </c>
      <c r="H2385">
        <v>49.998437500000001</v>
      </c>
      <c r="J2385">
        <v>-1</v>
      </c>
      <c r="N2385" t="s">
        <v>207</v>
      </c>
      <c r="O2385">
        <f t="shared" si="111"/>
        <v>69.99824000000001</v>
      </c>
      <c r="P2385">
        <f t="shared" si="112"/>
        <v>-24.999753125000009</v>
      </c>
      <c r="Q2385">
        <f t="shared" si="113"/>
        <v>24.999753125000009</v>
      </c>
      <c r="Y2385">
        <f>TREND(H2382:H2386,G2382:G2386,G2385)</f>
        <v>49.998437500000001</v>
      </c>
      <c r="Z2385">
        <f>ABS((Y2385-H2385)/80*100)</f>
        <v>0</v>
      </c>
      <c r="AH2385">
        <f>H2385-AG2333</f>
        <v>49.993679999999998</v>
      </c>
      <c r="AI2385">
        <f>100*(AH2385-O2385)/80</f>
        <v>-25.005700000000015</v>
      </c>
    </row>
    <row r="2386" spans="1:41" x14ac:dyDescent="0.35">
      <c r="A2386" t="s">
        <v>302</v>
      </c>
      <c r="B2386" t="s">
        <v>1111</v>
      </c>
      <c r="C2386" t="s">
        <v>2245</v>
      </c>
      <c r="D2386">
        <v>85</v>
      </c>
      <c r="E2386">
        <v>85</v>
      </c>
      <c r="F2386">
        <v>1</v>
      </c>
      <c r="G2386">
        <v>1.0000469999999999</v>
      </c>
      <c r="H2386">
        <v>49.998437500000001</v>
      </c>
      <c r="J2386">
        <v>-1</v>
      </c>
      <c r="N2386" t="s">
        <v>207</v>
      </c>
      <c r="O2386">
        <f t="shared" si="111"/>
        <v>90.00188</v>
      </c>
      <c r="P2386">
        <f t="shared" si="112"/>
        <v>-50.004303124999993</v>
      </c>
      <c r="Q2386">
        <f t="shared" si="113"/>
        <v>50.004303124999993</v>
      </c>
      <c r="Y2386">
        <f>TREND(H2382:H2386,G2382:G2386,G2386)</f>
        <v>49.998437500000001</v>
      </c>
      <c r="Z2386">
        <f>ABS((Y2386-H2386)/80*100)</f>
        <v>0</v>
      </c>
      <c r="AH2386">
        <f>H2386-AG2333</f>
        <v>49.993679999999998</v>
      </c>
      <c r="AI2386">
        <f>100*(AH2386-O2386)/80</f>
        <v>-50.010249999999999</v>
      </c>
    </row>
    <row r="2387" spans="1:41" x14ac:dyDescent="0.35">
      <c r="A2387" t="s">
        <v>302</v>
      </c>
      <c r="B2387" t="s">
        <v>1111</v>
      </c>
      <c r="C2387" t="s">
        <v>2281</v>
      </c>
      <c r="D2387">
        <v>85</v>
      </c>
      <c r="E2387">
        <v>85</v>
      </c>
      <c r="F2387">
        <v>0</v>
      </c>
      <c r="G2387">
        <v>-1.22E-4</v>
      </c>
      <c r="H2387">
        <v>49.998437500000001</v>
      </c>
      <c r="J2387">
        <v>-1</v>
      </c>
      <c r="N2387" t="s">
        <v>207</v>
      </c>
      <c r="O2387">
        <f t="shared" si="111"/>
        <v>49.99512</v>
      </c>
      <c r="P2387">
        <f t="shared" si="112"/>
        <v>4.1468750000017707E-3</v>
      </c>
      <c r="Q2387">
        <f t="shared" si="113"/>
        <v>4.1468750000017707E-3</v>
      </c>
      <c r="Y2387">
        <f>TREND(H2382:H2386,G2382:G2386,G2387)</f>
        <v>49.998437500000001</v>
      </c>
      <c r="Z2387">
        <f>ABS((Y2387-H2387)/80*100)</f>
        <v>0</v>
      </c>
      <c r="AH2387">
        <f>H2387-AG2333</f>
        <v>49.993679999999998</v>
      </c>
      <c r="AI2387">
        <f>100*(AH2387-O2387)/80</f>
        <v>-1.8000000000029104E-3</v>
      </c>
    </row>
    <row r="2388" spans="1:41" x14ac:dyDescent="0.35">
      <c r="A2388" t="s">
        <v>302</v>
      </c>
      <c r="B2388" t="s">
        <v>1111</v>
      </c>
      <c r="C2388" t="s">
        <v>2318</v>
      </c>
      <c r="D2388">
        <v>85</v>
      </c>
      <c r="E2388">
        <v>85</v>
      </c>
      <c r="F2388">
        <v>-1</v>
      </c>
      <c r="G2388">
        <v>-1.000065</v>
      </c>
      <c r="H2388">
        <v>49.998437500000001</v>
      </c>
      <c r="J2388">
        <v>-1</v>
      </c>
      <c r="N2388" t="s">
        <v>207</v>
      </c>
      <c r="O2388">
        <f t="shared" si="111"/>
        <v>9.9974000000000007</v>
      </c>
      <c r="P2388">
        <f t="shared" si="112"/>
        <v>50.001296875000001</v>
      </c>
      <c r="Q2388">
        <f t="shared" si="113"/>
        <v>50.001296875000001</v>
      </c>
      <c r="Y2388">
        <f>TREND(H2382:H2386,G2382:G2386,G2388)</f>
        <v>49.998437500000001</v>
      </c>
      <c r="Z2388">
        <f>ABS((Y2388-H2388)/80*100)</f>
        <v>0</v>
      </c>
      <c r="AH2388">
        <f>H2388-AG2333</f>
        <v>49.993679999999998</v>
      </c>
      <c r="AI2388">
        <f>100*(AH2388-O2388)/80</f>
        <v>49.995349999999995</v>
      </c>
    </row>
    <row r="2389" spans="1:41" x14ac:dyDescent="0.35">
      <c r="A2389" t="s">
        <v>302</v>
      </c>
      <c r="B2389" t="s">
        <v>1111</v>
      </c>
      <c r="C2389" t="s">
        <v>2355</v>
      </c>
      <c r="D2389">
        <v>25</v>
      </c>
      <c r="E2389">
        <v>25</v>
      </c>
      <c r="F2389">
        <v>-1</v>
      </c>
      <c r="G2389">
        <v>-1.000162</v>
      </c>
      <c r="H2389">
        <v>49.998437500000001</v>
      </c>
      <c r="J2389">
        <v>-1</v>
      </c>
      <c r="N2389" t="s">
        <v>207</v>
      </c>
      <c r="O2389">
        <f t="shared" si="111"/>
        <v>9.9935200000000002</v>
      </c>
      <c r="P2389">
        <f t="shared" si="112"/>
        <v>50.006146875000006</v>
      </c>
      <c r="Q2389">
        <f t="shared" si="113"/>
        <v>50.006146875000006</v>
      </c>
      <c r="S2389">
        <v>49.998437500000001</v>
      </c>
      <c r="T2389">
        <v>2.6968750000033737E-3</v>
      </c>
      <c r="U2389">
        <v>49.998437500000001</v>
      </c>
      <c r="V2389">
        <v>-50.005853125000009</v>
      </c>
      <c r="W2389">
        <v>-1.5258789076710855E-6</v>
      </c>
      <c r="X2389">
        <f>(W2389-80)/80*100</f>
        <v>-100.00000190734863</v>
      </c>
      <c r="Y2389">
        <f>TREND(H2389:H2393,G2389:G2393,G2389)</f>
        <v>49.998437500000001</v>
      </c>
      <c r="Z2389">
        <f>ABS((Y2389-H2389)/80*100)</f>
        <v>0</v>
      </c>
      <c r="AA2389">
        <f>MAX(Z2389:Z2393)</f>
        <v>0</v>
      </c>
      <c r="AB2389">
        <f>IF(ABS(MAX(P2389:P2395)) &gt; ABS(MIN(P2389:P2395)),MAX(P2389:P2395), MIN(P2389:P2395))</f>
        <v>50.006146875000006</v>
      </c>
      <c r="AC2389">
        <f>IF(ABS(AB2390)&gt;ABS(AB2389),AB2390,AB2389)</f>
        <v>50.006146875000006</v>
      </c>
      <c r="AH2389">
        <f>H2389-AG2333</f>
        <v>49.993679999999998</v>
      </c>
      <c r="AI2389">
        <f>100*(AH2389-O2389)/80</f>
        <v>50.000199999999992</v>
      </c>
      <c r="AJ2389">
        <v>49.993679999999998</v>
      </c>
      <c r="AK2389">
        <v>-3.2500000000013074E-3</v>
      </c>
      <c r="AL2389">
        <v>49.993679999999998</v>
      </c>
      <c r="AM2389">
        <v>-50.011800000000015</v>
      </c>
      <c r="AN2389">
        <f>IF(ABS(MAX(AI2389:AI2395)) &gt; ABS(MIN(AI2389:AI2395)),MAX(AI2389:AI2395), MIN(AI2389:AI2395))</f>
        <v>-50.011800000000015</v>
      </c>
      <c r="AO2389">
        <f>IF(ABS(AN2390)&gt;ABS(AN2389),AN2390,AN2389)</f>
        <v>-50.011800000000015</v>
      </c>
    </row>
    <row r="2390" spans="1:41" x14ac:dyDescent="0.35">
      <c r="A2390" t="s">
        <v>302</v>
      </c>
      <c r="B2390" t="s">
        <v>1111</v>
      </c>
      <c r="C2390" t="s">
        <v>2392</v>
      </c>
      <c r="D2390">
        <v>25</v>
      </c>
      <c r="E2390">
        <v>25</v>
      </c>
      <c r="F2390">
        <v>-0.5</v>
      </c>
      <c r="G2390">
        <v>-0.50047299999999995</v>
      </c>
      <c r="H2390">
        <v>49.998437500000001</v>
      </c>
      <c r="J2390">
        <v>-1</v>
      </c>
      <c r="N2390" t="s">
        <v>207</v>
      </c>
      <c r="O2390">
        <f t="shared" si="111"/>
        <v>29.981080000000002</v>
      </c>
      <c r="P2390">
        <f t="shared" si="112"/>
        <v>25.021696874999996</v>
      </c>
      <c r="Q2390">
        <f t="shared" si="113"/>
        <v>25.021696874999996</v>
      </c>
      <c r="Y2390">
        <f>TREND(H2389:H2393,G2389:G2393,G2390)</f>
        <v>49.998437500000001</v>
      </c>
      <c r="Z2390">
        <f>ABS((Y2390-H2390)/80*100)</f>
        <v>0</v>
      </c>
      <c r="AB2390">
        <f>IF(ABS(T2389) &gt; ABS(V2389),T2389,V2389)</f>
        <v>-50.005853125000009</v>
      </c>
      <c r="AH2390">
        <f>H2390-AG2333</f>
        <v>49.993679999999998</v>
      </c>
      <c r="AI2390">
        <f>100*(AH2390-O2390)/80</f>
        <v>25.015749999999993</v>
      </c>
      <c r="AN2390">
        <f>IF(ABS(AK2389) &gt; ABS(AM2389),AK2389,AM2389)</f>
        <v>-50.011800000000015</v>
      </c>
    </row>
    <row r="2391" spans="1:41" x14ac:dyDescent="0.35">
      <c r="A2391" t="s">
        <v>302</v>
      </c>
      <c r="B2391" t="s">
        <v>1111</v>
      </c>
      <c r="C2391" t="s">
        <v>2428</v>
      </c>
      <c r="D2391">
        <v>25</v>
      </c>
      <c r="E2391">
        <v>25</v>
      </c>
      <c r="F2391">
        <v>0</v>
      </c>
      <c r="G2391">
        <v>-9.2999999999999997E-5</v>
      </c>
      <c r="H2391">
        <v>49.998437500000001</v>
      </c>
      <c r="J2391">
        <v>-1</v>
      </c>
      <c r="N2391" t="s">
        <v>207</v>
      </c>
      <c r="O2391">
        <f t="shared" si="111"/>
        <v>49.996279999999999</v>
      </c>
      <c r="P2391">
        <f t="shared" si="112"/>
        <v>2.6968750000033737E-3</v>
      </c>
      <c r="Q2391">
        <f t="shared" si="113"/>
        <v>2.6968750000033737E-3</v>
      </c>
      <c r="Y2391">
        <f>TREND(H2389:H2393,G2389:G2393,G2391)</f>
        <v>49.998437500000001</v>
      </c>
      <c r="Z2391">
        <f>ABS((Y2391-H2391)/80*100)</f>
        <v>0</v>
      </c>
      <c r="AH2391">
        <f>H2391-AG2333</f>
        <v>49.993679999999998</v>
      </c>
      <c r="AI2391">
        <f>100*(AH2391-O2391)/80</f>
        <v>-3.2500000000013074E-3</v>
      </c>
    </row>
    <row r="2392" spans="1:41" x14ac:dyDescent="0.35">
      <c r="A2392" t="s">
        <v>302</v>
      </c>
      <c r="B2392" t="s">
        <v>1111</v>
      </c>
      <c r="C2392" t="s">
        <v>2465</v>
      </c>
      <c r="D2392">
        <v>25</v>
      </c>
      <c r="E2392">
        <v>25</v>
      </c>
      <c r="F2392">
        <v>0.5</v>
      </c>
      <c r="G2392">
        <v>0.49999199999999999</v>
      </c>
      <c r="H2392">
        <v>49.998437500000001</v>
      </c>
      <c r="J2392">
        <v>-1</v>
      </c>
      <c r="N2392" t="s">
        <v>207</v>
      </c>
      <c r="O2392">
        <f t="shared" si="111"/>
        <v>69.999679999999998</v>
      </c>
      <c r="P2392">
        <f t="shared" si="112"/>
        <v>-25.001553124999994</v>
      </c>
      <c r="Q2392">
        <f t="shared" si="113"/>
        <v>25.001553124999994</v>
      </c>
      <c r="Y2392">
        <f>TREND(H2389:H2393,G2389:G2393,G2392)</f>
        <v>49.998437500000001</v>
      </c>
      <c r="Z2392">
        <f>ABS((Y2392-H2392)/80*100)</f>
        <v>0</v>
      </c>
      <c r="AH2392">
        <f>H2392-AG2333</f>
        <v>49.993679999999998</v>
      </c>
      <c r="AI2392">
        <f>100*(AH2392-O2392)/80</f>
        <v>-25.0075</v>
      </c>
    </row>
    <row r="2393" spans="1:41" x14ac:dyDescent="0.35">
      <c r="A2393" t="s">
        <v>302</v>
      </c>
      <c r="B2393" t="s">
        <v>1111</v>
      </c>
      <c r="C2393" t="s">
        <v>2502</v>
      </c>
      <c r="D2393">
        <v>25</v>
      </c>
      <c r="E2393">
        <v>24.9</v>
      </c>
      <c r="F2393">
        <v>1</v>
      </c>
      <c r="G2393">
        <v>1.000078</v>
      </c>
      <c r="H2393">
        <v>49.998437500000001</v>
      </c>
      <c r="J2393">
        <v>-1</v>
      </c>
      <c r="N2393" t="s">
        <v>207</v>
      </c>
      <c r="O2393">
        <f t="shared" si="111"/>
        <v>90.00312000000001</v>
      </c>
      <c r="P2393">
        <f t="shared" si="112"/>
        <v>-50.005853125000009</v>
      </c>
      <c r="Q2393">
        <f t="shared" si="113"/>
        <v>50.005853125000009</v>
      </c>
      <c r="Y2393">
        <f>TREND(H2389:H2393,G2389:G2393,G2393)</f>
        <v>49.998437500000001</v>
      </c>
      <c r="Z2393">
        <f>ABS((Y2393-H2393)/80*100)</f>
        <v>0</v>
      </c>
      <c r="AH2393">
        <f>H2393-AG2333</f>
        <v>49.993679999999998</v>
      </c>
      <c r="AI2393">
        <f>100*(AH2393-O2393)/80</f>
        <v>-50.011800000000015</v>
      </c>
    </row>
    <row r="2394" spans="1:41" x14ac:dyDescent="0.35">
      <c r="A2394" t="s">
        <v>302</v>
      </c>
      <c r="B2394" t="s">
        <v>1111</v>
      </c>
      <c r="C2394" t="s">
        <v>2539</v>
      </c>
      <c r="D2394">
        <v>25</v>
      </c>
      <c r="E2394">
        <v>25</v>
      </c>
      <c r="F2394">
        <v>0</v>
      </c>
      <c r="G2394">
        <v>-4.1999999999999998E-5</v>
      </c>
      <c r="H2394">
        <v>49.998437500000001</v>
      </c>
      <c r="J2394">
        <v>-1</v>
      </c>
      <c r="N2394" t="s">
        <v>207</v>
      </c>
      <c r="O2394">
        <f t="shared" si="111"/>
        <v>49.99832</v>
      </c>
      <c r="P2394">
        <f t="shared" si="112"/>
        <v>1.4687500000221121E-4</v>
      </c>
      <c r="Q2394">
        <f t="shared" si="113"/>
        <v>1.4687500000221121E-4</v>
      </c>
      <c r="Y2394">
        <f>TREND(H2389:H2393,G2389:G2393,G2394)</f>
        <v>49.998437500000001</v>
      </c>
      <c r="Z2394">
        <f>ABS((Y2394-H2394)/80*100)</f>
        <v>0</v>
      </c>
      <c r="AH2394">
        <f>H2394-AG2333</f>
        <v>49.993679999999998</v>
      </c>
      <c r="AI2394">
        <f>100*(AH2394-O2394)/80</f>
        <v>-5.8000000000024698E-3</v>
      </c>
    </row>
    <row r="2395" spans="1:41" x14ac:dyDescent="0.35">
      <c r="A2395" t="s">
        <v>302</v>
      </c>
      <c r="B2395" t="s">
        <v>1111</v>
      </c>
      <c r="C2395" t="s">
        <v>2573</v>
      </c>
      <c r="D2395">
        <v>25</v>
      </c>
      <c r="E2395">
        <v>25</v>
      </c>
      <c r="F2395">
        <v>-1</v>
      </c>
      <c r="G2395">
        <v>-0.999884</v>
      </c>
      <c r="H2395">
        <v>49.998437500000001</v>
      </c>
      <c r="J2395">
        <v>-1</v>
      </c>
      <c r="N2395" t="s">
        <v>207</v>
      </c>
      <c r="O2395">
        <f t="shared" si="111"/>
        <v>10.00464</v>
      </c>
      <c r="P2395">
        <f t="shared" si="112"/>
        <v>49.992246874999999</v>
      </c>
      <c r="Q2395">
        <f t="shared" si="113"/>
        <v>49.992246874999999</v>
      </c>
      <c r="Y2395">
        <f>TREND(H2389:H2393,G2389:G2393,G2395)</f>
        <v>49.998437500000001</v>
      </c>
      <c r="Z2395">
        <f>ABS((Y2395-H2395)/80*100)</f>
        <v>0</v>
      </c>
      <c r="AH2395">
        <f>H2395-AG2333</f>
        <v>49.993679999999998</v>
      </c>
      <c r="AI2395">
        <f>100*(AH2395-O2395)/80</f>
        <v>49.986299999999993</v>
      </c>
    </row>
    <row r="2396" spans="1:41" x14ac:dyDescent="0.35">
      <c r="A2396" t="s">
        <v>304</v>
      </c>
      <c r="B2396" t="s">
        <v>231</v>
      </c>
      <c r="C2396" t="s">
        <v>305</v>
      </c>
      <c r="D2396">
        <v>25</v>
      </c>
      <c r="E2396">
        <v>25</v>
      </c>
      <c r="F2396">
        <v>-1</v>
      </c>
      <c r="G2396">
        <v>-0.99994899999999998</v>
      </c>
      <c r="H2396">
        <v>10.0328125</v>
      </c>
      <c r="J2396">
        <v>-6299</v>
      </c>
      <c r="N2396" t="s">
        <v>208</v>
      </c>
      <c r="O2396">
        <f t="shared" si="111"/>
        <v>10.002040000000001</v>
      </c>
      <c r="P2396">
        <f t="shared" si="112"/>
        <v>3.8465624999999282E-2</v>
      </c>
      <c r="Q2396">
        <f t="shared" si="113"/>
        <v>3.8465624999999282E-2</v>
      </c>
      <c r="S2396">
        <v>49.896875000000001</v>
      </c>
      <c r="T2396">
        <v>-0.11330625000000261</v>
      </c>
      <c r="U2396">
        <v>90.167187499999997</v>
      </c>
      <c r="V2396">
        <v>0.21188437499999324</v>
      </c>
      <c r="W2396">
        <v>80.134378051757807</v>
      </c>
      <c r="X2396">
        <f>(W2396-80)/80*100</f>
        <v>0.16797256469725852</v>
      </c>
      <c r="Y2396">
        <f>TREND(H2396:H2400,G2396:G2400,G2396)</f>
        <v>9.9232400134712719</v>
      </c>
      <c r="Z2396">
        <f>ABS((Y2396-H2396)/80*100)</f>
        <v>0.13696560816091052</v>
      </c>
      <c r="AA2396">
        <f>MAX(Z2396:Z2400)</f>
        <v>0.14734317959013588</v>
      </c>
      <c r="AB2396">
        <f>IF(ABS(MAX(P2396:P2402)) &gt; ABS(MIN(P2396:P2402)),MAX(P2396:P2402), MIN(P2396:P2402))</f>
        <v>50.013199999999998</v>
      </c>
      <c r="AC2396">
        <f>IF(ABS(AB2397)&gt;ABS(AB2396),AB2397,AB2396)</f>
        <v>50.013199999999998</v>
      </c>
      <c r="AD2396">
        <f>MAX(AD2397:AD2398)</f>
        <v>49.974734374999997</v>
      </c>
      <c r="AE2396">
        <f>MAX(AE2397:AE2417)</f>
        <v>50.144206249999996</v>
      </c>
      <c r="AF2396">
        <f>MAX(AD2396,AA2396)</f>
        <v>49.974734374999997</v>
      </c>
      <c r="AG2396">
        <f>H2398-O2398</f>
        <v>-9.0645000000002085E-2</v>
      </c>
      <c r="AH2396">
        <f>H2396-AG2396</f>
        <v>10.123457500000002</v>
      </c>
      <c r="AI2396">
        <f>100*(AH2396-O2396)/80</f>
        <v>0.15177187500000189</v>
      </c>
      <c r="AJ2396">
        <v>49.987520000000004</v>
      </c>
      <c r="AK2396">
        <v>0</v>
      </c>
      <c r="AL2396">
        <v>90.257832500000006</v>
      </c>
      <c r="AM2396">
        <v>0.32519062500000473</v>
      </c>
      <c r="AN2396">
        <f>IF(ABS(MAX(AI2396:AI2402)) &gt; ABS(MIN(AI2396:AI2402)),MAX(AI2396:AI2402), MIN(AI2396:AI2402))</f>
        <v>50.126506250000013</v>
      </c>
      <c r="AO2396">
        <f>IF(ABS(AN2397)&gt;ABS(AN2396),AN2397,AN2396)</f>
        <v>50.126506250000013</v>
      </c>
    </row>
    <row r="2397" spans="1:41" x14ac:dyDescent="0.35">
      <c r="A2397" t="s">
        <v>304</v>
      </c>
      <c r="B2397" t="s">
        <v>231</v>
      </c>
      <c r="C2397" t="s">
        <v>343</v>
      </c>
      <c r="D2397">
        <v>25</v>
      </c>
      <c r="E2397">
        <v>25</v>
      </c>
      <c r="F2397">
        <v>-0.5</v>
      </c>
      <c r="G2397">
        <v>-0.50002500000000005</v>
      </c>
      <c r="H2397">
        <v>29.885937500000001</v>
      </c>
      <c r="J2397">
        <v>-6297</v>
      </c>
      <c r="N2397" t="s">
        <v>208</v>
      </c>
      <c r="O2397">
        <f t="shared" si="111"/>
        <v>29.998999999999999</v>
      </c>
      <c r="P2397">
        <f t="shared" si="112"/>
        <v>-0.14132812499999758</v>
      </c>
      <c r="Q2397">
        <f t="shared" si="113"/>
        <v>0.14132812499999758</v>
      </c>
      <c r="Y2397">
        <f>TREND(H2396:H2400,G2396:G2400,G2397)</f>
        <v>29.973225968749158</v>
      </c>
      <c r="Z2397">
        <f>ABS((Y2397-H2397)/80*100)</f>
        <v>0.10911058593644717</v>
      </c>
      <c r="AB2397">
        <f>IF(ABS(T2396) &gt; ABS(V2396),T2396,V2396)</f>
        <v>0.21188437499999324</v>
      </c>
      <c r="AD2397">
        <f>ABS(P2398-P2401)</f>
        <v>0.15596562500000744</v>
      </c>
      <c r="AE2397">
        <f>ABS(P2424-P2396)</f>
        <v>0.29287187500000256</v>
      </c>
      <c r="AH2397">
        <f>H2397-AG2396</f>
        <v>29.976582500000003</v>
      </c>
      <c r="AI2397">
        <f>100*(AH2397-O2397)/80</f>
        <v>-2.8021874999994978E-2</v>
      </c>
      <c r="AN2397">
        <f>IF(ABS(AK2396) &gt; ABS(AM2396),AK2396,AM2396)</f>
        <v>0.32519062500000473</v>
      </c>
    </row>
    <row r="2398" spans="1:41" x14ac:dyDescent="0.35">
      <c r="A2398" t="s">
        <v>304</v>
      </c>
      <c r="B2398" t="s">
        <v>231</v>
      </c>
      <c r="C2398" t="s">
        <v>379</v>
      </c>
      <c r="D2398">
        <v>25</v>
      </c>
      <c r="E2398">
        <v>25</v>
      </c>
      <c r="F2398">
        <v>0</v>
      </c>
      <c r="G2398">
        <v>-3.1199999999999999E-4</v>
      </c>
      <c r="H2398">
        <v>49.896875000000001</v>
      </c>
      <c r="J2398">
        <v>-6299</v>
      </c>
      <c r="N2398" t="s">
        <v>208</v>
      </c>
      <c r="O2398">
        <f t="shared" si="111"/>
        <v>49.987520000000004</v>
      </c>
      <c r="P2398">
        <f t="shared" si="112"/>
        <v>-0.11330625000000261</v>
      </c>
      <c r="Q2398">
        <f t="shared" si="113"/>
        <v>0.11330625000000261</v>
      </c>
      <c r="Y2398">
        <f>TREND(H2396:H2400,G2396:G2400,G2398)</f>
        <v>50.01474954367211</v>
      </c>
      <c r="Z2398">
        <f>ABS((Y2398-H2398)/80*100)</f>
        <v>0.14734317959013588</v>
      </c>
      <c r="AD2398">
        <f>ABS(P2396-P2402)</f>
        <v>49.974734374999997</v>
      </c>
      <c r="AE2398">
        <f>ABS(P2425-P2397)</f>
        <v>0.20477187500000049</v>
      </c>
      <c r="AH2398">
        <f>H2398-AG2396</f>
        <v>49.987520000000004</v>
      </c>
      <c r="AI2398">
        <f>100*(AH2398-O2398)/80</f>
        <v>0</v>
      </c>
    </row>
    <row r="2399" spans="1:41" x14ac:dyDescent="0.35">
      <c r="A2399" t="s">
        <v>304</v>
      </c>
      <c r="B2399" t="s">
        <v>231</v>
      </c>
      <c r="C2399" t="s">
        <v>416</v>
      </c>
      <c r="D2399">
        <v>25</v>
      </c>
      <c r="E2399">
        <v>25</v>
      </c>
      <c r="F2399">
        <v>0.5</v>
      </c>
      <c r="G2399">
        <v>0.49998399999999998</v>
      </c>
      <c r="H2399">
        <v>70.139062499999994</v>
      </c>
      <c r="J2399">
        <v>-6306</v>
      </c>
      <c r="N2399" t="s">
        <v>208</v>
      </c>
      <c r="O2399">
        <f t="shared" si="111"/>
        <v>69.999359999999996</v>
      </c>
      <c r="P2399">
        <f t="shared" si="112"/>
        <v>0.17462812499999814</v>
      </c>
      <c r="Q2399">
        <f t="shared" si="113"/>
        <v>0.17462812499999814</v>
      </c>
      <c r="Y2399">
        <f>TREND(H2396:H2400,G2396:G2400,G2399)</f>
        <v>70.079654956258238</v>
      </c>
      <c r="Z2399">
        <f>ABS((Y2399-H2399)/80*100)</f>
        <v>7.4259429677194788E-2</v>
      </c>
      <c r="AE2399">
        <f>ABS(P2426-P2398)</f>
        <v>0.17850937500000441</v>
      </c>
      <c r="AH2399">
        <f>H2399-AG2396</f>
        <v>70.229707499999989</v>
      </c>
      <c r="AI2399">
        <f>100*(AH2399-O2399)/80</f>
        <v>0.28793437499999186</v>
      </c>
    </row>
    <row r="2400" spans="1:41" x14ac:dyDescent="0.35">
      <c r="A2400" t="s">
        <v>304</v>
      </c>
      <c r="B2400" t="s">
        <v>231</v>
      </c>
      <c r="C2400" t="s">
        <v>453</v>
      </c>
      <c r="D2400">
        <v>25</v>
      </c>
      <c r="E2400">
        <v>25</v>
      </c>
      <c r="F2400">
        <v>1</v>
      </c>
      <c r="G2400">
        <v>0.999942</v>
      </c>
      <c r="H2400">
        <v>90.167187499999997</v>
      </c>
      <c r="J2400">
        <v>-6301</v>
      </c>
      <c r="N2400" t="s">
        <v>208</v>
      </c>
      <c r="O2400">
        <f t="shared" si="111"/>
        <v>89.997680000000003</v>
      </c>
      <c r="P2400">
        <f t="shared" si="112"/>
        <v>0.21188437499999324</v>
      </c>
      <c r="Q2400">
        <f t="shared" si="113"/>
        <v>0.21188437499999324</v>
      </c>
      <c r="Y2400">
        <f>TREND(H2396:H2400,G2396:G2400,G2400)</f>
        <v>90.131004517849249</v>
      </c>
      <c r="Z2400">
        <f>ABS((Y2400-H2400)/80*100)</f>
        <v>4.5228727688435555E-2</v>
      </c>
      <c r="AE2400">
        <f>ABS(P2427-P2399)</f>
        <v>6.5334374999999056E-2</v>
      </c>
      <c r="AH2400">
        <f>H2400-AG2396</f>
        <v>90.257832500000006</v>
      </c>
      <c r="AI2400">
        <f>100*(AH2400-O2400)/80</f>
        <v>0.32519062500000473</v>
      </c>
    </row>
    <row r="2401" spans="1:41" x14ac:dyDescent="0.35">
      <c r="A2401" t="s">
        <v>304</v>
      </c>
      <c r="B2401" t="s">
        <v>231</v>
      </c>
      <c r="C2401" t="s">
        <v>490</v>
      </c>
      <c r="D2401">
        <v>25</v>
      </c>
      <c r="E2401">
        <v>25</v>
      </c>
      <c r="F2401">
        <v>0</v>
      </c>
      <c r="G2401">
        <v>-1.11E-4</v>
      </c>
      <c r="H2401">
        <v>50.029687500000001</v>
      </c>
      <c r="J2401">
        <v>-6301</v>
      </c>
      <c r="N2401" t="s">
        <v>208</v>
      </c>
      <c r="O2401">
        <f t="shared" si="111"/>
        <v>49.995559999999998</v>
      </c>
      <c r="P2401">
        <f t="shared" si="112"/>
        <v>4.2659375000004829E-2</v>
      </c>
      <c r="Q2401">
        <f t="shared" si="113"/>
        <v>4.2659375000004829E-2</v>
      </c>
      <c r="Y2401">
        <f>TREND(H2396:H2400,G2396:G2400,G2401)</f>
        <v>50.02281086334672</v>
      </c>
      <c r="Z2401">
        <f>ABS((Y2401-H2401)/80*100)</f>
        <v>8.5957958166016368E-3</v>
      </c>
      <c r="AE2401">
        <f>ABS(P2428-P2400)</f>
        <v>0.12586562500002785</v>
      </c>
      <c r="AH2401">
        <f>H2401-AG2396</f>
        <v>50.120332500000004</v>
      </c>
      <c r="AI2401">
        <f>100*(AH2401-O2401)/80</f>
        <v>0.15596562500000744</v>
      </c>
    </row>
    <row r="2402" spans="1:41" x14ac:dyDescent="0.35">
      <c r="A2402" t="s">
        <v>304</v>
      </c>
      <c r="B2402" t="s">
        <v>231</v>
      </c>
      <c r="C2402" t="s">
        <v>527</v>
      </c>
      <c r="D2402">
        <v>25</v>
      </c>
      <c r="E2402">
        <v>25</v>
      </c>
      <c r="F2402">
        <v>-1</v>
      </c>
      <c r="G2402">
        <v>-1.000264</v>
      </c>
      <c r="H2402">
        <v>50</v>
      </c>
      <c r="J2402">
        <v>-6297</v>
      </c>
      <c r="N2402" t="s">
        <v>208</v>
      </c>
      <c r="O2402">
        <f t="shared" si="111"/>
        <v>9.9894399999999983</v>
      </c>
      <c r="P2402">
        <f t="shared" si="112"/>
        <v>50.013199999999998</v>
      </c>
      <c r="Q2402">
        <f t="shared" si="113"/>
        <v>50.013199999999998</v>
      </c>
      <c r="Y2402">
        <f>TREND(H2396:H2400,G2396:G2400,G2402)</f>
        <v>9.9106066020409074</v>
      </c>
      <c r="Z2402">
        <f>ABS((Y2402-H2402)/80*100)</f>
        <v>50.111741747448868</v>
      </c>
      <c r="AE2402">
        <f>ABS(P2429-P2401)</f>
        <v>0.11808750000000146</v>
      </c>
      <c r="AH2402">
        <f>H2402-AG2396</f>
        <v>50.090645000000002</v>
      </c>
      <c r="AI2402">
        <f>100*(AH2402-O2402)/80</f>
        <v>50.126506250000013</v>
      </c>
    </row>
    <row r="2403" spans="1:41" x14ac:dyDescent="0.35">
      <c r="A2403" t="s">
        <v>304</v>
      </c>
      <c r="B2403" t="s">
        <v>231</v>
      </c>
      <c r="C2403" t="s">
        <v>564</v>
      </c>
      <c r="D2403">
        <v>-20</v>
      </c>
      <c r="E2403">
        <v>-20.100000000000001</v>
      </c>
      <c r="F2403">
        <v>-1</v>
      </c>
      <c r="G2403">
        <v>-1.0000530000000001</v>
      </c>
      <c r="H2403">
        <v>10.104687500000001</v>
      </c>
      <c r="J2403">
        <v>-24981</v>
      </c>
      <c r="N2403" t="s">
        <v>208</v>
      </c>
      <c r="O2403">
        <f t="shared" si="111"/>
        <v>9.9978799999999968</v>
      </c>
      <c r="P2403">
        <f t="shared" si="112"/>
        <v>0.13350937500000493</v>
      </c>
      <c r="Q2403">
        <f t="shared" si="113"/>
        <v>0.13350937500000493</v>
      </c>
      <c r="S2403">
        <v>49.996875000000003</v>
      </c>
      <c r="T2403">
        <v>2.1493750000001199E-2</v>
      </c>
      <c r="U2403">
        <v>90.214062499999997</v>
      </c>
      <c r="V2403">
        <v>0.27152812499998902</v>
      </c>
      <c r="W2403">
        <v>80.109378051757815</v>
      </c>
      <c r="X2403">
        <f>(W2403-80)/80*100</f>
        <v>0.13672256469726918</v>
      </c>
      <c r="Y2403">
        <f>TREND(H2403:H2407,G2403:G2407,G2403)</f>
        <v>9.9761410701576381</v>
      </c>
      <c r="Z2403">
        <f>ABS((Y2403-H2403)/80*100)</f>
        <v>0.1606830373029533</v>
      </c>
      <c r="AA2403">
        <f>MAX(Z2403:Z2407)</f>
        <v>0.16884906114122966</v>
      </c>
      <c r="AB2403">
        <f>IF(ABS(MAX(P2403:P2409)) &gt; ABS(MIN(P2403:P2409)),MAX(P2403:P2409), MIN(P2403:P2409))</f>
        <v>0.27152812499998902</v>
      </c>
      <c r="AC2403">
        <f>IF(ABS(AB2404)&gt;ABS(AB2403),AB2404,AB2403)</f>
        <v>0.27152812499998902</v>
      </c>
      <c r="AE2403">
        <f>ABS(P2430-P2402)</f>
        <v>49.780184374999997</v>
      </c>
      <c r="AH2403">
        <f>H2403-AG2396</f>
        <v>10.195332500000003</v>
      </c>
      <c r="AI2403">
        <f>100*(AH2403-O2403)/80</f>
        <v>0.24681562500000753</v>
      </c>
      <c r="AJ2403">
        <v>50.087520000000005</v>
      </c>
      <c r="AK2403">
        <v>0.13480000000000381</v>
      </c>
      <c r="AL2403">
        <v>90.304707500000006</v>
      </c>
      <c r="AM2403">
        <v>0.38483437500000051</v>
      </c>
      <c r="AN2403">
        <f>IF(ABS(MAX(AI2403:AI2409)) &gt; ABS(MIN(AI2403:AI2409)),MAX(AI2403:AI2409), MIN(AI2403:AI2409))</f>
        <v>0.38483437500000051</v>
      </c>
      <c r="AO2403">
        <f>IF(ABS(AN2404)&gt;ABS(AN2403),AN2404,AN2403)</f>
        <v>0.38483437500000051</v>
      </c>
    </row>
    <row r="2404" spans="1:41" x14ac:dyDescent="0.35">
      <c r="A2404" t="s">
        <v>304</v>
      </c>
      <c r="B2404" t="s">
        <v>231</v>
      </c>
      <c r="C2404" t="s">
        <v>601</v>
      </c>
      <c r="D2404">
        <v>-20</v>
      </c>
      <c r="E2404">
        <v>-19.899999999999999</v>
      </c>
      <c r="F2404">
        <v>-0.5</v>
      </c>
      <c r="G2404">
        <v>-0.500027</v>
      </c>
      <c r="H2404">
        <v>29.884374999999999</v>
      </c>
      <c r="J2404">
        <v>-24975</v>
      </c>
      <c r="N2404" t="s">
        <v>208</v>
      </c>
      <c r="O2404">
        <f t="shared" si="111"/>
        <v>29.998919999999998</v>
      </c>
      <c r="P2404">
        <f t="shared" si="112"/>
        <v>-0.14318124999999959</v>
      </c>
      <c r="Q2404">
        <f t="shared" si="113"/>
        <v>0.14318124999999959</v>
      </c>
      <c r="Y2404">
        <f>TREND(H2403:H2407,G2403:G2407,G2404)</f>
        <v>30.019454248912982</v>
      </c>
      <c r="Z2404">
        <f>ABS((Y2404-H2404)/80*100)</f>
        <v>0.16884906114122966</v>
      </c>
      <c r="AB2404">
        <f>IF(ABS(T2403) &gt; ABS(V2403),T2403,V2403)</f>
        <v>0.27152812499998902</v>
      </c>
      <c r="AE2404">
        <f>ABS(P2452-P2396)</f>
        <v>8.3256249999996701E-2</v>
      </c>
      <c r="AH2404">
        <f>H2404-AG2396</f>
        <v>29.975020000000001</v>
      </c>
      <c r="AI2404">
        <f>100*(AH2404-O2404)/80</f>
        <v>-2.9874999999996987E-2</v>
      </c>
      <c r="AN2404">
        <f>IF(ABS(AK2403) &gt; ABS(AM2403),AK2403,AM2403)</f>
        <v>0.38483437500000051</v>
      </c>
    </row>
    <row r="2405" spans="1:41" x14ac:dyDescent="0.35">
      <c r="A2405" t="s">
        <v>304</v>
      </c>
      <c r="B2405" t="s">
        <v>231</v>
      </c>
      <c r="C2405" t="s">
        <v>637</v>
      </c>
      <c r="D2405">
        <v>-20</v>
      </c>
      <c r="E2405">
        <v>-20</v>
      </c>
      <c r="F2405">
        <v>0</v>
      </c>
      <c r="G2405">
        <v>-5.0799999999999999E-4</v>
      </c>
      <c r="H2405">
        <v>49.996875000000003</v>
      </c>
      <c r="J2405">
        <v>-24996</v>
      </c>
      <c r="N2405" t="s">
        <v>208</v>
      </c>
      <c r="O2405">
        <f t="shared" si="111"/>
        <v>49.979680000000002</v>
      </c>
      <c r="P2405">
        <f t="shared" si="112"/>
        <v>2.1493750000001199E-2</v>
      </c>
      <c r="Q2405">
        <f t="shared" si="113"/>
        <v>2.1493750000001199E-2</v>
      </c>
      <c r="Y2405">
        <f>TREND(H2403:H2407,G2403:G2407,G2405)</f>
        <v>50.042444564893927</v>
      </c>
      <c r="Z2405">
        <f>ABS((Y2405-H2405)/80*100)</f>
        <v>5.6961956117405066E-2</v>
      </c>
      <c r="AE2405">
        <f>ABS(P2453-P2397)</f>
        <v>7.1743750000003992E-2</v>
      </c>
      <c r="AH2405">
        <f>H2405-AG2396</f>
        <v>50.087520000000005</v>
      </c>
      <c r="AI2405">
        <f>100*(AH2405-O2405)/80</f>
        <v>0.13480000000000381</v>
      </c>
    </row>
    <row r="2406" spans="1:41" x14ac:dyDescent="0.35">
      <c r="A2406" t="s">
        <v>304</v>
      </c>
      <c r="B2406" t="s">
        <v>231</v>
      </c>
      <c r="C2406" t="s">
        <v>673</v>
      </c>
      <c r="D2406">
        <v>-20</v>
      </c>
      <c r="E2406">
        <v>-20</v>
      </c>
      <c r="F2406">
        <v>0.5</v>
      </c>
      <c r="G2406">
        <v>0.49992700000000001</v>
      </c>
      <c r="H2406">
        <v>70.084374999999994</v>
      </c>
      <c r="J2406">
        <v>-24981</v>
      </c>
      <c r="N2406" t="s">
        <v>208</v>
      </c>
      <c r="O2406">
        <f t="shared" si="111"/>
        <v>69.997079999999997</v>
      </c>
      <c r="P2406">
        <f t="shared" si="112"/>
        <v>0.10911874999999682</v>
      </c>
      <c r="Q2406">
        <f t="shared" si="113"/>
        <v>0.10911874999999682</v>
      </c>
      <c r="Y2406">
        <f>TREND(H2403:H2407,G2403:G2407,G2406)</f>
        <v>70.102152321311451</v>
      </c>
      <c r="Z2406">
        <f>ABS((Y2406-H2406)/80*100)</f>
        <v>2.2221651639320328E-2</v>
      </c>
      <c r="AE2406">
        <f>ABS(P2454-P2398)</f>
        <v>5.2509374999996083E-2</v>
      </c>
      <c r="AH2406">
        <f>H2406-AG2396</f>
        <v>70.175019999999989</v>
      </c>
      <c r="AI2406">
        <f>100*(AH2406-O2406)/80</f>
        <v>0.22242499999999055</v>
      </c>
    </row>
    <row r="2407" spans="1:41" x14ac:dyDescent="0.35">
      <c r="A2407" t="s">
        <v>304</v>
      </c>
      <c r="B2407" t="s">
        <v>231</v>
      </c>
      <c r="C2407" t="s">
        <v>710</v>
      </c>
      <c r="D2407">
        <v>-20</v>
      </c>
      <c r="E2407">
        <v>-20</v>
      </c>
      <c r="F2407">
        <v>1</v>
      </c>
      <c r="G2407">
        <v>0.99992099999999995</v>
      </c>
      <c r="H2407">
        <v>90.214062499999997</v>
      </c>
      <c r="J2407">
        <v>-24981</v>
      </c>
      <c r="N2407" t="s">
        <v>208</v>
      </c>
      <c r="O2407">
        <f t="shared" si="111"/>
        <v>89.996840000000006</v>
      </c>
      <c r="P2407">
        <f t="shared" si="112"/>
        <v>0.27152812499998902</v>
      </c>
      <c r="Q2407">
        <f t="shared" si="113"/>
        <v>0.27152812499998902</v>
      </c>
      <c r="Y2407">
        <f>TREND(H2403:H2407,G2403:G2407,G2407)</f>
        <v>90.144182794724031</v>
      </c>
      <c r="Z2407">
        <f>ABS((Y2407-H2407)/80*100)</f>
        <v>8.7349631594957344E-2</v>
      </c>
      <c r="AE2407">
        <f>ABS(P2455-P2399)</f>
        <v>8.2284374999996857E-2</v>
      </c>
      <c r="AH2407">
        <f>H2407-AG2396</f>
        <v>90.304707500000006</v>
      </c>
      <c r="AI2407">
        <f>100*(AH2407-O2407)/80</f>
        <v>0.38483437500000051</v>
      </c>
    </row>
    <row r="2408" spans="1:41" x14ac:dyDescent="0.35">
      <c r="A2408" t="s">
        <v>304</v>
      </c>
      <c r="B2408" t="s">
        <v>231</v>
      </c>
      <c r="C2408" t="s">
        <v>746</v>
      </c>
      <c r="D2408">
        <v>-20</v>
      </c>
      <c r="E2408">
        <v>-19.899999999999999</v>
      </c>
      <c r="F2408">
        <v>0</v>
      </c>
      <c r="G2408">
        <v>2.8E-5</v>
      </c>
      <c r="H2408">
        <v>49.903125000000003</v>
      </c>
      <c r="J2408">
        <v>-24992</v>
      </c>
      <c r="N2408" t="s">
        <v>208</v>
      </c>
      <c r="O2408">
        <f t="shared" si="111"/>
        <v>50.00112</v>
      </c>
      <c r="P2408">
        <f t="shared" si="112"/>
        <v>-0.12249374999999674</v>
      </c>
      <c r="Q2408">
        <f t="shared" si="113"/>
        <v>0.12249374999999674</v>
      </c>
      <c r="Y2408">
        <f>TREND(H2403:H2407,G2403:G2407,G2408)</f>
        <v>50.063929879385199</v>
      </c>
      <c r="Z2408">
        <f>ABS((Y2408-H2408)/80*100)</f>
        <v>0.20100609923149548</v>
      </c>
      <c r="AE2408">
        <f>ABS(P2456-P2400)</f>
        <v>0.22069375000000946</v>
      </c>
      <c r="AH2408">
        <f>H2408-AG2396</f>
        <v>49.993770000000005</v>
      </c>
      <c r="AI2408">
        <f>100*(AH2408-O2408)/80</f>
        <v>-9.1874999999941309E-3</v>
      </c>
    </row>
    <row r="2409" spans="1:41" x14ac:dyDescent="0.35">
      <c r="A2409" t="s">
        <v>304</v>
      </c>
      <c r="B2409" t="s">
        <v>231</v>
      </c>
      <c r="C2409" t="s">
        <v>782</v>
      </c>
      <c r="D2409">
        <v>-20</v>
      </c>
      <c r="E2409">
        <v>-20.100000000000001</v>
      </c>
      <c r="F2409">
        <v>-1</v>
      </c>
      <c r="G2409">
        <v>-1.0000690000000001</v>
      </c>
      <c r="H2409">
        <v>10.0765625</v>
      </c>
      <c r="J2409">
        <v>-25011</v>
      </c>
      <c r="N2409" t="s">
        <v>208</v>
      </c>
      <c r="O2409">
        <f t="shared" si="111"/>
        <v>9.9972399999999961</v>
      </c>
      <c r="P2409">
        <f t="shared" si="112"/>
        <v>9.9153125000004394E-2</v>
      </c>
      <c r="Q2409">
        <f t="shared" si="113"/>
        <v>9.9153125000004394E-2</v>
      </c>
      <c r="Y2409">
        <f>TREND(H2403:H2407,G2403:G2407,G2409)</f>
        <v>9.9754997174862581</v>
      </c>
      <c r="Z2409">
        <f>ABS((Y2409-H2409)/80*100)</f>
        <v>0.12632847814217696</v>
      </c>
      <c r="AE2409">
        <f>ABS(P2457-P2401)</f>
        <v>0.26791250000001376</v>
      </c>
      <c r="AH2409">
        <f>H2409-AG2396</f>
        <v>10.167207500000002</v>
      </c>
      <c r="AI2409">
        <f>100*(AH2409-O2409)/80</f>
        <v>0.212459375000007</v>
      </c>
    </row>
    <row r="2410" spans="1:41" x14ac:dyDescent="0.35">
      <c r="A2410" t="s">
        <v>304</v>
      </c>
      <c r="B2410" t="s">
        <v>231</v>
      </c>
      <c r="C2410" t="s">
        <v>819</v>
      </c>
      <c r="D2410">
        <v>0</v>
      </c>
      <c r="E2410">
        <v>-0.3</v>
      </c>
      <c r="F2410">
        <v>-1</v>
      </c>
      <c r="G2410">
        <v>-0.99964699999999995</v>
      </c>
      <c r="H2410">
        <v>10.321875</v>
      </c>
      <c r="J2410">
        <v>-16934</v>
      </c>
      <c r="N2410" t="s">
        <v>208</v>
      </c>
      <c r="O2410">
        <f t="shared" si="111"/>
        <v>10.014120000000002</v>
      </c>
      <c r="P2410">
        <f t="shared" si="112"/>
        <v>0.38469374999999806</v>
      </c>
      <c r="Q2410">
        <f t="shared" si="113"/>
        <v>0.38469374999999806</v>
      </c>
      <c r="S2410">
        <v>50.134374999999999</v>
      </c>
      <c r="T2410">
        <v>0.18271874999999937</v>
      </c>
      <c r="U2410">
        <v>90.215625000000003</v>
      </c>
      <c r="V2410">
        <v>0.28333124999999626</v>
      </c>
      <c r="W2410">
        <v>79.893746948242182</v>
      </c>
      <c r="X2410">
        <f>(W2410-80)/80*100</f>
        <v>-0.13281631469727273</v>
      </c>
      <c r="Y2410">
        <f>TREND(H2410:H2414,G2410:G2414,G2410)</f>
        <v>10.223335086459265</v>
      </c>
      <c r="Z2410">
        <f>ABS((Y2410-H2410)/80*100)</f>
        <v>0.12317489192591902</v>
      </c>
      <c r="AA2410">
        <f>MAX(Z2410:Z2414)</f>
        <v>0.12369381091141385</v>
      </c>
      <c r="AB2410">
        <f>IF(ABS(MAX(P2410:P2416)) &gt; ABS(MIN(P2410:P2416)),MAX(P2410:P2416), MIN(P2410:P2416))</f>
        <v>0.38469374999999806</v>
      </c>
      <c r="AC2410">
        <f>IF(ABS(AB2411)&gt;ABS(AB2410),AB2411,AB2410)</f>
        <v>0.38469374999999806</v>
      </c>
      <c r="AE2410">
        <f>ABS(P2458-P2402)</f>
        <v>50.144206249999996</v>
      </c>
      <c r="AH2410">
        <f>H2410-AG2396</f>
        <v>10.412520000000002</v>
      </c>
      <c r="AI2410">
        <f>100*(AH2410-O2410)/80</f>
        <v>0.49800000000000066</v>
      </c>
      <c r="AJ2410">
        <v>50.225020000000001</v>
      </c>
      <c r="AK2410">
        <v>0.29602500000000198</v>
      </c>
      <c r="AL2410">
        <v>90.306270000000012</v>
      </c>
      <c r="AM2410">
        <v>0.39663750000000775</v>
      </c>
      <c r="AN2410">
        <f>IF(ABS(MAX(AI2410:AI2416)) &gt; ABS(MIN(AI2410:AI2416)),MAX(AI2410:AI2416), MIN(AI2410:AI2416))</f>
        <v>0.49800000000000066</v>
      </c>
      <c r="AO2410">
        <f>IF(ABS(AN2411)&gt;ABS(AN2410),AN2411,AN2410)</f>
        <v>0.49800000000000066</v>
      </c>
    </row>
    <row r="2411" spans="1:41" x14ac:dyDescent="0.35">
      <c r="A2411" t="s">
        <v>304</v>
      </c>
      <c r="B2411" t="s">
        <v>231</v>
      </c>
      <c r="C2411" t="s">
        <v>855</v>
      </c>
      <c r="D2411">
        <v>0</v>
      </c>
      <c r="E2411">
        <v>0.1</v>
      </c>
      <c r="F2411">
        <v>-0.5</v>
      </c>
      <c r="G2411">
        <v>-0.49996400000000002</v>
      </c>
      <c r="H2411">
        <v>30.103124999999999</v>
      </c>
      <c r="J2411">
        <v>-16867</v>
      </c>
      <c r="N2411" t="s">
        <v>208</v>
      </c>
      <c r="O2411">
        <f t="shared" si="111"/>
        <v>30.001439999999995</v>
      </c>
      <c r="P2411">
        <f t="shared" si="112"/>
        <v>0.1271062500000042</v>
      </c>
      <c r="Q2411">
        <f t="shared" si="113"/>
        <v>0.1271062500000042</v>
      </c>
      <c r="Y2411">
        <f>TREND(H2410:H2414,G2410:G2414,G2411)</f>
        <v>30.20208004872913</v>
      </c>
      <c r="Z2411">
        <f>ABS((Y2411-H2411)/80*100)</f>
        <v>0.12369381091141385</v>
      </c>
      <c r="AB2411">
        <f>IF(ABS(T2410) &gt; ABS(V2410),T2410,V2410)</f>
        <v>0.28333124999999626</v>
      </c>
      <c r="AE2411">
        <f>ABS(P2452-P2424)</f>
        <v>0.37612812499999926</v>
      </c>
      <c r="AH2411">
        <f>H2411-AG2396</f>
        <v>30.193770000000001</v>
      </c>
      <c r="AI2411">
        <f>100*(AH2411-O2411)/80</f>
        <v>0.2404125000000068</v>
      </c>
      <c r="AN2411">
        <f>IF(ABS(AK2410) &gt; ABS(AM2410),AK2410,AM2410)</f>
        <v>0.39663750000000775</v>
      </c>
    </row>
    <row r="2412" spans="1:41" x14ac:dyDescent="0.35">
      <c r="A2412" t="s">
        <v>304</v>
      </c>
      <c r="B2412" t="s">
        <v>231</v>
      </c>
      <c r="C2412" t="s">
        <v>891</v>
      </c>
      <c r="D2412">
        <v>0</v>
      </c>
      <c r="E2412">
        <v>-0.1</v>
      </c>
      <c r="F2412">
        <v>0</v>
      </c>
      <c r="G2412">
        <v>-2.9500000000000001E-4</v>
      </c>
      <c r="H2412">
        <v>50.134374999999999</v>
      </c>
      <c r="J2412">
        <v>-16856</v>
      </c>
      <c r="N2412" t="s">
        <v>208</v>
      </c>
      <c r="O2412">
        <f t="shared" si="111"/>
        <v>49.988199999999999</v>
      </c>
      <c r="P2412">
        <f t="shared" si="112"/>
        <v>0.18271874999999937</v>
      </c>
      <c r="Q2412">
        <f t="shared" si="113"/>
        <v>0.18271874999999937</v>
      </c>
      <c r="Y2412">
        <f>TREND(H2410:H2414,G2410:G2414,G2412)</f>
        <v>50.180265251252379</v>
      </c>
      <c r="Z2412">
        <f>ABS((Y2412-H2412)/80*100)</f>
        <v>5.7362814065475831E-2</v>
      </c>
      <c r="AE2412">
        <f>ABS(P2453-P2425)</f>
        <v>0.27651562500000448</v>
      </c>
      <c r="AH2412">
        <f>H2412-AG2396</f>
        <v>50.225020000000001</v>
      </c>
      <c r="AI2412">
        <f>100*(AH2412-O2412)/80</f>
        <v>0.29602500000000198</v>
      </c>
    </row>
    <row r="2413" spans="1:41" x14ac:dyDescent="0.35">
      <c r="A2413" t="s">
        <v>304</v>
      </c>
      <c r="B2413" t="s">
        <v>231</v>
      </c>
      <c r="C2413" t="s">
        <v>928</v>
      </c>
      <c r="D2413">
        <v>0</v>
      </c>
      <c r="E2413">
        <v>0</v>
      </c>
      <c r="F2413">
        <v>0.5</v>
      </c>
      <c r="G2413">
        <v>0.50023700000000004</v>
      </c>
      <c r="H2413">
        <v>70.1875</v>
      </c>
      <c r="J2413">
        <v>-16833</v>
      </c>
      <c r="N2413" t="s">
        <v>208</v>
      </c>
      <c r="O2413">
        <f t="shared" si="111"/>
        <v>70.009479999999996</v>
      </c>
      <c r="P2413">
        <f t="shared" si="112"/>
        <v>0.22252500000000452</v>
      </c>
      <c r="Q2413">
        <f t="shared" si="113"/>
        <v>0.22252500000000452</v>
      </c>
      <c r="Y2413">
        <f>TREND(H2410:H2414,G2410:G2414,G2413)</f>
        <v>70.192955643871031</v>
      </c>
      <c r="Z2413">
        <f>ABS((Y2413-H2413)/80*100)</f>
        <v>6.8195548387883775E-3</v>
      </c>
      <c r="AE2413">
        <f>ABS(P2454-P2426)</f>
        <v>0.23101875000000049</v>
      </c>
      <c r="AH2413">
        <f>H2413-AG2396</f>
        <v>70.278144999999995</v>
      </c>
      <c r="AI2413">
        <f>100*(AH2413-O2413)/80</f>
        <v>0.33583124999999825</v>
      </c>
    </row>
    <row r="2414" spans="1:41" x14ac:dyDescent="0.35">
      <c r="A2414" t="s">
        <v>304</v>
      </c>
      <c r="B2414" t="s">
        <v>231</v>
      </c>
      <c r="C2414" t="s">
        <v>965</v>
      </c>
      <c r="D2414">
        <v>0</v>
      </c>
      <c r="E2414">
        <v>0.1</v>
      </c>
      <c r="F2414">
        <v>1</v>
      </c>
      <c r="G2414">
        <v>0.99972399999999995</v>
      </c>
      <c r="H2414">
        <v>90.215625000000003</v>
      </c>
      <c r="J2414">
        <v>-16817</v>
      </c>
      <c r="N2414" t="s">
        <v>208</v>
      </c>
      <c r="O2414">
        <f t="shared" si="111"/>
        <v>89.988960000000006</v>
      </c>
      <c r="P2414">
        <f t="shared" si="112"/>
        <v>0.28333124999999626</v>
      </c>
      <c r="Q2414">
        <f t="shared" si="113"/>
        <v>0.28333124999999626</v>
      </c>
      <c r="Y2414">
        <f>TREND(H2410:H2414,G2410:G2414,G2414)</f>
        <v>90.16386396968818</v>
      </c>
      <c r="Z2414">
        <f>ABS((Y2414-H2414)/80*100)</f>
        <v>6.4701287889779024E-2</v>
      </c>
      <c r="AE2414">
        <f>ABS(P2455-P2427)</f>
        <v>0.14761874999999591</v>
      </c>
      <c r="AH2414">
        <f>H2414-AG2396</f>
        <v>90.306270000000012</v>
      </c>
      <c r="AI2414">
        <f>100*(AH2414-O2414)/80</f>
        <v>0.39663750000000775</v>
      </c>
    </row>
    <row r="2415" spans="1:41" x14ac:dyDescent="0.35">
      <c r="A2415" t="s">
        <v>304</v>
      </c>
      <c r="B2415" t="s">
        <v>231</v>
      </c>
      <c r="C2415" t="s">
        <v>1001</v>
      </c>
      <c r="D2415">
        <v>0</v>
      </c>
      <c r="E2415">
        <v>0</v>
      </c>
      <c r="F2415">
        <v>0</v>
      </c>
      <c r="G2415">
        <v>-2.32E-4</v>
      </c>
      <c r="H2415">
        <v>50.087499999999999</v>
      </c>
      <c r="J2415">
        <v>-16802</v>
      </c>
      <c r="N2415" t="s">
        <v>208</v>
      </c>
      <c r="O2415">
        <f t="shared" si="111"/>
        <v>49.990719999999996</v>
      </c>
      <c r="P2415">
        <f t="shared" si="112"/>
        <v>0.12097500000000316</v>
      </c>
      <c r="Q2415">
        <f t="shared" si="113"/>
        <v>0.12097500000000316</v>
      </c>
      <c r="Y2415">
        <f>TREND(H2410:H2414,G2410:G2414,G2415)</f>
        <v>50.182784170112186</v>
      </c>
      <c r="Z2415">
        <f>ABS((Y2415-H2415)/80*100)</f>
        <v>0.11910521264023367</v>
      </c>
      <c r="AE2415">
        <f>ABS(P2456-P2428)</f>
        <v>0.34655937500003731</v>
      </c>
      <c r="AH2415">
        <f>H2415-AG2396</f>
        <v>50.178145000000001</v>
      </c>
      <c r="AI2415">
        <f>100*(AH2415-O2415)/80</f>
        <v>0.23428125000000577</v>
      </c>
    </row>
    <row r="2416" spans="1:41" x14ac:dyDescent="0.35">
      <c r="A2416" t="s">
        <v>304</v>
      </c>
      <c r="B2416" t="s">
        <v>231</v>
      </c>
      <c r="C2416" t="s">
        <v>1037</v>
      </c>
      <c r="D2416">
        <v>0</v>
      </c>
      <c r="E2416">
        <v>-0.1</v>
      </c>
      <c r="F2416">
        <v>-1</v>
      </c>
      <c r="G2416">
        <v>-1.000021</v>
      </c>
      <c r="H2416">
        <v>10.253125000000001</v>
      </c>
      <c r="J2416">
        <v>-16800</v>
      </c>
      <c r="N2416" t="s">
        <v>208</v>
      </c>
      <c r="O2416">
        <f t="shared" si="111"/>
        <v>9.999159999999998</v>
      </c>
      <c r="P2416">
        <f t="shared" si="112"/>
        <v>0.31745625000000333</v>
      </c>
      <c r="Q2416">
        <f t="shared" si="113"/>
        <v>0.31745625000000333</v>
      </c>
      <c r="Y2416">
        <f>TREND(H2410:H2414,G2410:G2414,G2416)</f>
        <v>10.208381504656622</v>
      </c>
      <c r="Z2416">
        <f>ABS((Y2416-H2416)/80*100)</f>
        <v>5.5929369179223982E-2</v>
      </c>
      <c r="AE2416">
        <f>ABS(P2457-P2429)</f>
        <v>0.38600000000001522</v>
      </c>
      <c r="AH2416">
        <f>H2416-AG2396</f>
        <v>10.343770000000003</v>
      </c>
      <c r="AI2416">
        <f>100*(AH2416-O2416)/80</f>
        <v>0.43076250000000593</v>
      </c>
    </row>
    <row r="2417" spans="1:41" x14ac:dyDescent="0.35">
      <c r="A2417" t="s">
        <v>304</v>
      </c>
      <c r="B2417" t="s">
        <v>231</v>
      </c>
      <c r="C2417" t="s">
        <v>1073</v>
      </c>
      <c r="D2417">
        <v>10</v>
      </c>
      <c r="E2417">
        <v>10</v>
      </c>
      <c r="F2417">
        <v>-1</v>
      </c>
      <c r="G2417">
        <v>-1.000024</v>
      </c>
      <c r="H2417">
        <v>10.30625</v>
      </c>
      <c r="J2417">
        <v>-12559</v>
      </c>
      <c r="N2417" t="s">
        <v>208</v>
      </c>
      <c r="O2417">
        <f t="shared" si="111"/>
        <v>9.999039999999999</v>
      </c>
      <c r="P2417">
        <f t="shared" si="112"/>
        <v>0.38401250000000164</v>
      </c>
      <c r="Q2417">
        <f t="shared" si="113"/>
        <v>0.38401250000000164</v>
      </c>
      <c r="S2417">
        <v>50.014062500000001</v>
      </c>
      <c r="T2417">
        <v>1.8328125000000028E-2</v>
      </c>
      <c r="U2417">
        <v>90.162499999999994</v>
      </c>
      <c r="V2417">
        <v>0.23537499999999767</v>
      </c>
      <c r="W2417">
        <v>79.856248474121088</v>
      </c>
      <c r="X2417">
        <f>(W2417-80)/80*100</f>
        <v>-0.17968940734863992</v>
      </c>
      <c r="Y2417">
        <f>TREND(H2417:H2421,G2417:G2421,G2417)</f>
        <v>10.192051036976281</v>
      </c>
      <c r="Z2417">
        <f>ABS((Y2417-H2417)/80*100)</f>
        <v>0.14274870377964932</v>
      </c>
      <c r="AA2417">
        <f>MAX(Z2417:Z2421)</f>
        <v>0.16936785397422049</v>
      </c>
      <c r="AB2417">
        <f>IF(ABS(MAX(P2417:P2423)) &gt; ABS(MIN(P2417:P2423)),MAX(P2417:P2423), MIN(P2417:P2423))</f>
        <v>0.40709062500000393</v>
      </c>
      <c r="AC2417">
        <f>IF(ABS(AB2418)&gt;ABS(AB2417),AB2418,AB2417)</f>
        <v>0.40709062500000393</v>
      </c>
      <c r="AE2417">
        <f>ABS(P2458-P2430)</f>
        <v>0.36402187499999794</v>
      </c>
      <c r="AH2417">
        <f>H2417-AG2396</f>
        <v>10.396895000000002</v>
      </c>
      <c r="AI2417">
        <f>100*(AH2417-O2417)/80</f>
        <v>0.49731875000000425</v>
      </c>
      <c r="AJ2417">
        <v>50.104707500000004</v>
      </c>
      <c r="AK2417">
        <v>0.13163437500000263</v>
      </c>
      <c r="AL2417">
        <v>90.253144999999989</v>
      </c>
      <c r="AM2417">
        <v>0.34868124999999139</v>
      </c>
      <c r="AN2417">
        <f>IF(ABS(MAX(AI2417:AI2423)) &gt; ABS(MIN(AI2417:AI2423)),MAX(AI2417:AI2423), MIN(AI2417:AI2423))</f>
        <v>0.52039687500000653</v>
      </c>
      <c r="AO2417">
        <f>IF(ABS(AN2418)&gt;ABS(AN2417),AN2418,AN2417)</f>
        <v>0.52039687500000653</v>
      </c>
    </row>
    <row r="2418" spans="1:41" x14ac:dyDescent="0.35">
      <c r="A2418" t="s">
        <v>304</v>
      </c>
      <c r="B2418" t="s">
        <v>231</v>
      </c>
      <c r="C2418" t="s">
        <v>1109</v>
      </c>
      <c r="D2418">
        <v>10</v>
      </c>
      <c r="E2418">
        <v>10</v>
      </c>
      <c r="F2418">
        <v>-0.5</v>
      </c>
      <c r="G2418">
        <v>-0.49993799999999999</v>
      </c>
      <c r="H2418">
        <v>30.110937499999999</v>
      </c>
      <c r="J2418">
        <v>-12559</v>
      </c>
      <c r="N2418" t="s">
        <v>208</v>
      </c>
      <c r="O2418">
        <f t="shared" si="111"/>
        <v>30.002479999999998</v>
      </c>
      <c r="P2418">
        <f t="shared" si="112"/>
        <v>0.13557187500000012</v>
      </c>
      <c r="Q2418">
        <f t="shared" si="113"/>
        <v>0.13557187500000012</v>
      </c>
      <c r="Y2418">
        <f>TREND(H2417:H2421,G2417:G2421,G2418)</f>
        <v>30.174060417487581</v>
      </c>
      <c r="Z2418">
        <f>ABS((Y2418-H2418)/80*100)</f>
        <v>7.8903646859478371E-2</v>
      </c>
      <c r="AB2418">
        <f>IF(ABS(T2417) &gt; ABS(V2417),T2417,V2417)</f>
        <v>0.23537499999999767</v>
      </c>
      <c r="AH2418">
        <f>H2418-AG2396</f>
        <v>30.201582500000001</v>
      </c>
      <c r="AI2418">
        <f>100*(AH2418-O2418)/80</f>
        <v>0.24887812500000273</v>
      </c>
      <c r="AN2418">
        <f>IF(ABS(AK2417) &gt; ABS(AM2417),AK2417,AM2417)</f>
        <v>0.34868124999999139</v>
      </c>
    </row>
    <row r="2419" spans="1:41" x14ac:dyDescent="0.35">
      <c r="A2419" t="s">
        <v>304</v>
      </c>
      <c r="B2419" t="s">
        <v>1111</v>
      </c>
      <c r="C2419" t="s">
        <v>1147</v>
      </c>
      <c r="D2419">
        <v>10</v>
      </c>
      <c r="E2419">
        <v>10</v>
      </c>
      <c r="F2419">
        <v>0</v>
      </c>
      <c r="G2419">
        <v>-1.5E-5</v>
      </c>
      <c r="H2419">
        <v>50.014062500000001</v>
      </c>
      <c r="J2419">
        <v>-12550</v>
      </c>
      <c r="N2419" t="s">
        <v>208</v>
      </c>
      <c r="O2419">
        <f t="shared" si="111"/>
        <v>49.999400000000001</v>
      </c>
      <c r="P2419">
        <f t="shared" si="112"/>
        <v>1.8328125000000028E-2</v>
      </c>
      <c r="Q2419">
        <f t="shared" si="113"/>
        <v>1.8328125000000028E-2</v>
      </c>
      <c r="Y2419">
        <f>TREND(H2417:H2421,G2417:G2421,G2419)</f>
        <v>50.149556783179378</v>
      </c>
      <c r="Z2419">
        <f>ABS((Y2419-H2419)/80*100)</f>
        <v>0.16936785397422049</v>
      </c>
      <c r="AH2419">
        <f>H2419-AG2396</f>
        <v>50.104707500000004</v>
      </c>
      <c r="AI2419">
        <f>100*(AH2419-O2419)/80</f>
        <v>0.13163437500000263</v>
      </c>
    </row>
    <row r="2420" spans="1:41" x14ac:dyDescent="0.35">
      <c r="A2420" t="s">
        <v>304</v>
      </c>
      <c r="B2420" t="s">
        <v>1111</v>
      </c>
      <c r="C2420" t="s">
        <v>1184</v>
      </c>
      <c r="D2420">
        <v>10</v>
      </c>
      <c r="E2420">
        <v>10</v>
      </c>
      <c r="F2420">
        <v>0.5</v>
      </c>
      <c r="G2420">
        <v>0.50005500000000003</v>
      </c>
      <c r="H2420">
        <v>70.134375000000006</v>
      </c>
      <c r="J2420">
        <v>-12552</v>
      </c>
      <c r="N2420" t="s">
        <v>208</v>
      </c>
      <c r="O2420">
        <f t="shared" si="111"/>
        <v>70.002200000000002</v>
      </c>
      <c r="P2420">
        <f t="shared" si="112"/>
        <v>0.16521875000000463</v>
      </c>
      <c r="Q2420">
        <f t="shared" si="113"/>
        <v>0.16521875000000463</v>
      </c>
      <c r="Y2420">
        <f>TREND(H2417:H2421,G2417:G2421,G2420)</f>
        <v>70.130926849352562</v>
      </c>
      <c r="Z2420">
        <f>ABS((Y2420-H2420)/80*100)</f>
        <v>4.310188309304408E-3</v>
      </c>
      <c r="AH2420">
        <f>H2420-AG2396</f>
        <v>70.225020000000001</v>
      </c>
      <c r="AI2420">
        <f>100*(AH2420-O2420)/80</f>
        <v>0.27852499999999836</v>
      </c>
    </row>
    <row r="2421" spans="1:41" x14ac:dyDescent="0.35">
      <c r="A2421" t="s">
        <v>304</v>
      </c>
      <c r="B2421" t="s">
        <v>1111</v>
      </c>
      <c r="C2421" t="s">
        <v>1221</v>
      </c>
      <c r="D2421">
        <v>10</v>
      </c>
      <c r="E2421">
        <v>10</v>
      </c>
      <c r="F2421">
        <v>1</v>
      </c>
      <c r="G2421">
        <v>0.99935499999999999</v>
      </c>
      <c r="H2421">
        <v>90.162499999999994</v>
      </c>
      <c r="J2421">
        <v>-12555</v>
      </c>
      <c r="N2421" t="s">
        <v>208</v>
      </c>
      <c r="O2421">
        <f t="shared" si="111"/>
        <v>89.974199999999996</v>
      </c>
      <c r="P2421">
        <f t="shared" si="112"/>
        <v>0.23537499999999767</v>
      </c>
      <c r="Q2421">
        <f t="shared" si="113"/>
        <v>0.23537499999999767</v>
      </c>
      <c r="Y2421">
        <f>TREND(H2417:H2421,G2417:G2421,G2421)</f>
        <v>90.081529913004204</v>
      </c>
      <c r="Z2421">
        <f>ABS((Y2421-H2421)/80*100)</f>
        <v>0.10121260874473847</v>
      </c>
      <c r="AH2421">
        <f>H2421-AG2396</f>
        <v>90.253144999999989</v>
      </c>
      <c r="AI2421">
        <f>100*(AH2421-O2421)/80</f>
        <v>0.34868124999999139</v>
      </c>
    </row>
    <row r="2422" spans="1:41" x14ac:dyDescent="0.35">
      <c r="A2422" t="s">
        <v>304</v>
      </c>
      <c r="B2422" t="s">
        <v>1111</v>
      </c>
      <c r="C2422" t="s">
        <v>1257</v>
      </c>
      <c r="D2422">
        <v>10</v>
      </c>
      <c r="E2422">
        <v>10</v>
      </c>
      <c r="F2422">
        <v>0</v>
      </c>
      <c r="G2422">
        <v>-1.63E-4</v>
      </c>
      <c r="H2422">
        <v>50.053125000000001</v>
      </c>
      <c r="J2422">
        <v>-12548</v>
      </c>
      <c r="N2422" t="s">
        <v>208</v>
      </c>
      <c r="O2422">
        <f t="shared" si="111"/>
        <v>49.993479999999998</v>
      </c>
      <c r="P2422">
        <f t="shared" si="112"/>
        <v>7.4556250000004098E-2</v>
      </c>
      <c r="Q2422">
        <f t="shared" si="113"/>
        <v>7.4556250000004098E-2</v>
      </c>
      <c r="Y2422">
        <f>TREND(H2417:H2421,G2417:G2421,G2422)</f>
        <v>50.143643125551861</v>
      </c>
      <c r="Z2422">
        <f>ABS((Y2422-H2422)/80*100)</f>
        <v>0.11314765693982488</v>
      </c>
      <c r="AH2422">
        <f>H2422-AG2396</f>
        <v>50.143770000000004</v>
      </c>
      <c r="AI2422">
        <f>100*(AH2422-O2422)/80</f>
        <v>0.1878625000000067</v>
      </c>
    </row>
    <row r="2423" spans="1:41" x14ac:dyDescent="0.35">
      <c r="A2423" t="s">
        <v>304</v>
      </c>
      <c r="B2423" t="s">
        <v>1111</v>
      </c>
      <c r="C2423" t="s">
        <v>1293</v>
      </c>
      <c r="D2423">
        <v>10</v>
      </c>
      <c r="E2423">
        <v>10</v>
      </c>
      <c r="F2423">
        <v>-1</v>
      </c>
      <c r="G2423">
        <v>-1.0001340000000001</v>
      </c>
      <c r="H2423">
        <v>10.3203125</v>
      </c>
      <c r="J2423">
        <v>-12552</v>
      </c>
      <c r="N2423" t="s">
        <v>208</v>
      </c>
      <c r="O2423">
        <f t="shared" si="111"/>
        <v>9.9946399999999969</v>
      </c>
      <c r="P2423">
        <f t="shared" si="112"/>
        <v>0.40709062500000393</v>
      </c>
      <c r="Q2423">
        <f t="shared" si="113"/>
        <v>0.40709062500000393</v>
      </c>
      <c r="Y2423">
        <f>TREND(H2417:H2421,G2417:G2421,G2423)</f>
        <v>10.187655750901769</v>
      </c>
      <c r="Z2423">
        <f>ABS((Y2423-H2423)/80*100)</f>
        <v>0.16582093637278916</v>
      </c>
      <c r="AH2423">
        <f>H2423-AG2396</f>
        <v>10.410957500000002</v>
      </c>
      <c r="AI2423">
        <f>100*(AH2423-O2423)/80</f>
        <v>0.52039687500000653</v>
      </c>
    </row>
    <row r="2424" spans="1:41" x14ac:dyDescent="0.35">
      <c r="A2424" t="s">
        <v>304</v>
      </c>
      <c r="B2424" t="s">
        <v>1111</v>
      </c>
      <c r="C2424" t="s">
        <v>1330</v>
      </c>
      <c r="D2424">
        <v>25</v>
      </c>
      <c r="E2424">
        <v>25</v>
      </c>
      <c r="F2424">
        <v>-1</v>
      </c>
      <c r="G2424">
        <v>-0.99990800000000002</v>
      </c>
      <c r="H2424">
        <v>10.268750000000001</v>
      </c>
      <c r="J2424">
        <v>-6390</v>
      </c>
      <c r="N2424" t="s">
        <v>208</v>
      </c>
      <c r="O2424">
        <f t="shared" si="111"/>
        <v>10.003679999999999</v>
      </c>
      <c r="P2424">
        <f t="shared" si="112"/>
        <v>0.33133750000000184</v>
      </c>
      <c r="Q2424">
        <f t="shared" si="113"/>
        <v>0.33133750000000184</v>
      </c>
      <c r="S2424">
        <v>50.051562500000003</v>
      </c>
      <c r="T2424">
        <v>6.5203125000001805E-2</v>
      </c>
      <c r="U2424">
        <v>90.275000000000006</v>
      </c>
      <c r="V2424">
        <v>0.33775000000002109</v>
      </c>
      <c r="W2424">
        <v>80.006251525878909</v>
      </c>
      <c r="X2424">
        <f>(W2424-80)/80*100</f>
        <v>7.8144073486363652E-3</v>
      </c>
      <c r="Y2424">
        <f>TREND(H2424:H2428,G2424:G2428,G2424)</f>
        <v>10.139407893626519</v>
      </c>
      <c r="Z2424">
        <f>ABS((Y2424-H2424)/80*100)</f>
        <v>0.16167763296685234</v>
      </c>
      <c r="AA2424">
        <f>MAX(Z2424:Z2428)</f>
        <v>0.16167763296685234</v>
      </c>
      <c r="AB2424">
        <f>IF(ABS(MAX(P2424:P2430)) &gt; ABS(MIN(P2424:P2430)),MAX(P2424:P2430), MIN(P2424:P2430))</f>
        <v>0.33775000000002109</v>
      </c>
      <c r="AC2424">
        <f>IF(ABS(AB2425)&gt;ABS(AB2424),AB2425,AB2424)</f>
        <v>0.33775000000002109</v>
      </c>
      <c r="AH2424">
        <f>H2424-AG2396</f>
        <v>10.359395000000003</v>
      </c>
      <c r="AI2424">
        <f>100*(AH2424-O2424)/80</f>
        <v>0.44464375000000445</v>
      </c>
      <c r="AJ2424">
        <v>50.142207500000005</v>
      </c>
      <c r="AK2424">
        <v>0.17850937500000441</v>
      </c>
      <c r="AL2424">
        <v>90.365645000000001</v>
      </c>
      <c r="AM2424">
        <v>0.45105625000001481</v>
      </c>
      <c r="AN2424">
        <f>IF(ABS(MAX(AI2424:AI2430)) &gt; ABS(MIN(AI2424:AI2430)),MAX(AI2424:AI2430), MIN(AI2424:AI2430))</f>
        <v>0.45105625000001481</v>
      </c>
      <c r="AO2424">
        <f>IF(ABS(AN2425)&gt;ABS(AN2424),AN2425,AN2424)</f>
        <v>0.45105625000001481</v>
      </c>
    </row>
    <row r="2425" spans="1:41" x14ac:dyDescent="0.35">
      <c r="A2425" t="s">
        <v>304</v>
      </c>
      <c r="B2425" t="s">
        <v>1111</v>
      </c>
      <c r="C2425" t="s">
        <v>1366</v>
      </c>
      <c r="D2425">
        <v>25</v>
      </c>
      <c r="E2425">
        <v>25</v>
      </c>
      <c r="F2425">
        <v>-0.5</v>
      </c>
      <c r="G2425">
        <v>-0.50009700000000001</v>
      </c>
      <c r="H2425">
        <v>30.046875</v>
      </c>
      <c r="J2425">
        <v>-6392</v>
      </c>
      <c r="N2425" t="s">
        <v>208</v>
      </c>
      <c r="O2425">
        <f t="shared" si="111"/>
        <v>29.996119999999998</v>
      </c>
      <c r="P2425">
        <f t="shared" si="112"/>
        <v>6.3443750000002908E-2</v>
      </c>
      <c r="Q2425">
        <f t="shared" si="113"/>
        <v>6.3443750000002908E-2</v>
      </c>
      <c r="Y2425">
        <f>TREND(H2424:H2428,G2424:G2428,G2425)</f>
        <v>30.14699587201774</v>
      </c>
      <c r="Z2425">
        <f>ABS((Y2425-H2425)/80*100)</f>
        <v>0.12515109002217528</v>
      </c>
      <c r="AB2425">
        <f>IF(ABS(T2424) &gt; ABS(V2424),T2424,V2424)</f>
        <v>0.33775000000002109</v>
      </c>
      <c r="AH2425">
        <f>H2425-AG2396</f>
        <v>30.137520000000002</v>
      </c>
      <c r="AI2425">
        <f>100*(AH2425-O2425)/80</f>
        <v>0.17675000000000551</v>
      </c>
      <c r="AN2425">
        <f>IF(ABS(AK2424) &gt; ABS(AM2424),AK2424,AM2424)</f>
        <v>0.45105625000001481</v>
      </c>
    </row>
    <row r="2426" spans="1:41" x14ac:dyDescent="0.35">
      <c r="A2426" t="s">
        <v>304</v>
      </c>
      <c r="B2426" t="s">
        <v>1111</v>
      </c>
      <c r="C2426" t="s">
        <v>1403</v>
      </c>
      <c r="D2426">
        <v>25</v>
      </c>
      <c r="E2426">
        <v>25</v>
      </c>
      <c r="F2426">
        <v>0</v>
      </c>
      <c r="G2426">
        <v>-1.5E-5</v>
      </c>
      <c r="H2426">
        <v>50.051562500000003</v>
      </c>
      <c r="J2426">
        <v>-6377</v>
      </c>
      <c r="N2426" t="s">
        <v>208</v>
      </c>
      <c r="O2426">
        <f t="shared" si="111"/>
        <v>49.999400000000001</v>
      </c>
      <c r="P2426">
        <f t="shared" si="112"/>
        <v>6.5203125000001805E-2</v>
      </c>
      <c r="Q2426">
        <f t="shared" si="113"/>
        <v>6.5203125000001805E-2</v>
      </c>
      <c r="Y2426">
        <f>TREND(H2424:H2428,G2424:G2428,G2426)</f>
        <v>50.16543206371788</v>
      </c>
      <c r="Z2426">
        <f>ABS((Y2426-H2426)/80*100)</f>
        <v>0.1423369546473463</v>
      </c>
      <c r="AH2426">
        <f>H2426-AG2396</f>
        <v>50.142207500000005</v>
      </c>
      <c r="AI2426">
        <f>100*(AH2426-O2426)/80</f>
        <v>0.17850937500000441</v>
      </c>
    </row>
    <row r="2427" spans="1:41" x14ac:dyDescent="0.35">
      <c r="A2427" t="s">
        <v>304</v>
      </c>
      <c r="B2427" t="s">
        <v>1111</v>
      </c>
      <c r="C2427" t="s">
        <v>1440</v>
      </c>
      <c r="D2427">
        <v>25</v>
      </c>
      <c r="E2427">
        <v>25</v>
      </c>
      <c r="F2427">
        <v>0.5</v>
      </c>
      <c r="G2427">
        <v>0.49973200000000001</v>
      </c>
      <c r="H2427">
        <v>70.181250000000006</v>
      </c>
      <c r="J2427">
        <v>-6375</v>
      </c>
      <c r="N2427" t="s">
        <v>208</v>
      </c>
      <c r="O2427">
        <f t="shared" si="111"/>
        <v>69.989280000000008</v>
      </c>
      <c r="P2427">
        <f t="shared" si="112"/>
        <v>0.23996249999999719</v>
      </c>
      <c r="Q2427">
        <f t="shared" si="113"/>
        <v>0.23996249999999719</v>
      </c>
      <c r="Y2427">
        <f>TREND(H2424:H2428,G2424:G2428,G2427)</f>
        <v>70.170458102434665</v>
      </c>
      <c r="Z2427">
        <f>ABS((Y2427-H2427)/80*100)</f>
        <v>1.3489871956675614E-2</v>
      </c>
      <c r="AH2427">
        <f>H2427-AG2396</f>
        <v>70.271895000000001</v>
      </c>
      <c r="AI2427">
        <f>100*(AH2427-O2427)/80</f>
        <v>0.35326874999999092</v>
      </c>
    </row>
    <row r="2428" spans="1:41" x14ac:dyDescent="0.35">
      <c r="A2428" t="s">
        <v>304</v>
      </c>
      <c r="B2428" t="s">
        <v>1111</v>
      </c>
      <c r="C2428" t="s">
        <v>1476</v>
      </c>
      <c r="D2428">
        <v>25</v>
      </c>
      <c r="E2428">
        <v>25</v>
      </c>
      <c r="F2428">
        <v>1</v>
      </c>
      <c r="G2428">
        <v>1.0001199999999999</v>
      </c>
      <c r="H2428">
        <v>90.275000000000006</v>
      </c>
      <c r="J2428">
        <v>-6370</v>
      </c>
      <c r="N2428" t="s">
        <v>208</v>
      </c>
      <c r="O2428">
        <f t="shared" si="111"/>
        <v>90.004799999999989</v>
      </c>
      <c r="P2428">
        <f t="shared" si="112"/>
        <v>0.33775000000002109</v>
      </c>
      <c r="Q2428">
        <f t="shared" si="113"/>
        <v>0.33775000000002109</v>
      </c>
      <c r="Y2428">
        <f>TREND(H2424:H2428,G2424:G2428,G2428)</f>
        <v>90.201143568203179</v>
      </c>
      <c r="Z2428">
        <f>ABS((Y2428-H2428)/80*100)</f>
        <v>9.2320539746033603E-2</v>
      </c>
      <c r="AH2428">
        <f>H2428-AG2396</f>
        <v>90.365645000000001</v>
      </c>
      <c r="AI2428">
        <f>100*(AH2428-O2428)/80</f>
        <v>0.45105625000001481</v>
      </c>
    </row>
    <row r="2429" spans="1:41" x14ac:dyDescent="0.35">
      <c r="A2429" t="s">
        <v>304</v>
      </c>
      <c r="B2429" t="s">
        <v>1111</v>
      </c>
      <c r="C2429" t="s">
        <v>1513</v>
      </c>
      <c r="D2429">
        <v>25</v>
      </c>
      <c r="E2429">
        <v>25</v>
      </c>
      <c r="F2429">
        <v>0</v>
      </c>
      <c r="G2429">
        <v>-1.2899999999999999E-4</v>
      </c>
      <c r="H2429">
        <v>50.123437500000001</v>
      </c>
      <c r="J2429">
        <v>-6375</v>
      </c>
      <c r="N2429" t="s">
        <v>208</v>
      </c>
      <c r="O2429">
        <f t="shared" si="111"/>
        <v>49.994839999999996</v>
      </c>
      <c r="P2429">
        <f t="shared" si="112"/>
        <v>0.16074687500000628</v>
      </c>
      <c r="Q2429">
        <f t="shared" si="113"/>
        <v>0.16074687500000628</v>
      </c>
      <c r="Y2429">
        <f>TREND(H2424:H2428,G2424:G2428,G2429)</f>
        <v>50.1608686086728</v>
      </c>
      <c r="Z2429">
        <f>ABS((Y2429-H2429)/80*100)</f>
        <v>4.6788885840998162E-2</v>
      </c>
      <c r="AH2429">
        <f>H2429-AG2396</f>
        <v>50.214082500000004</v>
      </c>
      <c r="AI2429">
        <f>100*(AH2429-O2429)/80</f>
        <v>0.27405312500000889</v>
      </c>
    </row>
    <row r="2430" spans="1:41" x14ac:dyDescent="0.35">
      <c r="A2430" t="s">
        <v>304</v>
      </c>
      <c r="B2430" t="s">
        <v>1111</v>
      </c>
      <c r="C2430" t="s">
        <v>1550</v>
      </c>
      <c r="D2430">
        <v>25</v>
      </c>
      <c r="E2430">
        <v>25</v>
      </c>
      <c r="F2430">
        <v>-1</v>
      </c>
      <c r="G2430">
        <v>-1.0000899999999999</v>
      </c>
      <c r="H2430">
        <v>10.182812500000001</v>
      </c>
      <c r="J2430">
        <v>-6373</v>
      </c>
      <c r="N2430" t="s">
        <v>208</v>
      </c>
      <c r="O2430">
        <f t="shared" si="111"/>
        <v>9.9964000000000031</v>
      </c>
      <c r="P2430">
        <f t="shared" si="112"/>
        <v>0.23301562499999706</v>
      </c>
      <c r="Q2430">
        <f t="shared" si="113"/>
        <v>0.23301562499999706</v>
      </c>
      <c r="Y2430">
        <f>TREND(H2424:H2428,G2424:G2428,G2430)</f>
        <v>10.132122377677362</v>
      </c>
      <c r="Z2430">
        <f>ABS((Y2430-H2430)/80*100)</f>
        <v>6.3362652903298233E-2</v>
      </c>
      <c r="AH2430">
        <f>H2430-AG2396</f>
        <v>10.273457500000003</v>
      </c>
      <c r="AI2430">
        <f>100*(AH2430-O2430)/80</f>
        <v>0.34632187499999967</v>
      </c>
    </row>
    <row r="2431" spans="1:41" x14ac:dyDescent="0.35">
      <c r="A2431" t="s">
        <v>304</v>
      </c>
      <c r="B2431" t="s">
        <v>1111</v>
      </c>
      <c r="C2431" t="s">
        <v>1587</v>
      </c>
      <c r="D2431">
        <v>50</v>
      </c>
      <c r="E2431">
        <v>50</v>
      </c>
      <c r="F2431">
        <v>-1</v>
      </c>
      <c r="G2431">
        <v>-1.000046</v>
      </c>
      <c r="H2431">
        <v>10.025</v>
      </c>
      <c r="J2431">
        <v>3833</v>
      </c>
      <c r="N2431" t="s">
        <v>208</v>
      </c>
      <c r="O2431">
        <f t="shared" si="111"/>
        <v>9.9981600000000004</v>
      </c>
      <c r="P2431">
        <f t="shared" si="112"/>
        <v>3.3549999999999969E-2</v>
      </c>
      <c r="Q2431">
        <f t="shared" si="113"/>
        <v>3.3549999999999969E-2</v>
      </c>
      <c r="S2431">
        <v>50.05</v>
      </c>
      <c r="T2431">
        <v>6.2949999999997175E-2</v>
      </c>
      <c r="U2431">
        <v>90.15625</v>
      </c>
      <c r="V2431">
        <v>0.19216249999999491</v>
      </c>
      <c r="W2431">
        <v>80.131249999999994</v>
      </c>
      <c r="X2431">
        <f>(W2431-80)/80*100</f>
        <v>0.16406249999999289</v>
      </c>
      <c r="Y2431">
        <f>TREND(H2431:H2435,G2431:G2435,G2431)</f>
        <v>9.9545358164155289</v>
      </c>
      <c r="Z2431">
        <f>ABS((Y2431-H2431)/80*100)</f>
        <v>8.8080229480589356E-2</v>
      </c>
      <c r="AA2431">
        <f>MAX(Z2431:Z2435)</f>
        <v>0.12727114507510962</v>
      </c>
      <c r="AB2431">
        <f>IF(ABS(MAX(P2431:P2437)) &gt; ABS(MIN(P2431:P2437)),MAX(P2431:P2437), MIN(P2431:P2437))</f>
        <v>0.19216249999999491</v>
      </c>
      <c r="AC2431">
        <f>IF(ABS(AB2432)&gt;ABS(AB2431),AB2432,AB2431)</f>
        <v>0.19216249999999491</v>
      </c>
      <c r="AH2431">
        <f>H2431-AG2396</f>
        <v>10.115645000000002</v>
      </c>
      <c r="AI2431">
        <f>100*(AH2431-O2431)/80</f>
        <v>0.14685625000000258</v>
      </c>
      <c r="AJ2431">
        <v>50.140644999999999</v>
      </c>
      <c r="AK2431">
        <v>0.17625624999999978</v>
      </c>
      <c r="AL2431">
        <v>90.246894999999995</v>
      </c>
      <c r="AM2431">
        <v>0.30546874999998863</v>
      </c>
      <c r="AN2431">
        <f>IF(ABS(MAX(AI2431:AI2437)) &gt; ABS(MIN(AI2431:AI2437)),MAX(AI2431:AI2437), MIN(AI2431:AI2437))</f>
        <v>0.30546874999998863</v>
      </c>
      <c r="AO2431">
        <f>IF(ABS(AN2432)&gt;ABS(AN2431),AN2432,AN2431)</f>
        <v>0.30546874999998863</v>
      </c>
    </row>
    <row r="2432" spans="1:41" x14ac:dyDescent="0.35">
      <c r="A2432" t="s">
        <v>304</v>
      </c>
      <c r="B2432" t="s">
        <v>1111</v>
      </c>
      <c r="C2432" t="s">
        <v>1623</v>
      </c>
      <c r="D2432">
        <v>50</v>
      </c>
      <c r="E2432">
        <v>50</v>
      </c>
      <c r="F2432">
        <v>-0.5</v>
      </c>
      <c r="G2432">
        <v>-0.499942</v>
      </c>
      <c r="H2432">
        <v>29.904687500000001</v>
      </c>
      <c r="J2432">
        <v>3855</v>
      </c>
      <c r="N2432" t="s">
        <v>208</v>
      </c>
      <c r="O2432">
        <f t="shared" si="111"/>
        <v>30.002320000000001</v>
      </c>
      <c r="P2432">
        <f t="shared" si="112"/>
        <v>-0.12204062499999946</v>
      </c>
      <c r="Q2432">
        <f t="shared" si="113"/>
        <v>0.12204062499999946</v>
      </c>
      <c r="Y2432">
        <f>TREND(H2431:H2435,G2431:G2435,G2432)</f>
        <v>30.006504416060089</v>
      </c>
      <c r="Z2432">
        <f>ABS((Y2432-H2432)/80*100)</f>
        <v>0.12727114507510962</v>
      </c>
      <c r="AB2432">
        <f>IF(ABS(T2431) &gt; ABS(V2431),T2431,V2431)</f>
        <v>0.19216249999999491</v>
      </c>
      <c r="AH2432">
        <f>H2432-AG2396</f>
        <v>29.995332500000004</v>
      </c>
      <c r="AI2432">
        <f>100*(AH2432-O2432)/80</f>
        <v>-8.7343749999968523E-3</v>
      </c>
      <c r="AN2432">
        <f>IF(ABS(AK2431) &gt; ABS(AM2431),AK2431,AM2431)</f>
        <v>0.30546874999998863</v>
      </c>
    </row>
    <row r="2433" spans="1:41" x14ac:dyDescent="0.35">
      <c r="A2433" t="s">
        <v>304</v>
      </c>
      <c r="B2433" t="s">
        <v>1111</v>
      </c>
      <c r="C2433" t="s">
        <v>1660</v>
      </c>
      <c r="D2433">
        <v>50</v>
      </c>
      <c r="E2433">
        <v>50</v>
      </c>
      <c r="F2433">
        <v>0</v>
      </c>
      <c r="G2433">
        <v>-9.0000000000000002E-6</v>
      </c>
      <c r="H2433">
        <v>50.05</v>
      </c>
      <c r="J2433">
        <v>3855</v>
      </c>
      <c r="N2433" t="s">
        <v>208</v>
      </c>
      <c r="O2433">
        <f t="shared" si="111"/>
        <v>49.999639999999999</v>
      </c>
      <c r="P2433">
        <f t="shared" si="112"/>
        <v>6.2949999999997175E-2</v>
      </c>
      <c r="Q2433">
        <f t="shared" si="113"/>
        <v>6.2949999999997175E-2</v>
      </c>
      <c r="Y2433">
        <f>TREND(H2431:H2435,G2431:G2435,G2433)</f>
        <v>50.051616668563781</v>
      </c>
      <c r="Z2433">
        <f>ABS((Y2433-H2433)/80*100)</f>
        <v>2.0208357047302172E-3</v>
      </c>
      <c r="AH2433">
        <f>H2433-AG2396</f>
        <v>50.140644999999999</v>
      </c>
      <c r="AI2433">
        <f>100*(AH2433-O2433)/80</f>
        <v>0.17625624999999978</v>
      </c>
    </row>
    <row r="2434" spans="1:41" x14ac:dyDescent="0.35">
      <c r="A2434" t="s">
        <v>304</v>
      </c>
      <c r="B2434" t="s">
        <v>1111</v>
      </c>
      <c r="C2434" t="s">
        <v>1697</v>
      </c>
      <c r="D2434">
        <v>50</v>
      </c>
      <c r="E2434">
        <v>50</v>
      </c>
      <c r="F2434">
        <v>0.5</v>
      </c>
      <c r="G2434">
        <v>0.50019400000000003</v>
      </c>
      <c r="H2434">
        <v>70.134375000000006</v>
      </c>
      <c r="J2434">
        <v>3867</v>
      </c>
      <c r="N2434" t="s">
        <v>208</v>
      </c>
      <c r="O2434">
        <f t="shared" si="111"/>
        <v>70.007760000000005</v>
      </c>
      <c r="P2434">
        <f t="shared" si="112"/>
        <v>0.15826875000000129</v>
      </c>
      <c r="Q2434">
        <f t="shared" si="113"/>
        <v>0.15826875000000129</v>
      </c>
      <c r="Y2434">
        <f>TREND(H2431:H2435,G2431:G2435,G2434)</f>
        <v>70.107554732342535</v>
      </c>
      <c r="Z2434">
        <f>ABS((Y2434-H2434)/80*100)</f>
        <v>3.3525334571837817E-2</v>
      </c>
      <c r="AH2434">
        <f>H2434-AG2396</f>
        <v>70.225020000000001</v>
      </c>
      <c r="AI2434">
        <f>100*(AH2434-O2434)/80</f>
        <v>0.27157499999999501</v>
      </c>
    </row>
    <row r="2435" spans="1:41" x14ac:dyDescent="0.35">
      <c r="A2435" t="s">
        <v>304</v>
      </c>
      <c r="B2435" t="s">
        <v>1111</v>
      </c>
      <c r="C2435" t="s">
        <v>1733</v>
      </c>
      <c r="D2435">
        <v>50</v>
      </c>
      <c r="E2435">
        <v>50</v>
      </c>
      <c r="F2435">
        <v>1</v>
      </c>
      <c r="G2435">
        <v>1.0000629999999999</v>
      </c>
      <c r="H2435">
        <v>90.15625</v>
      </c>
      <c r="J2435">
        <v>3880</v>
      </c>
      <c r="N2435" t="s">
        <v>208</v>
      </c>
      <c r="O2435">
        <f t="shared" si="111"/>
        <v>90.002520000000004</v>
      </c>
      <c r="P2435">
        <f t="shared" si="112"/>
        <v>0.19216249999999491</v>
      </c>
      <c r="Q2435">
        <f t="shared" si="113"/>
        <v>0.19216249999999491</v>
      </c>
      <c r="Y2435">
        <f>TREND(H2431:H2435,G2431:G2435,G2435)</f>
        <v>90.150100866618061</v>
      </c>
      <c r="Z2435">
        <f>ABS((Y2435-H2435)/80*100)</f>
        <v>7.6864167274237625E-3</v>
      </c>
      <c r="AH2435">
        <f>H2435-AG2396</f>
        <v>90.246894999999995</v>
      </c>
      <c r="AI2435">
        <f>100*(AH2435-O2435)/80</f>
        <v>0.30546874999998863</v>
      </c>
    </row>
    <row r="2436" spans="1:41" x14ac:dyDescent="0.35">
      <c r="A2436" t="s">
        <v>304</v>
      </c>
      <c r="B2436" t="s">
        <v>1111</v>
      </c>
      <c r="C2436" t="s">
        <v>1770</v>
      </c>
      <c r="D2436">
        <v>50</v>
      </c>
      <c r="E2436">
        <v>50</v>
      </c>
      <c r="F2436">
        <v>0</v>
      </c>
      <c r="G2436">
        <v>-7.8999999999999996E-5</v>
      </c>
      <c r="H2436">
        <v>49.984375</v>
      </c>
      <c r="J2436">
        <v>3891</v>
      </c>
      <c r="N2436" t="s">
        <v>208</v>
      </c>
      <c r="O2436">
        <f t="shared" si="111"/>
        <v>49.996839999999999</v>
      </c>
      <c r="P2436">
        <f t="shared" si="112"/>
        <v>-1.5581249999998548E-2</v>
      </c>
      <c r="Q2436">
        <f t="shared" si="113"/>
        <v>1.5581249999998548E-2</v>
      </c>
      <c r="Y2436">
        <f>TREND(H2431:H2435,G2431:G2435,G2436)</f>
        <v>50.048809976751727</v>
      </c>
      <c r="Z2436">
        <f>ABS((Y2436-H2436)/80*100)</f>
        <v>8.054372093965867E-2</v>
      </c>
      <c r="AH2436">
        <f>H2436-AG2396</f>
        <v>50.075020000000002</v>
      </c>
      <c r="AI2436">
        <f>100*(AH2436-O2436)/80</f>
        <v>9.7725000000004059E-2</v>
      </c>
    </row>
    <row r="2437" spans="1:41" x14ac:dyDescent="0.35">
      <c r="A2437" t="s">
        <v>304</v>
      </c>
      <c r="B2437" t="s">
        <v>1111</v>
      </c>
      <c r="C2437" t="s">
        <v>1807</v>
      </c>
      <c r="D2437">
        <v>50</v>
      </c>
      <c r="E2437">
        <v>50</v>
      </c>
      <c r="F2437">
        <v>-1</v>
      </c>
      <c r="G2437">
        <v>-1.0000279999999999</v>
      </c>
      <c r="H2437">
        <v>9.9812499999999993</v>
      </c>
      <c r="J2437">
        <v>3902</v>
      </c>
      <c r="N2437" t="s">
        <v>208</v>
      </c>
      <c r="O2437">
        <f t="shared" si="111"/>
        <v>9.9988800000000033</v>
      </c>
      <c r="P2437">
        <f t="shared" si="112"/>
        <v>-2.2037500000005039E-2</v>
      </c>
      <c r="Q2437">
        <f t="shared" si="113"/>
        <v>2.2037500000005039E-2</v>
      </c>
      <c r="Y2437">
        <f>TREND(H2431:H2435,G2431:G2435,G2437)</f>
        <v>9.9552575371671992</v>
      </c>
      <c r="Z2437">
        <f>ABS((Y2437-H2437)/80*100)</f>
        <v>3.2490578541000126E-2</v>
      </c>
      <c r="AH2437">
        <f>H2437-AG2396</f>
        <v>10.071895000000001</v>
      </c>
      <c r="AI2437">
        <f>100*(AH2437-O2437)/80</f>
        <v>9.1268749999997567E-2</v>
      </c>
    </row>
    <row r="2438" spans="1:41" x14ac:dyDescent="0.35">
      <c r="A2438" t="s">
        <v>304</v>
      </c>
      <c r="B2438" t="s">
        <v>1111</v>
      </c>
      <c r="C2438" t="s">
        <v>1844</v>
      </c>
      <c r="D2438">
        <v>70</v>
      </c>
      <c r="E2438">
        <v>70</v>
      </c>
      <c r="F2438">
        <v>-1</v>
      </c>
      <c r="G2438">
        <v>-0.99996300000000005</v>
      </c>
      <c r="H2438">
        <v>9.8468750000000007</v>
      </c>
      <c r="J2438">
        <v>12115</v>
      </c>
      <c r="N2438" t="s">
        <v>208</v>
      </c>
      <c r="O2438">
        <f t="shared" si="111"/>
        <v>10.001479999999997</v>
      </c>
      <c r="P2438">
        <f t="shared" si="112"/>
        <v>-0.19325624999999569</v>
      </c>
      <c r="Q2438">
        <f t="shared" si="113"/>
        <v>0.19325624999999569</v>
      </c>
      <c r="S2438">
        <v>49.935937500000001</v>
      </c>
      <c r="T2438">
        <v>-6.2228124999998968E-2</v>
      </c>
      <c r="U2438">
        <v>90.103125000000006</v>
      </c>
      <c r="V2438">
        <v>0.13105625000001453</v>
      </c>
      <c r="W2438">
        <v>80.256251525878909</v>
      </c>
      <c r="X2438">
        <f>(W2438-80)/80*100</f>
        <v>0.32031440734863637</v>
      </c>
      <c r="Y2438">
        <f>TREND(H2438:H2442,G2438:G2442,G2438)</f>
        <v>9.8080820493275951</v>
      </c>
      <c r="Z2438">
        <f>ABS((Y2438-H2438)/80*100)</f>
        <v>4.849118834050703E-2</v>
      </c>
      <c r="AA2438">
        <f>MAX(Z2438:Z2442)</f>
        <v>5.9299686896778787E-2</v>
      </c>
      <c r="AB2438">
        <f>IF(ABS(MAX(P2438:P2444)) &gt; ABS(MIN(P2438:P2444)),MAX(P2438:P2444), MIN(P2438:P2444))</f>
        <v>-0.21789062499999901</v>
      </c>
      <c r="AC2438">
        <f>IF(ABS(AB2439)&gt;ABS(AB2438),AB2439,AB2438)</f>
        <v>-0.21789062499999901</v>
      </c>
      <c r="AH2438">
        <f>H2438-AG2396</f>
        <v>9.9375200000000028</v>
      </c>
      <c r="AI2438">
        <f>100*(AH2438-O2438)/80</f>
        <v>-7.9949999999993082E-2</v>
      </c>
      <c r="AJ2438">
        <v>50.026582500000004</v>
      </c>
      <c r="AK2438">
        <v>5.1078125000003638E-2</v>
      </c>
      <c r="AL2438">
        <v>90.193770000000001</v>
      </c>
      <c r="AM2438">
        <v>0.24436250000000825</v>
      </c>
      <c r="AN2438">
        <f>IF(ABS(MAX(AI2438:AI2444)) &gt; ABS(MIN(AI2438:AI2444)),MAX(AI2438:AI2444), MIN(AI2438:AI2444))</f>
        <v>0.24436250000000825</v>
      </c>
      <c r="AO2438">
        <f>IF(ABS(AN2439)&gt;ABS(AN2438),AN2439,AN2438)</f>
        <v>0.24436250000000825</v>
      </c>
    </row>
    <row r="2439" spans="1:41" x14ac:dyDescent="0.35">
      <c r="A2439" t="s">
        <v>304</v>
      </c>
      <c r="B2439" t="s">
        <v>1111</v>
      </c>
      <c r="C2439" t="s">
        <v>1881</v>
      </c>
      <c r="D2439">
        <v>70</v>
      </c>
      <c r="E2439">
        <v>70</v>
      </c>
      <c r="F2439">
        <v>-0.5</v>
      </c>
      <c r="G2439">
        <v>-0.49990000000000001</v>
      </c>
      <c r="H2439">
        <v>29.829687499999999</v>
      </c>
      <c r="J2439">
        <v>12124</v>
      </c>
      <c r="N2439" t="s">
        <v>208</v>
      </c>
      <c r="O2439">
        <f t="shared" si="111"/>
        <v>30.003999999999998</v>
      </c>
      <c r="P2439">
        <f t="shared" si="112"/>
        <v>-0.21789062499999901</v>
      </c>
      <c r="Q2439">
        <f t="shared" si="113"/>
        <v>0.21789062499999901</v>
      </c>
      <c r="Y2439">
        <f>TREND(H2438:H2442,G2438:G2442,G2439)</f>
        <v>29.875231644774505</v>
      </c>
      <c r="Z2439">
        <f>ABS((Y2439-H2439)/80*100)</f>
        <v>5.69301809681333E-2</v>
      </c>
      <c r="AB2439">
        <f>IF(ABS(T2438) &gt; ABS(V2438),T2438,V2438)</f>
        <v>0.13105625000001453</v>
      </c>
      <c r="AH2439">
        <f>H2439-AG2396</f>
        <v>29.920332500000001</v>
      </c>
      <c r="AI2439">
        <f>100*(AH2439-O2439)/80</f>
        <v>-0.1045843749999964</v>
      </c>
      <c r="AN2439">
        <f>IF(ABS(AK2438) &gt; ABS(AM2438),AK2438,AM2438)</f>
        <v>0.24436250000000825</v>
      </c>
    </row>
    <row r="2440" spans="1:41" x14ac:dyDescent="0.35">
      <c r="A2440" t="s">
        <v>304</v>
      </c>
      <c r="B2440" t="s">
        <v>1111</v>
      </c>
      <c r="C2440" t="s">
        <v>1917</v>
      </c>
      <c r="D2440">
        <v>70</v>
      </c>
      <c r="E2440">
        <v>70</v>
      </c>
      <c r="F2440">
        <v>0</v>
      </c>
      <c r="G2440">
        <v>-3.57E-4</v>
      </c>
      <c r="H2440">
        <v>49.935937500000001</v>
      </c>
      <c r="J2440">
        <v>12137</v>
      </c>
      <c r="N2440" t="s">
        <v>208</v>
      </c>
      <c r="O2440">
        <f t="shared" si="111"/>
        <v>49.985720000000001</v>
      </c>
      <c r="P2440">
        <f t="shared" si="112"/>
        <v>-6.2228124999998968E-2</v>
      </c>
      <c r="Q2440">
        <f t="shared" si="113"/>
        <v>6.2228124999998968E-2</v>
      </c>
      <c r="Y2440">
        <f>TREND(H2438:H2442,G2438:G2442,G2440)</f>
        <v>49.921514033910142</v>
      </c>
      <c r="Z2440">
        <f>ABS((Y2440-H2440)/80*100)</f>
        <v>1.8029332612323756E-2</v>
      </c>
      <c r="AH2440">
        <f>H2440-AG2396</f>
        <v>50.026582500000004</v>
      </c>
      <c r="AI2440">
        <f>100*(AH2440-O2440)/80</f>
        <v>5.1078125000003638E-2</v>
      </c>
    </row>
    <row r="2441" spans="1:41" x14ac:dyDescent="0.35">
      <c r="A2441" t="s">
        <v>304</v>
      </c>
      <c r="B2441" t="s">
        <v>1111</v>
      </c>
      <c r="C2441" t="s">
        <v>1954</v>
      </c>
      <c r="D2441">
        <v>70</v>
      </c>
      <c r="E2441">
        <v>70</v>
      </c>
      <c r="F2441">
        <v>0.5</v>
      </c>
      <c r="G2441">
        <v>0.50035300000000005</v>
      </c>
      <c r="H2441">
        <v>69.967187499999994</v>
      </c>
      <c r="J2441">
        <v>12152</v>
      </c>
      <c r="N2441" t="s">
        <v>208</v>
      </c>
      <c r="O2441">
        <f t="shared" ref="O2441:O2504" si="114">(((G2441--1)*(40))+10)</f>
        <v>70.014120000000005</v>
      </c>
      <c r="P2441">
        <f t="shared" ref="P2441:P2504" si="115">100*(H2441-O2441)/80</f>
        <v>-5.8665625000013932E-2</v>
      </c>
      <c r="Q2441">
        <f t="shared" ref="Q2441:Q2504" si="116">ABS(P2441)</f>
        <v>5.8665625000013932E-2</v>
      </c>
      <c r="Y2441">
        <f>TREND(H2438:H2442,G2438:G2442,G2441)</f>
        <v>70.014627249517417</v>
      </c>
      <c r="Z2441">
        <f>ABS((Y2441-H2441)/80*100)</f>
        <v>5.9299686896778787E-2</v>
      </c>
      <c r="AH2441">
        <f>H2441-AG2396</f>
        <v>70.057832499999989</v>
      </c>
      <c r="AI2441">
        <f>100*(AH2441-O2441)/80</f>
        <v>5.4640624999979792E-2</v>
      </c>
    </row>
    <row r="2442" spans="1:41" x14ac:dyDescent="0.35">
      <c r="A2442" t="s">
        <v>304</v>
      </c>
      <c r="B2442" t="s">
        <v>1111</v>
      </c>
      <c r="C2442" t="s">
        <v>1990</v>
      </c>
      <c r="D2442">
        <v>70</v>
      </c>
      <c r="E2442">
        <v>70</v>
      </c>
      <c r="F2442">
        <v>1</v>
      </c>
      <c r="G2442">
        <v>0.99995699999999998</v>
      </c>
      <c r="H2442">
        <v>90.103125000000006</v>
      </c>
      <c r="J2442">
        <v>12158</v>
      </c>
      <c r="N2442" t="s">
        <v>208</v>
      </c>
      <c r="O2442">
        <f t="shared" si="114"/>
        <v>89.998279999999994</v>
      </c>
      <c r="P2442">
        <f t="shared" si="115"/>
        <v>0.13105625000001453</v>
      </c>
      <c r="Q2442">
        <f t="shared" si="116"/>
        <v>0.13105625000001453</v>
      </c>
      <c r="Y2442">
        <f>TREND(H2438:H2442,G2438:G2442,G2442)</f>
        <v>90.063357522470341</v>
      </c>
      <c r="Z2442">
        <f>ABS((Y2442-H2442)/80*100)</f>
        <v>4.970934691208128E-2</v>
      </c>
      <c r="AH2442">
        <f>H2442-AG2396</f>
        <v>90.193770000000001</v>
      </c>
      <c r="AI2442">
        <f>100*(AH2442-O2442)/80</f>
        <v>0.24436250000000825</v>
      </c>
    </row>
    <row r="2443" spans="1:41" x14ac:dyDescent="0.35">
      <c r="A2443" t="s">
        <v>304</v>
      </c>
      <c r="B2443" t="s">
        <v>1111</v>
      </c>
      <c r="C2443" t="s">
        <v>2027</v>
      </c>
      <c r="D2443">
        <v>70</v>
      </c>
      <c r="E2443">
        <v>70</v>
      </c>
      <c r="F2443">
        <v>0</v>
      </c>
      <c r="G2443">
        <v>1.2400000000000001E-4</v>
      </c>
      <c r="H2443">
        <v>49.909374999999997</v>
      </c>
      <c r="J2443">
        <v>12163</v>
      </c>
      <c r="N2443" t="s">
        <v>208</v>
      </c>
      <c r="O2443">
        <f t="shared" si="114"/>
        <v>50.004959999999997</v>
      </c>
      <c r="P2443">
        <f t="shared" si="115"/>
        <v>-0.11948124999999976</v>
      </c>
      <c r="Q2443">
        <f t="shared" si="116"/>
        <v>0.11948124999999976</v>
      </c>
      <c r="Y2443">
        <f>TREND(H2438:H2442,G2438:G2442,G2443)</f>
        <v>49.94081619974807</v>
      </c>
      <c r="Z2443">
        <f>ABS((Y2443-H2443)/80*100)</f>
        <v>3.9301499685091557E-2</v>
      </c>
      <c r="AH2443">
        <f>H2443-AG2396</f>
        <v>50.000019999999999</v>
      </c>
      <c r="AI2443">
        <f>100*(AH2443-O2443)/80</f>
        <v>-6.174999999997155E-3</v>
      </c>
    </row>
    <row r="2444" spans="1:41" x14ac:dyDescent="0.35">
      <c r="A2444" t="s">
        <v>304</v>
      </c>
      <c r="B2444" t="s">
        <v>1111</v>
      </c>
      <c r="C2444" t="s">
        <v>2063</v>
      </c>
      <c r="D2444">
        <v>70</v>
      </c>
      <c r="E2444">
        <v>70</v>
      </c>
      <c r="F2444">
        <v>-1</v>
      </c>
      <c r="G2444">
        <v>-0.99992800000000004</v>
      </c>
      <c r="H2444">
        <v>9.8328124999999993</v>
      </c>
      <c r="J2444">
        <v>12169</v>
      </c>
      <c r="N2444" t="s">
        <v>208</v>
      </c>
      <c r="O2444">
        <f t="shared" si="114"/>
        <v>10.002879999999998</v>
      </c>
      <c r="P2444">
        <f t="shared" si="115"/>
        <v>-0.21258437499999783</v>
      </c>
      <c r="Q2444">
        <f t="shared" si="116"/>
        <v>0.21258437499999783</v>
      </c>
      <c r="Y2444">
        <f>TREND(H2438:H2442,G2438:G2442,G2444)</f>
        <v>9.8094865728293144</v>
      </c>
      <c r="Z2444">
        <f>ABS((Y2444-H2444)/80*100)</f>
        <v>2.9157408963356172E-2</v>
      </c>
      <c r="AH2444">
        <f>H2444-AG2396</f>
        <v>9.9234575000000014</v>
      </c>
      <c r="AI2444">
        <f>100*(AH2444-O2444)/80</f>
        <v>-9.9278124999995221E-2</v>
      </c>
    </row>
    <row r="2445" spans="1:41" x14ac:dyDescent="0.35">
      <c r="A2445" t="s">
        <v>304</v>
      </c>
      <c r="B2445" t="s">
        <v>1111</v>
      </c>
      <c r="C2445" t="s">
        <v>2099</v>
      </c>
      <c r="D2445">
        <v>85</v>
      </c>
      <c r="E2445">
        <v>85</v>
      </c>
      <c r="F2445">
        <v>-1</v>
      </c>
      <c r="G2445">
        <v>-0.99995999999999996</v>
      </c>
      <c r="H2445">
        <v>9.7734375</v>
      </c>
      <c r="J2445">
        <v>18336</v>
      </c>
      <c r="N2445" t="s">
        <v>208</v>
      </c>
      <c r="O2445">
        <f t="shared" si="114"/>
        <v>10.001600000000002</v>
      </c>
      <c r="P2445">
        <f t="shared" si="115"/>
        <v>-0.285203125000002</v>
      </c>
      <c r="Q2445">
        <f t="shared" si="116"/>
        <v>0.285203125000002</v>
      </c>
      <c r="S2445">
        <v>49.8984375</v>
      </c>
      <c r="T2445">
        <v>-0.1254531250000035</v>
      </c>
      <c r="U2445">
        <v>90.087500000000006</v>
      </c>
      <c r="V2445">
        <v>0.10627500000001788</v>
      </c>
      <c r="W2445">
        <v>80.314064025878906</v>
      </c>
      <c r="X2445">
        <f>(W2445-80)/80*100</f>
        <v>0.39258003234863281</v>
      </c>
      <c r="Y2445">
        <f>TREND(H2445:H2449,G2445:G2449,G2445)</f>
        <v>9.7387575406590017</v>
      </c>
      <c r="Z2445">
        <f>ABS((Y2445-H2445)/80*100)</f>
        <v>4.3349949176247904E-2</v>
      </c>
      <c r="AA2445">
        <f>MAX(Z2445:Z2449)</f>
        <v>6.1695264403387469E-2</v>
      </c>
      <c r="AB2445">
        <f>IF(ABS(MAX(P2445:P2451)) &gt; ABS(MIN(P2445:P2451)),MAX(P2445:P2451), MIN(P2445:P2451))</f>
        <v>-0.33424062499999962</v>
      </c>
      <c r="AC2445">
        <f>IF(ABS(AB2446)&gt;ABS(AB2445),AB2446,AB2445)</f>
        <v>-0.33424062499999962</v>
      </c>
      <c r="AH2445">
        <f>H2445-AG2396</f>
        <v>9.8640825000000021</v>
      </c>
      <c r="AI2445">
        <f>100*(AH2445-O2445)/80</f>
        <v>-0.17189687499999939</v>
      </c>
      <c r="AJ2445">
        <v>49.989082500000002</v>
      </c>
      <c r="AK2445">
        <v>-1.214687500000089E-2</v>
      </c>
      <c r="AL2445">
        <v>90.178145000000001</v>
      </c>
      <c r="AM2445">
        <v>0.21958125000001161</v>
      </c>
      <c r="AN2445">
        <f>IF(ABS(MAX(AI2445:AI2451)) &gt; ABS(MIN(AI2445:AI2451)),MAX(AI2445:AI2451), MIN(AI2445:AI2451))</f>
        <v>-0.22093437499999702</v>
      </c>
      <c r="AO2445">
        <f>IF(ABS(AN2446)&gt;ABS(AN2445),AN2446,AN2445)</f>
        <v>-0.22093437499999702</v>
      </c>
    </row>
    <row r="2446" spans="1:41" x14ac:dyDescent="0.35">
      <c r="A2446" t="s">
        <v>304</v>
      </c>
      <c r="B2446" t="s">
        <v>1111</v>
      </c>
      <c r="C2446" t="s">
        <v>2135</v>
      </c>
      <c r="D2446">
        <v>85</v>
      </c>
      <c r="E2446">
        <v>85</v>
      </c>
      <c r="F2446">
        <v>-0.5</v>
      </c>
      <c r="G2446">
        <v>-0.50014800000000004</v>
      </c>
      <c r="H2446">
        <v>29.771875000000001</v>
      </c>
      <c r="J2446">
        <v>18338</v>
      </c>
      <c r="N2446" t="s">
        <v>208</v>
      </c>
      <c r="O2446">
        <f t="shared" si="114"/>
        <v>29.994079999999997</v>
      </c>
      <c r="P2446">
        <f t="shared" si="115"/>
        <v>-0.27775624999999415</v>
      </c>
      <c r="Q2446">
        <f t="shared" si="116"/>
        <v>0.27775624999999415</v>
      </c>
      <c r="Y2446">
        <f>TREND(H2445:H2449,G2445:G2449,G2446)</f>
        <v>29.821231211522711</v>
      </c>
      <c r="Z2446">
        <f>ABS((Y2446-H2446)/80*100)</f>
        <v>6.1695264403387469E-2</v>
      </c>
      <c r="AB2446">
        <f>IF(ABS(T2445) &gt; ABS(V2445),T2445,V2445)</f>
        <v>-0.1254531250000035</v>
      </c>
      <c r="AH2446">
        <f>H2446-AG2396</f>
        <v>29.862520000000004</v>
      </c>
      <c r="AI2446">
        <f>100*(AH2446-O2446)/80</f>
        <v>-0.16444999999999155</v>
      </c>
      <c r="AN2446">
        <f>IF(ABS(AK2445) &gt; ABS(AM2445),AK2445,AM2445)</f>
        <v>0.21958125000001161</v>
      </c>
    </row>
    <row r="2447" spans="1:41" x14ac:dyDescent="0.35">
      <c r="A2447" t="s">
        <v>304</v>
      </c>
      <c r="B2447" t="s">
        <v>1111</v>
      </c>
      <c r="C2447" t="s">
        <v>2172</v>
      </c>
      <c r="D2447">
        <v>85</v>
      </c>
      <c r="E2447">
        <v>85</v>
      </c>
      <c r="F2447">
        <v>0</v>
      </c>
      <c r="G2447">
        <v>-3.0000000000000001E-5</v>
      </c>
      <c r="H2447">
        <v>49.8984375</v>
      </c>
      <c r="J2447">
        <v>18349</v>
      </c>
      <c r="N2447" t="s">
        <v>208</v>
      </c>
      <c r="O2447">
        <f t="shared" si="114"/>
        <v>49.998800000000003</v>
      </c>
      <c r="P2447">
        <f t="shared" si="115"/>
        <v>-0.1254531250000035</v>
      </c>
      <c r="Q2447">
        <f t="shared" si="116"/>
        <v>0.1254531250000035</v>
      </c>
      <c r="Y2447">
        <f>TREND(H2445:H2449,G2445:G2449,G2447)</f>
        <v>49.915999979229412</v>
      </c>
      <c r="Z2447">
        <f>ABS((Y2447-H2447)/80*100)</f>
        <v>2.1953099036764456E-2</v>
      </c>
      <c r="AH2447">
        <f>H2447-AG2396</f>
        <v>49.989082500000002</v>
      </c>
      <c r="AI2447">
        <f>100*(AH2447-O2447)/80</f>
        <v>-1.214687500000089E-2</v>
      </c>
    </row>
    <row r="2448" spans="1:41" x14ac:dyDescent="0.35">
      <c r="A2448" t="s">
        <v>304</v>
      </c>
      <c r="B2448" t="s">
        <v>1111</v>
      </c>
      <c r="C2448" t="s">
        <v>2209</v>
      </c>
      <c r="D2448">
        <v>85</v>
      </c>
      <c r="E2448">
        <v>85</v>
      </c>
      <c r="F2448">
        <v>0.5</v>
      </c>
      <c r="G2448">
        <v>0.499996</v>
      </c>
      <c r="H2448">
        <v>70.051562500000003</v>
      </c>
      <c r="J2448">
        <v>18358</v>
      </c>
      <c r="N2448" t="s">
        <v>208</v>
      </c>
      <c r="O2448">
        <f t="shared" si="114"/>
        <v>69.999839999999992</v>
      </c>
      <c r="P2448">
        <f t="shared" si="115"/>
        <v>6.4653125000013745E-2</v>
      </c>
      <c r="Q2448">
        <f t="shared" si="116"/>
        <v>6.4653125000013745E-2</v>
      </c>
      <c r="Y2448">
        <f>TREND(H2445:H2449,G2445:G2449,G2448)</f>
        <v>70.007072181872203</v>
      </c>
      <c r="Z2448">
        <f>ABS((Y2448-H2448)/80*100)</f>
        <v>5.5612897659749194E-2</v>
      </c>
      <c r="AH2448">
        <f>H2448-AG2396</f>
        <v>70.142207500000012</v>
      </c>
      <c r="AI2448">
        <f>100*(AH2448-O2448)/80</f>
        <v>0.17795937500002523</v>
      </c>
    </row>
    <row r="2449" spans="1:41" x14ac:dyDescent="0.35">
      <c r="A2449" t="s">
        <v>304</v>
      </c>
      <c r="B2449" t="s">
        <v>1111</v>
      </c>
      <c r="C2449" t="s">
        <v>2245</v>
      </c>
      <c r="D2449">
        <v>85</v>
      </c>
      <c r="E2449">
        <v>85</v>
      </c>
      <c r="F2449">
        <v>1</v>
      </c>
      <c r="G2449">
        <v>1.000062</v>
      </c>
      <c r="H2449">
        <v>90.087500000000006</v>
      </c>
      <c r="J2449">
        <v>18371</v>
      </c>
      <c r="N2449" t="s">
        <v>208</v>
      </c>
      <c r="O2449">
        <f t="shared" si="114"/>
        <v>90.002479999999991</v>
      </c>
      <c r="P2449">
        <f t="shared" si="115"/>
        <v>0.10627500000001788</v>
      </c>
      <c r="Q2449">
        <f t="shared" si="116"/>
        <v>0.10627500000001788</v>
      </c>
      <c r="Y2449">
        <f>TREND(H2445:H2449,G2445:G2449,G2449)</f>
        <v>90.099751586716678</v>
      </c>
      <c r="Z2449">
        <f>ABS((Y2449-H2449)/80*100)</f>
        <v>1.5314483395840741E-2</v>
      </c>
      <c r="AH2449">
        <f>H2449-AG2396</f>
        <v>90.178145000000001</v>
      </c>
      <c r="AI2449">
        <f>100*(AH2449-O2449)/80</f>
        <v>0.21958125000001161</v>
      </c>
    </row>
    <row r="2450" spans="1:41" x14ac:dyDescent="0.35">
      <c r="A2450" t="s">
        <v>304</v>
      </c>
      <c r="B2450" t="s">
        <v>1111</v>
      </c>
      <c r="C2450" t="s">
        <v>2282</v>
      </c>
      <c r="D2450">
        <v>85</v>
      </c>
      <c r="E2450">
        <v>85</v>
      </c>
      <c r="F2450">
        <v>0</v>
      </c>
      <c r="G2450">
        <v>-1.2300000000000001E-4</v>
      </c>
      <c r="H2450">
        <v>49.895312500000003</v>
      </c>
      <c r="J2450">
        <v>18373</v>
      </c>
      <c r="N2450" t="s">
        <v>208</v>
      </c>
      <c r="O2450">
        <f t="shared" si="114"/>
        <v>49.995080000000002</v>
      </c>
      <c r="P2450">
        <f t="shared" si="115"/>
        <v>-0.12470937499999835</v>
      </c>
      <c r="Q2450">
        <f t="shared" si="116"/>
        <v>0.12470937499999835</v>
      </c>
      <c r="Y2450">
        <f>TREND(H2445:H2449,G2445:G2449,G2450)</f>
        <v>49.912263234110462</v>
      </c>
      <c r="Z2450">
        <f>ABS((Y2450-H2450)/80*100)</f>
        <v>2.1188417638073886E-2</v>
      </c>
      <c r="AH2450">
        <f>H2450-AG2396</f>
        <v>49.985957500000005</v>
      </c>
      <c r="AI2450">
        <f>100*(AH2450-O2450)/80</f>
        <v>-1.140312499999574E-2</v>
      </c>
    </row>
    <row r="2451" spans="1:41" x14ac:dyDescent="0.35">
      <c r="A2451" t="s">
        <v>304</v>
      </c>
      <c r="B2451" t="s">
        <v>1111</v>
      </c>
      <c r="C2451" t="s">
        <v>2319</v>
      </c>
      <c r="D2451">
        <v>85</v>
      </c>
      <c r="E2451">
        <v>85</v>
      </c>
      <c r="F2451">
        <v>-1</v>
      </c>
      <c r="G2451">
        <v>-1.000073</v>
      </c>
      <c r="H2451">
        <v>9.7296875000000007</v>
      </c>
      <c r="J2451">
        <v>18381</v>
      </c>
      <c r="N2451" t="s">
        <v>208</v>
      </c>
      <c r="O2451">
        <f t="shared" si="114"/>
        <v>9.9970800000000004</v>
      </c>
      <c r="P2451">
        <f t="shared" si="115"/>
        <v>-0.33424062499999962</v>
      </c>
      <c r="Q2451">
        <f t="shared" si="116"/>
        <v>0.33424062499999962</v>
      </c>
      <c r="Y2451">
        <f>TREND(H2445:H2449,G2445:G2449,G2451)</f>
        <v>9.7342171944392106</v>
      </c>
      <c r="Z2451">
        <f>ABS((Y2451-H2451)/80*100)</f>
        <v>5.662118049012399E-3</v>
      </c>
      <c r="AH2451">
        <f>H2451-AG2396</f>
        <v>9.8203325000000028</v>
      </c>
      <c r="AI2451">
        <f>100*(AH2451-O2451)/80</f>
        <v>-0.22093437499999702</v>
      </c>
    </row>
    <row r="2452" spans="1:41" x14ac:dyDescent="0.35">
      <c r="A2452" t="s">
        <v>304</v>
      </c>
      <c r="B2452" t="s">
        <v>1111</v>
      </c>
      <c r="C2452" t="s">
        <v>2356</v>
      </c>
      <c r="D2452">
        <v>25</v>
      </c>
      <c r="E2452">
        <v>25</v>
      </c>
      <c r="F2452">
        <v>-1</v>
      </c>
      <c r="G2452">
        <v>-1.000237</v>
      </c>
      <c r="H2452">
        <v>9.9546875000000004</v>
      </c>
      <c r="J2452">
        <v>-6138</v>
      </c>
      <c r="N2452" t="s">
        <v>208</v>
      </c>
      <c r="O2452">
        <f t="shared" si="114"/>
        <v>9.9905199999999983</v>
      </c>
      <c r="P2452">
        <f t="shared" si="115"/>
        <v>-4.4790624999997419E-2</v>
      </c>
      <c r="Q2452">
        <f t="shared" si="116"/>
        <v>4.4790624999997419E-2</v>
      </c>
      <c r="S2452">
        <v>49.8671875</v>
      </c>
      <c r="T2452">
        <v>-0.16581562499999869</v>
      </c>
      <c r="U2452">
        <v>89.995312499999997</v>
      </c>
      <c r="V2452">
        <v>-8.8093750000162174E-3</v>
      </c>
      <c r="W2452">
        <v>80.040628051757807</v>
      </c>
      <c r="X2452">
        <f>(W2452-80)/80*100</f>
        <v>5.078506469725852E-2</v>
      </c>
      <c r="Y2452">
        <f>TREND(H2452:H2456,G2452:G2456,G2452)</f>
        <v>9.8757172266047348</v>
      </c>
      <c r="Z2452">
        <f>ABS((Y2452-H2452)/80*100)</f>
        <v>9.8712841744081903E-2</v>
      </c>
      <c r="AA2452">
        <f>MAX(Z2452:Z2456)</f>
        <v>0.12263384360977625</v>
      </c>
      <c r="AB2452">
        <f>IF(ABS(MAX(P2452:P2458)) &gt; ABS(MIN(P2452:P2458)),MAX(P2452:P2458), MIN(P2452:P2458))</f>
        <v>-0.22525312500000894</v>
      </c>
      <c r="AC2452">
        <f>IF(ABS(AB2453)&gt;ABS(AB2452),AB2453,AB2452)</f>
        <v>-0.22525312500000894</v>
      </c>
      <c r="AH2452">
        <f>H2452-AG2396</f>
        <v>10.045332500000002</v>
      </c>
      <c r="AI2452">
        <f>100*(AH2452-O2452)/80</f>
        <v>6.8515625000005187E-2</v>
      </c>
      <c r="AJ2452">
        <v>49.957832500000002</v>
      </c>
      <c r="AK2452">
        <v>-5.2509374999996083E-2</v>
      </c>
      <c r="AL2452">
        <v>90.085957500000006</v>
      </c>
      <c r="AM2452">
        <v>0.10449687499999527</v>
      </c>
      <c r="AN2452">
        <f>IF(ABS(MAX(AI2452:AI2458)) &gt; ABS(MIN(AI2452:AI2458)),MAX(AI2452:AI2458), MIN(AI2452:AI2458))</f>
        <v>0.205649999999995</v>
      </c>
      <c r="AO2452">
        <f>IF(ABS(AN2453)&gt;ABS(AN2452),AN2453,AN2452)</f>
        <v>0.205649999999995</v>
      </c>
    </row>
    <row r="2453" spans="1:41" x14ac:dyDescent="0.35">
      <c r="A2453" t="s">
        <v>304</v>
      </c>
      <c r="B2453" t="s">
        <v>1111</v>
      </c>
      <c r="C2453" t="s">
        <v>2392</v>
      </c>
      <c r="D2453">
        <v>25</v>
      </c>
      <c r="E2453">
        <v>25</v>
      </c>
      <c r="F2453">
        <v>-0.5</v>
      </c>
      <c r="G2453">
        <v>-0.50038700000000003</v>
      </c>
      <c r="H2453">
        <v>29.814062499999999</v>
      </c>
      <c r="J2453">
        <v>-6151</v>
      </c>
      <c r="N2453" t="s">
        <v>208</v>
      </c>
      <c r="O2453">
        <f t="shared" si="114"/>
        <v>29.98452</v>
      </c>
      <c r="P2453">
        <f t="shared" si="115"/>
        <v>-0.21307187500000158</v>
      </c>
      <c r="Q2453">
        <f t="shared" si="116"/>
        <v>0.21307187500000158</v>
      </c>
      <c r="Y2453">
        <f>TREND(H2452:H2456,G2452:G2456,G2453)</f>
        <v>29.89989464025313</v>
      </c>
      <c r="Z2453">
        <f>ABS((Y2453-H2453)/80*100)</f>
        <v>0.1072901753164146</v>
      </c>
      <c r="AB2453">
        <f>IF(ABS(T2452) &gt; ABS(V2452),T2452,V2452)</f>
        <v>-0.16581562499999869</v>
      </c>
      <c r="AH2453">
        <f>H2453-AG2396</f>
        <v>29.904707500000001</v>
      </c>
      <c r="AI2453">
        <f>100*(AH2453-O2453)/80</f>
        <v>-9.976562499999897E-2</v>
      </c>
      <c r="AN2453">
        <f>IF(ABS(AK2452) &gt; ABS(AM2452),AK2452,AM2452)</f>
        <v>0.10449687499999527</v>
      </c>
    </row>
    <row r="2454" spans="1:41" x14ac:dyDescent="0.35">
      <c r="A2454" t="s">
        <v>304</v>
      </c>
      <c r="B2454" t="s">
        <v>1111</v>
      </c>
      <c r="C2454" t="s">
        <v>2429</v>
      </c>
      <c r="D2454">
        <v>25</v>
      </c>
      <c r="E2454">
        <v>25</v>
      </c>
      <c r="F2454">
        <v>0</v>
      </c>
      <c r="G2454">
        <v>-3.9999999999999998E-6</v>
      </c>
      <c r="H2454">
        <v>49.8671875</v>
      </c>
      <c r="J2454">
        <v>-6159</v>
      </c>
      <c r="N2454" t="s">
        <v>208</v>
      </c>
      <c r="O2454">
        <f t="shared" si="114"/>
        <v>49.999839999999999</v>
      </c>
      <c r="P2454">
        <f t="shared" si="115"/>
        <v>-0.16581562499999869</v>
      </c>
      <c r="Q2454">
        <f t="shared" si="116"/>
        <v>0.16581562499999869</v>
      </c>
      <c r="Y2454">
        <f>TREND(H2452:H2456,G2452:G2456,G2454)</f>
        <v>49.945424232678114</v>
      </c>
      <c r="Z2454">
        <f>ABS((Y2454-H2454)/80*100)</f>
        <v>9.7795915847642689E-2</v>
      </c>
      <c r="AH2454">
        <f>H2454-AG2396</f>
        <v>49.957832500000002</v>
      </c>
      <c r="AI2454">
        <f>100*(AH2454-O2454)/80</f>
        <v>-5.2509374999996083E-2</v>
      </c>
    </row>
    <row r="2455" spans="1:41" x14ac:dyDescent="0.35">
      <c r="A2455" t="s">
        <v>304</v>
      </c>
      <c r="B2455" t="s">
        <v>1111</v>
      </c>
      <c r="C2455" t="s">
        <v>2466</v>
      </c>
      <c r="D2455">
        <v>25</v>
      </c>
      <c r="E2455">
        <v>25</v>
      </c>
      <c r="F2455">
        <v>0.5</v>
      </c>
      <c r="G2455">
        <v>0.49995000000000001</v>
      </c>
      <c r="H2455">
        <v>70.071875000000006</v>
      </c>
      <c r="J2455">
        <v>-6168</v>
      </c>
      <c r="N2455" t="s">
        <v>208</v>
      </c>
      <c r="O2455">
        <f t="shared" si="114"/>
        <v>69.998000000000005</v>
      </c>
      <c r="P2455">
        <f t="shared" si="115"/>
        <v>9.2343750000001279E-2</v>
      </c>
      <c r="Q2455">
        <f t="shared" si="116"/>
        <v>9.2343750000001279E-2</v>
      </c>
      <c r="Y2455">
        <f>TREND(H2452:H2456,G2452:G2456,G2455)</f>
        <v>69.973767925112185</v>
      </c>
      <c r="Z2455">
        <f>ABS((Y2455-H2455)/80*100)</f>
        <v>0.12263384360977625</v>
      </c>
      <c r="AH2455">
        <f>H2455-AG2396</f>
        <v>70.162520000000001</v>
      </c>
      <c r="AI2455">
        <f>100*(AH2455-O2455)/80</f>
        <v>0.205649999999995</v>
      </c>
    </row>
    <row r="2456" spans="1:41" x14ac:dyDescent="0.35">
      <c r="A2456" t="s">
        <v>304</v>
      </c>
      <c r="B2456" t="s">
        <v>1111</v>
      </c>
      <c r="C2456" t="s">
        <v>2503</v>
      </c>
      <c r="D2456">
        <v>25</v>
      </c>
      <c r="E2456">
        <v>24.9</v>
      </c>
      <c r="F2456">
        <v>1</v>
      </c>
      <c r="G2456">
        <v>1.000059</v>
      </c>
      <c r="H2456">
        <v>89.995312499999997</v>
      </c>
      <c r="J2456">
        <v>-6189</v>
      </c>
      <c r="N2456" t="s">
        <v>208</v>
      </c>
      <c r="O2456">
        <f t="shared" si="114"/>
        <v>90.00236000000001</v>
      </c>
      <c r="P2456">
        <f t="shared" si="115"/>
        <v>-8.8093750000162174E-3</v>
      </c>
      <c r="Q2456">
        <f t="shared" si="116"/>
        <v>8.8093750000162174E-3</v>
      </c>
      <c r="Y2456">
        <f>TREND(H2452:H2456,G2452:G2456,G2456)</f>
        <v>90.008320975351836</v>
      </c>
      <c r="Z2456">
        <f>ABS((Y2456-H2456)/80*100)</f>
        <v>1.6260594189798638E-2</v>
      </c>
      <c r="AH2456">
        <f>H2456-AG2396</f>
        <v>90.085957500000006</v>
      </c>
      <c r="AI2456">
        <f>100*(AH2456-O2456)/80</f>
        <v>0.10449687499999527</v>
      </c>
    </row>
    <row r="2457" spans="1:41" x14ac:dyDescent="0.35">
      <c r="A2457" t="s">
        <v>304</v>
      </c>
      <c r="B2457" t="s">
        <v>1111</v>
      </c>
      <c r="C2457" t="s">
        <v>2540</v>
      </c>
      <c r="D2457">
        <v>25</v>
      </c>
      <c r="E2457">
        <v>25</v>
      </c>
      <c r="F2457">
        <v>0</v>
      </c>
      <c r="G2457">
        <v>9.1000000000000003E-5</v>
      </c>
      <c r="H2457">
        <v>49.823437499999997</v>
      </c>
      <c r="J2457">
        <v>-6175</v>
      </c>
      <c r="N2457" t="s">
        <v>208</v>
      </c>
      <c r="O2457">
        <f t="shared" si="114"/>
        <v>50.003640000000004</v>
      </c>
      <c r="P2457">
        <f t="shared" si="115"/>
        <v>-0.22525312500000894</v>
      </c>
      <c r="Q2457">
        <f t="shared" si="116"/>
        <v>0.22525312500000894</v>
      </c>
      <c r="Y2457">
        <f>TREND(H2452:H2456,G2452:G2456,G2457)</f>
        <v>49.949229968107332</v>
      </c>
      <c r="Z2457">
        <f>ABS((Y2457-H2457)/80*100)</f>
        <v>0.1572405851341685</v>
      </c>
      <c r="AH2457">
        <f>H2457-AG2396</f>
        <v>49.914082499999999</v>
      </c>
      <c r="AI2457">
        <f>100*(AH2457-O2457)/80</f>
        <v>-0.11194687500000633</v>
      </c>
    </row>
    <row r="2458" spans="1:41" x14ac:dyDescent="0.35">
      <c r="A2458" t="s">
        <v>304</v>
      </c>
      <c r="B2458" t="s">
        <v>1111</v>
      </c>
      <c r="C2458" t="s">
        <v>2574</v>
      </c>
      <c r="D2458">
        <v>25</v>
      </c>
      <c r="E2458">
        <v>25</v>
      </c>
      <c r="F2458">
        <v>-1</v>
      </c>
      <c r="G2458">
        <v>-0.99995800000000001</v>
      </c>
      <c r="H2458">
        <v>9.8968749999999996</v>
      </c>
      <c r="J2458">
        <v>-6198</v>
      </c>
      <c r="N2458" t="s">
        <v>208</v>
      </c>
      <c r="O2458">
        <f t="shared" si="114"/>
        <v>10.00168</v>
      </c>
      <c r="P2458">
        <f t="shared" si="115"/>
        <v>-0.13100625000000088</v>
      </c>
      <c r="Q2458">
        <f t="shared" si="116"/>
        <v>0.13100625000000088</v>
      </c>
      <c r="Y2458">
        <f>TREND(H2452:H2456,G2452:G2456,G2458)</f>
        <v>9.886894070654769</v>
      </c>
      <c r="Z2458">
        <f>ABS((Y2458-H2458)/80*100)</f>
        <v>1.2476161681538311E-2</v>
      </c>
      <c r="AH2458">
        <f>H2458-AG2396</f>
        <v>9.9875200000000017</v>
      </c>
      <c r="AI2458">
        <f>100*(AH2458-O2458)/80</f>
        <v>-1.7699999999998273E-2</v>
      </c>
    </row>
    <row r="2459" spans="1:41" x14ac:dyDescent="0.35">
      <c r="A2459" t="s">
        <v>306</v>
      </c>
      <c r="B2459" t="s">
        <v>231</v>
      </c>
      <c r="C2459" t="s">
        <v>307</v>
      </c>
      <c r="D2459">
        <v>25</v>
      </c>
      <c r="E2459">
        <v>25</v>
      </c>
      <c r="F2459">
        <v>-1</v>
      </c>
      <c r="G2459">
        <v>-0.99998399999999998</v>
      </c>
      <c r="H2459">
        <v>49.998437500000001</v>
      </c>
      <c r="J2459">
        <v>-1</v>
      </c>
      <c r="N2459" t="s">
        <v>209</v>
      </c>
      <c r="O2459">
        <f t="shared" si="114"/>
        <v>10.000640000000001</v>
      </c>
      <c r="P2459">
        <f t="shared" si="115"/>
        <v>49.997246875000009</v>
      </c>
      <c r="Q2459">
        <f t="shared" si="116"/>
        <v>49.997246875000009</v>
      </c>
      <c r="S2459">
        <v>49.998437500000001</v>
      </c>
      <c r="T2459">
        <v>1.7696875000003942E-2</v>
      </c>
      <c r="U2459">
        <v>49.998437500000001</v>
      </c>
      <c r="V2459">
        <v>-50.002053125000018</v>
      </c>
      <c r="W2459">
        <v>-1.5258789076710855E-6</v>
      </c>
      <c r="X2459">
        <f>(W2459-80)/80*100</f>
        <v>-100.00000190734863</v>
      </c>
      <c r="Y2459">
        <f>TREND(H2459:H2463,G2459:G2463,G2459)</f>
        <v>49.998437500000001</v>
      </c>
      <c r="Z2459">
        <f>ABS((Y2459-H2459)/80*100)</f>
        <v>0</v>
      </c>
      <c r="AA2459">
        <f>MAX(Z2459:Z2463)</f>
        <v>0</v>
      </c>
      <c r="AB2459">
        <f>IF(ABS(MAX(P2459:P2465)) &gt; ABS(MIN(P2459:P2465)),MAX(P2459:P2465), MIN(P2459:P2465))</f>
        <v>50.010896875</v>
      </c>
      <c r="AC2459">
        <f>IF(ABS(AB2460)&gt;ABS(AB2459),AB2460,AB2459)</f>
        <v>50.010896875</v>
      </c>
      <c r="AD2459">
        <f>MAX(AD2460:AD2461)</f>
        <v>1.5150000000003772E-2</v>
      </c>
      <c r="AE2459">
        <f>MAX(AE2460:AE2480)</f>
        <v>2.0150000000001E-2</v>
      </c>
      <c r="AF2459">
        <f>MAX(AD2459,AA2459)</f>
        <v>1.5150000000003772E-2</v>
      </c>
      <c r="AG2459">
        <f>H2461-O2461</f>
        <v>1.4157500000003154E-2</v>
      </c>
      <c r="AH2459">
        <f>H2459-AG2459</f>
        <v>49.984279999999998</v>
      </c>
      <c r="AI2459">
        <f>100*(AH2459-O2459)/80</f>
        <v>49.979549999999996</v>
      </c>
      <c r="AJ2459">
        <v>49.984279999999998</v>
      </c>
      <c r="AK2459">
        <v>0</v>
      </c>
      <c r="AL2459">
        <v>49.984279999999998</v>
      </c>
      <c r="AM2459">
        <v>-50.019750000000016</v>
      </c>
      <c r="AN2459">
        <f>IF(ABS(MAX(AI2459:AI2465)) &gt; ABS(MIN(AI2459:AI2465)),MAX(AI2459:AI2465), MIN(AI2459:AI2465))</f>
        <v>-50.019750000000016</v>
      </c>
      <c r="AO2459">
        <f>IF(ABS(AN2460)&gt;ABS(AN2459),AN2460,AN2459)</f>
        <v>-50.019750000000016</v>
      </c>
    </row>
    <row r="2460" spans="1:41" x14ac:dyDescent="0.35">
      <c r="A2460" t="s">
        <v>306</v>
      </c>
      <c r="B2460" t="s">
        <v>231</v>
      </c>
      <c r="C2460" t="s">
        <v>343</v>
      </c>
      <c r="D2460">
        <v>25</v>
      </c>
      <c r="E2460">
        <v>25</v>
      </c>
      <c r="F2460">
        <v>-0.5</v>
      </c>
      <c r="G2460">
        <v>-0.50014700000000001</v>
      </c>
      <c r="H2460">
        <v>49.998437500000001</v>
      </c>
      <c r="J2460">
        <v>-1</v>
      </c>
      <c r="N2460" t="s">
        <v>209</v>
      </c>
      <c r="O2460">
        <f t="shared" si="114"/>
        <v>29.994119999999999</v>
      </c>
      <c r="P2460">
        <f t="shared" si="115"/>
        <v>25.005396875000002</v>
      </c>
      <c r="Q2460">
        <f t="shared" si="116"/>
        <v>25.005396875000002</v>
      </c>
      <c r="Y2460">
        <f>TREND(H2459:H2463,G2459:G2463,G2460)</f>
        <v>49.998437500000001</v>
      </c>
      <c r="Z2460">
        <f>ABS((Y2460-H2460)/80*100)</f>
        <v>0</v>
      </c>
      <c r="AB2460">
        <f>IF(ABS(T2459) &gt; ABS(V2459),T2459,V2459)</f>
        <v>-50.002053125000018</v>
      </c>
      <c r="AD2460">
        <f>ABS(P2461-P2464)</f>
        <v>1.5150000000003772E-2</v>
      </c>
      <c r="AE2460">
        <f>ABS(P2487-P2459)</f>
        <v>6.7000000000092541E-3</v>
      </c>
      <c r="AH2460">
        <f>H2460-AG2459</f>
        <v>49.984279999999998</v>
      </c>
      <c r="AI2460">
        <f>100*(AH2460-O2460)/80</f>
        <v>24.987699999999997</v>
      </c>
      <c r="AN2460">
        <f>IF(ABS(AK2459) &gt; ABS(AM2459),AK2459,AM2459)</f>
        <v>-50.019750000000016</v>
      </c>
    </row>
    <row r="2461" spans="1:41" x14ac:dyDescent="0.35">
      <c r="A2461" t="s">
        <v>306</v>
      </c>
      <c r="B2461" t="s">
        <v>231</v>
      </c>
      <c r="C2461" t="s">
        <v>380</v>
      </c>
      <c r="D2461">
        <v>25</v>
      </c>
      <c r="E2461">
        <v>25</v>
      </c>
      <c r="F2461">
        <v>0</v>
      </c>
      <c r="G2461">
        <v>-3.9300000000000001E-4</v>
      </c>
      <c r="H2461">
        <v>49.998437500000001</v>
      </c>
      <c r="J2461">
        <v>-1</v>
      </c>
      <c r="N2461" t="s">
        <v>209</v>
      </c>
      <c r="O2461">
        <f t="shared" si="114"/>
        <v>49.984279999999998</v>
      </c>
      <c r="P2461">
        <f t="shared" si="115"/>
        <v>1.7696875000003942E-2</v>
      </c>
      <c r="Q2461">
        <f t="shared" si="116"/>
        <v>1.7696875000003942E-2</v>
      </c>
      <c r="Y2461">
        <f>TREND(H2459:H2463,G2459:G2463,G2461)</f>
        <v>49.998437500000001</v>
      </c>
      <c r="Z2461">
        <f>ABS((Y2461-H2461)/80*100)</f>
        <v>0</v>
      </c>
      <c r="AD2461">
        <f>ABS(P2459-P2465)</f>
        <v>1.364999999999128E-2</v>
      </c>
      <c r="AE2461">
        <f>ABS(P2488-P2460)</f>
        <v>1.7000000000031434E-3</v>
      </c>
      <c r="AH2461">
        <f>H2461-AG2459</f>
        <v>49.984279999999998</v>
      </c>
      <c r="AI2461">
        <f>100*(AH2461-O2461)/80</f>
        <v>0</v>
      </c>
    </row>
    <row r="2462" spans="1:41" x14ac:dyDescent="0.35">
      <c r="A2462" t="s">
        <v>306</v>
      </c>
      <c r="B2462" t="s">
        <v>231</v>
      </c>
      <c r="C2462" t="s">
        <v>417</v>
      </c>
      <c r="D2462">
        <v>25</v>
      </c>
      <c r="E2462">
        <v>25</v>
      </c>
      <c r="F2462">
        <v>0.5</v>
      </c>
      <c r="G2462">
        <v>0.50007999999999997</v>
      </c>
      <c r="H2462">
        <v>49.998437500000001</v>
      </c>
      <c r="J2462">
        <v>-1</v>
      </c>
      <c r="N2462" t="s">
        <v>209</v>
      </c>
      <c r="O2462">
        <f t="shared" si="114"/>
        <v>70.003200000000007</v>
      </c>
      <c r="P2462">
        <f t="shared" si="115"/>
        <v>-25.005953125000008</v>
      </c>
      <c r="Q2462">
        <f t="shared" si="116"/>
        <v>25.005953125000008</v>
      </c>
      <c r="Y2462">
        <f>TREND(H2459:H2463,G2459:G2463,G2462)</f>
        <v>49.998437500000001</v>
      </c>
      <c r="Z2462">
        <f>ABS((Y2462-H2462)/80*100)</f>
        <v>0</v>
      </c>
      <c r="AE2462">
        <f>ABS(P2489-P2461)</f>
        <v>1.7649999999997945E-2</v>
      </c>
      <c r="AH2462">
        <f>H2462-AG2459</f>
        <v>49.984279999999998</v>
      </c>
      <c r="AI2462">
        <f>100*(AH2462-O2462)/80</f>
        <v>-25.023650000000011</v>
      </c>
    </row>
    <row r="2463" spans="1:41" x14ac:dyDescent="0.35">
      <c r="A2463" t="s">
        <v>306</v>
      </c>
      <c r="B2463" t="s">
        <v>231</v>
      </c>
      <c r="C2463" t="s">
        <v>454</v>
      </c>
      <c r="D2463">
        <v>25</v>
      </c>
      <c r="E2463">
        <v>25</v>
      </c>
      <c r="F2463">
        <v>1</v>
      </c>
      <c r="G2463">
        <v>1.0000020000000001</v>
      </c>
      <c r="H2463">
        <v>49.998437500000001</v>
      </c>
      <c r="J2463">
        <v>-1</v>
      </c>
      <c r="N2463" t="s">
        <v>209</v>
      </c>
      <c r="O2463">
        <f t="shared" si="114"/>
        <v>90.000080000000011</v>
      </c>
      <c r="P2463">
        <f t="shared" si="115"/>
        <v>-50.002053125000018</v>
      </c>
      <c r="Q2463">
        <f t="shared" si="116"/>
        <v>50.002053125000018</v>
      </c>
      <c r="Y2463">
        <f>TREND(H2459:H2463,G2459:G2463,G2463)</f>
        <v>49.998437500000001</v>
      </c>
      <c r="Z2463">
        <f>ABS((Y2463-H2463)/80*100)</f>
        <v>0</v>
      </c>
      <c r="AE2463">
        <f>ABS(P2490-P2462)</f>
        <v>1.6900000000017457E-2</v>
      </c>
      <c r="AH2463">
        <f>H2463-AG2459</f>
        <v>49.984279999999998</v>
      </c>
      <c r="AI2463">
        <f>100*(AH2463-O2463)/80</f>
        <v>-50.019750000000016</v>
      </c>
    </row>
    <row r="2464" spans="1:41" x14ac:dyDescent="0.35">
      <c r="A2464" t="s">
        <v>306</v>
      </c>
      <c r="B2464" t="s">
        <v>231</v>
      </c>
      <c r="C2464" t="s">
        <v>491</v>
      </c>
      <c r="D2464">
        <v>25</v>
      </c>
      <c r="E2464">
        <v>25</v>
      </c>
      <c r="F2464">
        <v>0</v>
      </c>
      <c r="G2464">
        <v>-9.0000000000000006E-5</v>
      </c>
      <c r="H2464">
        <v>49.998437500000001</v>
      </c>
      <c r="J2464">
        <v>-1</v>
      </c>
      <c r="N2464" t="s">
        <v>209</v>
      </c>
      <c r="O2464">
        <f t="shared" si="114"/>
        <v>49.996400000000001</v>
      </c>
      <c r="P2464">
        <f t="shared" si="115"/>
        <v>2.5468750000001705E-3</v>
      </c>
      <c r="Q2464">
        <f t="shared" si="116"/>
        <v>2.5468750000001705E-3</v>
      </c>
      <c r="Y2464">
        <f>TREND(H2459:H2463,G2459:G2463,G2464)</f>
        <v>49.998437500000001</v>
      </c>
      <c r="Z2464">
        <f>ABS((Y2464-H2464)/80*100)</f>
        <v>0</v>
      </c>
      <c r="AE2464">
        <f>ABS(P2491-P2463)</f>
        <v>9.6499999999650754E-3</v>
      </c>
      <c r="AH2464">
        <f>H2464-AG2459</f>
        <v>49.984279999999998</v>
      </c>
      <c r="AI2464">
        <f>100*(AH2464-O2464)/80</f>
        <v>-1.5150000000003772E-2</v>
      </c>
    </row>
    <row r="2465" spans="1:41" x14ac:dyDescent="0.35">
      <c r="A2465" t="s">
        <v>306</v>
      </c>
      <c r="B2465" t="s">
        <v>231</v>
      </c>
      <c r="C2465" t="s">
        <v>528</v>
      </c>
      <c r="D2465">
        <v>25</v>
      </c>
      <c r="E2465">
        <v>25</v>
      </c>
      <c r="F2465">
        <v>-1</v>
      </c>
      <c r="G2465">
        <v>-1.000257</v>
      </c>
      <c r="H2465">
        <v>49.998437500000001</v>
      </c>
      <c r="J2465">
        <v>-1</v>
      </c>
      <c r="N2465" t="s">
        <v>209</v>
      </c>
      <c r="O2465">
        <f t="shared" si="114"/>
        <v>9.9897200000000019</v>
      </c>
      <c r="P2465">
        <f t="shared" si="115"/>
        <v>50.010896875</v>
      </c>
      <c r="Q2465">
        <f t="shared" si="116"/>
        <v>50.010896875</v>
      </c>
      <c r="Y2465">
        <f>TREND(H2459:H2463,G2459:G2463,G2465)</f>
        <v>49.998437500000001</v>
      </c>
      <c r="Z2465">
        <f>ABS((Y2465-H2465)/80*100)</f>
        <v>0</v>
      </c>
      <c r="AE2465">
        <f>ABS(P2492-P2464)</f>
        <v>3.6499999999950461E-3</v>
      </c>
      <c r="AH2465">
        <f>H2465-AG2459</f>
        <v>49.984279999999998</v>
      </c>
      <c r="AI2465">
        <f>100*(AH2465-O2465)/80</f>
        <v>49.993199999999987</v>
      </c>
    </row>
    <row r="2466" spans="1:41" x14ac:dyDescent="0.35">
      <c r="A2466" t="s">
        <v>306</v>
      </c>
      <c r="B2466" t="s">
        <v>231</v>
      </c>
      <c r="C2466" t="s">
        <v>565</v>
      </c>
      <c r="D2466">
        <v>-20</v>
      </c>
      <c r="E2466">
        <v>-20.100000000000001</v>
      </c>
      <c r="F2466">
        <v>-1</v>
      </c>
      <c r="G2466">
        <v>-1.000014</v>
      </c>
      <c r="H2466">
        <v>49.998437500000001</v>
      </c>
      <c r="J2466">
        <v>-1</v>
      </c>
      <c r="N2466" t="s">
        <v>209</v>
      </c>
      <c r="O2466">
        <f t="shared" si="114"/>
        <v>9.9994400000000017</v>
      </c>
      <c r="P2466">
        <f t="shared" si="115"/>
        <v>49.998746875000002</v>
      </c>
      <c r="Q2466">
        <f t="shared" si="116"/>
        <v>49.998746875000002</v>
      </c>
      <c r="S2466">
        <v>49.998437500000001</v>
      </c>
      <c r="T2466">
        <v>1.4796874999998266E-2</v>
      </c>
      <c r="U2466">
        <v>49.998437500000001</v>
      </c>
      <c r="V2466">
        <v>-50.001303125000007</v>
      </c>
      <c r="W2466">
        <v>-1.5258789076710855E-6</v>
      </c>
      <c r="X2466">
        <f>(W2466-80)/80*100</f>
        <v>-100.00000190734863</v>
      </c>
      <c r="Y2466">
        <f>TREND(H2466:H2470,G2466:G2470,G2466)</f>
        <v>49.998437500000001</v>
      </c>
      <c r="Z2466">
        <f>ABS((Y2466-H2466)/80*100)</f>
        <v>0</v>
      </c>
      <c r="AA2466">
        <f>MAX(Z2466:Z2470)</f>
        <v>0</v>
      </c>
      <c r="AB2466">
        <f>IF(ABS(MAX(P2466:P2472)) &gt; ABS(MIN(P2466:P2472)),MAX(P2466:P2472), MIN(P2466:P2472))</f>
        <v>50.002946875000006</v>
      </c>
      <c r="AC2466">
        <f>IF(ABS(AB2467)&gt;ABS(AB2466),AB2467,AB2466)</f>
        <v>50.002946875000006</v>
      </c>
      <c r="AE2466">
        <f>ABS(P2493-P2465)</f>
        <v>2.5500000000064915E-3</v>
      </c>
      <c r="AH2466">
        <f>H2466-AG2459</f>
        <v>49.984279999999998</v>
      </c>
      <c r="AI2466">
        <f>100*(AH2466-O2466)/80</f>
        <v>49.981049999999996</v>
      </c>
      <c r="AJ2466">
        <v>49.984279999999998</v>
      </c>
      <c r="AK2466">
        <v>-2.9000000000056758E-3</v>
      </c>
      <c r="AL2466">
        <v>49.984279999999998</v>
      </c>
      <c r="AM2466">
        <v>-50.019000000000013</v>
      </c>
      <c r="AN2466">
        <f>IF(ABS(MAX(AI2466:AI2472)) &gt; ABS(MIN(AI2466:AI2472)),MAX(AI2466:AI2472), MIN(AI2466:AI2472))</f>
        <v>-50.019000000000013</v>
      </c>
      <c r="AO2466">
        <f>IF(ABS(AN2467)&gt;ABS(AN2466),AN2467,AN2466)</f>
        <v>-50.019000000000013</v>
      </c>
    </row>
    <row r="2467" spans="1:41" x14ac:dyDescent="0.35">
      <c r="A2467" t="s">
        <v>306</v>
      </c>
      <c r="B2467" t="s">
        <v>231</v>
      </c>
      <c r="C2467" t="s">
        <v>602</v>
      </c>
      <c r="D2467">
        <v>-20</v>
      </c>
      <c r="E2467">
        <v>-19.899999999999999</v>
      </c>
      <c r="F2467">
        <v>-0.5</v>
      </c>
      <c r="G2467">
        <v>-0.50001499999999999</v>
      </c>
      <c r="H2467">
        <v>49.998437500000001</v>
      </c>
      <c r="J2467">
        <v>-1</v>
      </c>
      <c r="N2467" t="s">
        <v>209</v>
      </c>
      <c r="O2467">
        <f t="shared" si="114"/>
        <v>29.999400000000001</v>
      </c>
      <c r="P2467">
        <f t="shared" si="115"/>
        <v>24.998796875</v>
      </c>
      <c r="Q2467">
        <f t="shared" si="116"/>
        <v>24.998796875</v>
      </c>
      <c r="Y2467">
        <f>TREND(H2466:H2470,G2466:G2470,G2467)</f>
        <v>49.998437500000001</v>
      </c>
      <c r="Z2467">
        <f>ABS((Y2467-H2467)/80*100)</f>
        <v>0</v>
      </c>
      <c r="AB2467">
        <f>IF(ABS(T2466) &gt; ABS(V2466),T2466,V2466)</f>
        <v>-50.001303125000007</v>
      </c>
      <c r="AE2467">
        <f>ABS(P2515-P2459)</f>
        <v>1.2449999999986971E-2</v>
      </c>
      <c r="AH2467">
        <f>H2467-AG2459</f>
        <v>49.984279999999998</v>
      </c>
      <c r="AI2467">
        <f>100*(AH2467-O2467)/80</f>
        <v>24.981099999999994</v>
      </c>
      <c r="AN2467">
        <f>IF(ABS(AK2466) &gt; ABS(AM2466),AK2466,AM2466)</f>
        <v>-50.019000000000013</v>
      </c>
    </row>
    <row r="2468" spans="1:41" x14ac:dyDescent="0.35">
      <c r="A2468" t="s">
        <v>306</v>
      </c>
      <c r="B2468" t="s">
        <v>231</v>
      </c>
      <c r="C2468" t="s">
        <v>638</v>
      </c>
      <c r="D2468">
        <v>-20</v>
      </c>
      <c r="E2468">
        <v>-20</v>
      </c>
      <c r="F2468">
        <v>0</v>
      </c>
      <c r="G2468">
        <v>-3.3500000000000001E-4</v>
      </c>
      <c r="H2468">
        <v>49.998437500000001</v>
      </c>
      <c r="J2468">
        <v>-1</v>
      </c>
      <c r="N2468" t="s">
        <v>209</v>
      </c>
      <c r="O2468">
        <f t="shared" si="114"/>
        <v>49.986600000000003</v>
      </c>
      <c r="P2468">
        <f t="shared" si="115"/>
        <v>1.4796874999998266E-2</v>
      </c>
      <c r="Q2468">
        <f t="shared" si="116"/>
        <v>1.4796874999998266E-2</v>
      </c>
      <c r="Y2468">
        <f>TREND(H2466:H2470,G2466:G2470,G2468)</f>
        <v>49.998437500000001</v>
      </c>
      <c r="Z2468">
        <f>ABS((Y2468-H2468)/80*100)</f>
        <v>0</v>
      </c>
      <c r="AE2468">
        <f>ABS(P2516-P2460)</f>
        <v>4.4499999999985107E-3</v>
      </c>
      <c r="AH2468">
        <f>H2468-AG2459</f>
        <v>49.984279999999998</v>
      </c>
      <c r="AI2468">
        <f>100*(AH2468-O2468)/80</f>
        <v>-2.9000000000056758E-3</v>
      </c>
    </row>
    <row r="2469" spans="1:41" x14ac:dyDescent="0.35">
      <c r="A2469" t="s">
        <v>306</v>
      </c>
      <c r="B2469" t="s">
        <v>231</v>
      </c>
      <c r="C2469" t="s">
        <v>674</v>
      </c>
      <c r="D2469">
        <v>-20</v>
      </c>
      <c r="E2469">
        <v>-20</v>
      </c>
      <c r="F2469">
        <v>0.5</v>
      </c>
      <c r="G2469">
        <v>0.49990699999999999</v>
      </c>
      <c r="H2469">
        <v>49.998437500000001</v>
      </c>
      <c r="J2469">
        <v>-1</v>
      </c>
      <c r="N2469" t="s">
        <v>209</v>
      </c>
      <c r="O2469">
        <f t="shared" si="114"/>
        <v>69.996279999999999</v>
      </c>
      <c r="P2469">
        <f t="shared" si="115"/>
        <v>-24.997303124999995</v>
      </c>
      <c r="Q2469">
        <f t="shared" si="116"/>
        <v>24.997303124999995</v>
      </c>
      <c r="Y2469">
        <f>TREND(H2466:H2470,G2466:G2470,G2469)</f>
        <v>49.998437500000001</v>
      </c>
      <c r="Z2469">
        <f>ABS((Y2469-H2469)/80*100)</f>
        <v>0</v>
      </c>
      <c r="AE2469">
        <f>ABS(P2517-P2461)</f>
        <v>2.0150000000001E-2</v>
      </c>
      <c r="AH2469">
        <f>H2469-AG2459</f>
        <v>49.984279999999998</v>
      </c>
      <c r="AI2469">
        <f>100*(AH2469-O2469)/80</f>
        <v>-25.015000000000001</v>
      </c>
    </row>
    <row r="2470" spans="1:41" x14ac:dyDescent="0.35">
      <c r="A2470" t="s">
        <v>306</v>
      </c>
      <c r="B2470" t="s">
        <v>231</v>
      </c>
      <c r="C2470" t="s">
        <v>711</v>
      </c>
      <c r="D2470">
        <v>-20</v>
      </c>
      <c r="E2470">
        <v>-20</v>
      </c>
      <c r="F2470">
        <v>1</v>
      </c>
      <c r="G2470">
        <v>0.99998699999999996</v>
      </c>
      <c r="H2470">
        <v>49.998437500000001</v>
      </c>
      <c r="J2470">
        <v>-1</v>
      </c>
      <c r="N2470" t="s">
        <v>209</v>
      </c>
      <c r="O2470">
        <f t="shared" si="114"/>
        <v>89.999480000000005</v>
      </c>
      <c r="P2470">
        <f t="shared" si="115"/>
        <v>-50.001303125000007</v>
      </c>
      <c r="Q2470">
        <f t="shared" si="116"/>
        <v>50.001303125000007</v>
      </c>
      <c r="Y2470">
        <f>TREND(H2466:H2470,G2466:G2470,G2470)</f>
        <v>49.998437500000001</v>
      </c>
      <c r="Z2470">
        <f>ABS((Y2470-H2470)/80*100)</f>
        <v>0</v>
      </c>
      <c r="AE2470">
        <f>ABS(P2518-P2462)</f>
        <v>4.500000000007276E-3</v>
      </c>
      <c r="AH2470">
        <f>H2470-AG2459</f>
        <v>49.984279999999998</v>
      </c>
      <c r="AI2470">
        <f>100*(AH2470-O2470)/80</f>
        <v>-50.019000000000013</v>
      </c>
    </row>
    <row r="2471" spans="1:41" x14ac:dyDescent="0.35">
      <c r="A2471" t="s">
        <v>306</v>
      </c>
      <c r="B2471" t="s">
        <v>231</v>
      </c>
      <c r="C2471" t="s">
        <v>747</v>
      </c>
      <c r="D2471">
        <v>-20</v>
      </c>
      <c r="E2471">
        <v>-19.899999999999999</v>
      </c>
      <c r="F2471">
        <v>0</v>
      </c>
      <c r="G2471">
        <v>-3.8000000000000002E-5</v>
      </c>
      <c r="H2471">
        <v>49.998437500000001</v>
      </c>
      <c r="J2471">
        <v>-1</v>
      </c>
      <c r="N2471" t="s">
        <v>209</v>
      </c>
      <c r="O2471">
        <f t="shared" si="114"/>
        <v>49.998480000000001</v>
      </c>
      <c r="P2471">
        <f t="shared" si="115"/>
        <v>-5.3124999999099032E-5</v>
      </c>
      <c r="Q2471">
        <f t="shared" si="116"/>
        <v>5.3124999999099032E-5</v>
      </c>
      <c r="Y2471">
        <f>TREND(H2466:H2470,G2466:G2470,G2471)</f>
        <v>49.998437500000001</v>
      </c>
      <c r="Z2471">
        <f>ABS((Y2471-H2471)/80*100)</f>
        <v>0</v>
      </c>
      <c r="AE2471">
        <f>ABS(P2519-P2463)</f>
        <v>2.4999999998698286E-4</v>
      </c>
      <c r="AH2471">
        <f>H2471-AG2459</f>
        <v>49.984279999999998</v>
      </c>
      <c r="AI2471">
        <f>100*(AH2471-O2471)/80</f>
        <v>-1.7750000000003041E-2</v>
      </c>
    </row>
    <row r="2472" spans="1:41" x14ac:dyDescent="0.35">
      <c r="A2472" t="s">
        <v>306</v>
      </c>
      <c r="B2472" t="s">
        <v>231</v>
      </c>
      <c r="C2472" t="s">
        <v>783</v>
      </c>
      <c r="D2472">
        <v>-20</v>
      </c>
      <c r="E2472">
        <v>-20.100000000000001</v>
      </c>
      <c r="F2472">
        <v>-1</v>
      </c>
      <c r="G2472">
        <v>-1.0000979999999999</v>
      </c>
      <c r="H2472">
        <v>49.998437500000001</v>
      </c>
      <c r="J2472">
        <v>-1</v>
      </c>
      <c r="N2472" t="s">
        <v>209</v>
      </c>
      <c r="O2472">
        <f t="shared" si="114"/>
        <v>9.9960800000000027</v>
      </c>
      <c r="P2472">
        <f t="shared" si="115"/>
        <v>50.002946875000006</v>
      </c>
      <c r="Q2472">
        <f t="shared" si="116"/>
        <v>50.002946875000006</v>
      </c>
      <c r="Y2472">
        <f>TREND(H2466:H2470,G2466:G2470,G2472)</f>
        <v>49.998437500000001</v>
      </c>
      <c r="Z2472">
        <f>ABS((Y2472-H2472)/80*100)</f>
        <v>0</v>
      </c>
      <c r="AE2472">
        <f>ABS(P2520-P2464)</f>
        <v>1.2949999999998241E-2</v>
      </c>
      <c r="AH2472">
        <f>H2472-AG2459</f>
        <v>49.984279999999998</v>
      </c>
      <c r="AI2472">
        <f>100*(AH2472-O2472)/80</f>
        <v>49.985249999999994</v>
      </c>
    </row>
    <row r="2473" spans="1:41" x14ac:dyDescent="0.35">
      <c r="A2473" t="s">
        <v>306</v>
      </c>
      <c r="B2473" t="s">
        <v>231</v>
      </c>
      <c r="C2473" t="s">
        <v>820</v>
      </c>
      <c r="D2473">
        <v>0</v>
      </c>
      <c r="E2473">
        <v>-0.3</v>
      </c>
      <c r="F2473">
        <v>-1</v>
      </c>
      <c r="G2473">
        <v>-0.99974499999999999</v>
      </c>
      <c r="H2473">
        <v>49.998437500000001</v>
      </c>
      <c r="J2473">
        <v>-1</v>
      </c>
      <c r="N2473" t="s">
        <v>209</v>
      </c>
      <c r="O2473">
        <f t="shared" si="114"/>
        <v>10.010200000000001</v>
      </c>
      <c r="P2473">
        <f t="shared" si="115"/>
        <v>49.985296874999996</v>
      </c>
      <c r="Q2473">
        <f t="shared" si="116"/>
        <v>49.985296874999996</v>
      </c>
      <c r="S2473">
        <v>49.998437500000001</v>
      </c>
      <c r="T2473">
        <v>1.0996875000000017E-2</v>
      </c>
      <c r="U2473">
        <v>49.998437500000001</v>
      </c>
      <c r="V2473">
        <v>-49.992903125000005</v>
      </c>
      <c r="W2473">
        <v>-1.5258789076710855E-6</v>
      </c>
      <c r="X2473">
        <f>(W2473-80)/80*100</f>
        <v>-100.00000190734863</v>
      </c>
      <c r="Y2473">
        <f>TREND(H2473:H2477,G2473:G2477,G2473)</f>
        <v>49.998437500000001</v>
      </c>
      <c r="Z2473">
        <f>ABS((Y2473-H2473)/80*100)</f>
        <v>0</v>
      </c>
      <c r="AA2473">
        <f>MAX(Z2473:Z2477)</f>
        <v>0</v>
      </c>
      <c r="AB2473">
        <f>IF(ABS(MAX(P2473:P2479)) &gt; ABS(MIN(P2473:P2479)),MAX(P2473:P2479), MIN(P2473:P2479))</f>
        <v>50.011646875000004</v>
      </c>
      <c r="AC2473">
        <f>IF(ABS(AB2474)&gt;ABS(AB2473),AB2474,AB2473)</f>
        <v>50.011646875000004</v>
      </c>
      <c r="AE2473">
        <f>ABS(P2521-P2465)</f>
        <v>1.1149999999986449E-2</v>
      </c>
      <c r="AH2473">
        <f>H2473-AG2459</f>
        <v>49.984279999999998</v>
      </c>
      <c r="AI2473">
        <f>100*(AH2473-O2473)/80</f>
        <v>49.967599999999997</v>
      </c>
      <c r="AJ2473">
        <v>49.984279999999998</v>
      </c>
      <c r="AK2473">
        <v>-6.700000000003925E-3</v>
      </c>
      <c r="AL2473">
        <v>49.984279999999998</v>
      </c>
      <c r="AM2473">
        <v>-50.010600000000004</v>
      </c>
      <c r="AN2473">
        <f>IF(ABS(MAX(AI2473:AI2479)) &gt; ABS(MIN(AI2473:AI2479)),MAX(AI2473:AI2479), MIN(AI2473:AI2479))</f>
        <v>-50.010600000000004</v>
      </c>
      <c r="AO2473">
        <f>IF(ABS(AN2474)&gt;ABS(AN2473),AN2474,AN2473)</f>
        <v>-50.010600000000004</v>
      </c>
    </row>
    <row r="2474" spans="1:41" x14ac:dyDescent="0.35">
      <c r="A2474" t="s">
        <v>306</v>
      </c>
      <c r="B2474" t="s">
        <v>231</v>
      </c>
      <c r="C2474" t="s">
        <v>856</v>
      </c>
      <c r="D2474">
        <v>0</v>
      </c>
      <c r="E2474">
        <v>0.1</v>
      </c>
      <c r="F2474">
        <v>-0.5</v>
      </c>
      <c r="G2474">
        <v>-0.499971</v>
      </c>
      <c r="H2474">
        <v>49.998437500000001</v>
      </c>
      <c r="J2474">
        <v>-1</v>
      </c>
      <c r="N2474" t="s">
        <v>209</v>
      </c>
      <c r="O2474">
        <f t="shared" si="114"/>
        <v>30.001160000000002</v>
      </c>
      <c r="P2474">
        <f t="shared" si="115"/>
        <v>24.996596875000002</v>
      </c>
      <c r="Q2474">
        <f t="shared" si="116"/>
        <v>24.996596875000002</v>
      </c>
      <c r="Y2474">
        <f>TREND(H2473:H2477,G2473:G2477,G2474)</f>
        <v>49.998437500000001</v>
      </c>
      <c r="Z2474">
        <f>ABS((Y2474-H2474)/80*100)</f>
        <v>0</v>
      </c>
      <c r="AB2474">
        <f>IF(ABS(T2473) &gt; ABS(V2473),T2473,V2473)</f>
        <v>-49.992903125000005</v>
      </c>
      <c r="AE2474">
        <f>ABS(P2515-P2487)</f>
        <v>1.9149999999996226E-2</v>
      </c>
      <c r="AH2474">
        <f>H2474-AG2459</f>
        <v>49.984279999999998</v>
      </c>
      <c r="AI2474">
        <f>100*(AH2474-O2474)/80</f>
        <v>24.978899999999996</v>
      </c>
      <c r="AN2474">
        <f>IF(ABS(AK2473) &gt; ABS(AM2473),AK2473,AM2473)</f>
        <v>-50.010600000000004</v>
      </c>
    </row>
    <row r="2475" spans="1:41" x14ac:dyDescent="0.35">
      <c r="A2475" t="s">
        <v>306</v>
      </c>
      <c r="B2475" t="s">
        <v>231</v>
      </c>
      <c r="C2475" t="s">
        <v>892</v>
      </c>
      <c r="D2475">
        <v>0</v>
      </c>
      <c r="E2475">
        <v>-0.1</v>
      </c>
      <c r="F2475">
        <v>0</v>
      </c>
      <c r="G2475">
        <v>-2.5900000000000001E-4</v>
      </c>
      <c r="H2475">
        <v>49.998437500000001</v>
      </c>
      <c r="J2475">
        <v>-1</v>
      </c>
      <c r="N2475" t="s">
        <v>209</v>
      </c>
      <c r="O2475">
        <f t="shared" si="114"/>
        <v>49.989640000000001</v>
      </c>
      <c r="P2475">
        <f t="shared" si="115"/>
        <v>1.0996875000000017E-2</v>
      </c>
      <c r="Q2475">
        <f t="shared" si="116"/>
        <v>1.0996875000000017E-2</v>
      </c>
      <c r="Y2475">
        <f>TREND(H2473:H2477,G2473:G2477,G2475)</f>
        <v>49.998437500000001</v>
      </c>
      <c r="Z2475">
        <f>ABS((Y2475-H2475)/80*100)</f>
        <v>0</v>
      </c>
      <c r="AE2475">
        <f>ABS(P2516-P2488)</f>
        <v>6.1500000000016541E-3</v>
      </c>
      <c r="AH2475">
        <f>H2475-AG2459</f>
        <v>49.984279999999998</v>
      </c>
      <c r="AI2475">
        <f>100*(AH2475-O2475)/80</f>
        <v>-6.700000000003925E-3</v>
      </c>
    </row>
    <row r="2476" spans="1:41" x14ac:dyDescent="0.35">
      <c r="A2476" t="s">
        <v>306</v>
      </c>
      <c r="B2476" t="s">
        <v>231</v>
      </c>
      <c r="C2476" t="s">
        <v>929</v>
      </c>
      <c r="D2476">
        <v>0</v>
      </c>
      <c r="E2476">
        <v>0</v>
      </c>
      <c r="F2476">
        <v>0.5</v>
      </c>
      <c r="G2476">
        <v>0.50018099999999999</v>
      </c>
      <c r="H2476">
        <v>49.998437500000001</v>
      </c>
      <c r="J2476">
        <v>-1</v>
      </c>
      <c r="N2476" t="s">
        <v>209</v>
      </c>
      <c r="O2476">
        <f t="shared" si="114"/>
        <v>70.007239999999996</v>
      </c>
      <c r="P2476">
        <f t="shared" si="115"/>
        <v>-25.011003124999995</v>
      </c>
      <c r="Q2476">
        <f t="shared" si="116"/>
        <v>25.011003124999995</v>
      </c>
      <c r="Y2476">
        <f>TREND(H2473:H2477,G2473:G2477,G2476)</f>
        <v>49.998437500000001</v>
      </c>
      <c r="Z2476">
        <f>ABS((Y2476-H2476)/80*100)</f>
        <v>0</v>
      </c>
      <c r="AE2476">
        <f>ABS(P2517-P2489)</f>
        <v>2.5000000000030553E-3</v>
      </c>
      <c r="AH2476">
        <f>H2476-AG2459</f>
        <v>49.984279999999998</v>
      </c>
      <c r="AI2476">
        <f>100*(AH2476-O2476)/80</f>
        <v>-25.028699999999997</v>
      </c>
    </row>
    <row r="2477" spans="1:41" x14ac:dyDescent="0.35">
      <c r="A2477" t="s">
        <v>306</v>
      </c>
      <c r="B2477" t="s">
        <v>231</v>
      </c>
      <c r="C2477" t="s">
        <v>966</v>
      </c>
      <c r="D2477">
        <v>0</v>
      </c>
      <c r="E2477">
        <v>0.1</v>
      </c>
      <c r="F2477">
        <v>1</v>
      </c>
      <c r="G2477">
        <v>0.99981900000000001</v>
      </c>
      <c r="H2477">
        <v>49.998437500000001</v>
      </c>
      <c r="J2477">
        <v>-1</v>
      </c>
      <c r="N2477" t="s">
        <v>209</v>
      </c>
      <c r="O2477">
        <f t="shared" si="114"/>
        <v>89.992760000000004</v>
      </c>
      <c r="P2477">
        <f t="shared" si="115"/>
        <v>-49.992903125000005</v>
      </c>
      <c r="Q2477">
        <f t="shared" si="116"/>
        <v>49.992903125000005</v>
      </c>
      <c r="Y2477">
        <f>TREND(H2473:H2477,G2473:G2477,G2477)</f>
        <v>49.998437500000001</v>
      </c>
      <c r="Z2477">
        <f>ABS((Y2477-H2477)/80*100)</f>
        <v>0</v>
      </c>
      <c r="AE2477">
        <f>ABS(P2518-P2490)</f>
        <v>1.2400000000010181E-2</v>
      </c>
      <c r="AH2477">
        <f>H2477-AG2459</f>
        <v>49.984279999999998</v>
      </c>
      <c r="AI2477">
        <f>100*(AH2477-O2477)/80</f>
        <v>-50.010600000000004</v>
      </c>
    </row>
    <row r="2478" spans="1:41" x14ac:dyDescent="0.35">
      <c r="A2478" t="s">
        <v>306</v>
      </c>
      <c r="B2478" t="s">
        <v>231</v>
      </c>
      <c r="C2478" t="s">
        <v>1002</v>
      </c>
      <c r="D2478">
        <v>0</v>
      </c>
      <c r="E2478">
        <v>0</v>
      </c>
      <c r="F2478">
        <v>0</v>
      </c>
      <c r="G2478">
        <v>-1.9100000000000001E-4</v>
      </c>
      <c r="H2478">
        <v>49.998437500000001</v>
      </c>
      <c r="J2478">
        <v>-1</v>
      </c>
      <c r="N2478" t="s">
        <v>209</v>
      </c>
      <c r="O2478">
        <f t="shared" si="114"/>
        <v>49.992359999999998</v>
      </c>
      <c r="P2478">
        <f t="shared" si="115"/>
        <v>7.5968750000043883E-3</v>
      </c>
      <c r="Q2478">
        <f t="shared" si="116"/>
        <v>7.5968750000043883E-3</v>
      </c>
      <c r="Y2478">
        <f>TREND(H2473:H2477,G2473:G2477,G2478)</f>
        <v>49.998437500000001</v>
      </c>
      <c r="Z2478">
        <f>ABS((Y2478-H2478)/80*100)</f>
        <v>0</v>
      </c>
      <c r="AE2478">
        <f>ABS(P2519-P2491)</f>
        <v>9.3999999999780925E-3</v>
      </c>
      <c r="AH2478">
        <f>H2478-AG2459</f>
        <v>49.984279999999998</v>
      </c>
      <c r="AI2478">
        <f>100*(AH2478-O2478)/80</f>
        <v>-1.0099999999999554E-2</v>
      </c>
    </row>
    <row r="2479" spans="1:41" x14ac:dyDescent="0.35">
      <c r="A2479" t="s">
        <v>306</v>
      </c>
      <c r="B2479" t="s">
        <v>231</v>
      </c>
      <c r="C2479" t="s">
        <v>1038</v>
      </c>
      <c r="D2479">
        <v>0</v>
      </c>
      <c r="E2479">
        <v>-0.1</v>
      </c>
      <c r="F2479">
        <v>-1</v>
      </c>
      <c r="G2479">
        <v>-1.000272</v>
      </c>
      <c r="H2479">
        <v>49.998437500000001</v>
      </c>
      <c r="J2479">
        <v>-1</v>
      </c>
      <c r="N2479" t="s">
        <v>209</v>
      </c>
      <c r="O2479">
        <f t="shared" si="114"/>
        <v>9.989119999999998</v>
      </c>
      <c r="P2479">
        <f t="shared" si="115"/>
        <v>50.011646875000004</v>
      </c>
      <c r="Q2479">
        <f t="shared" si="116"/>
        <v>50.011646875000004</v>
      </c>
      <c r="Y2479">
        <f>TREND(H2473:H2477,G2473:G2477,G2479)</f>
        <v>49.998437500000001</v>
      </c>
      <c r="Z2479">
        <f>ABS((Y2479-H2479)/80*100)</f>
        <v>0</v>
      </c>
      <c r="AE2479">
        <f>ABS(P2520-P2492)</f>
        <v>9.3000000000031946E-3</v>
      </c>
      <c r="AH2479">
        <f>H2479-AG2459</f>
        <v>49.984279999999998</v>
      </c>
      <c r="AI2479">
        <f>100*(AH2479-O2479)/80</f>
        <v>49.993949999999998</v>
      </c>
    </row>
    <row r="2480" spans="1:41" x14ac:dyDescent="0.35">
      <c r="A2480" t="s">
        <v>306</v>
      </c>
      <c r="B2480" t="s">
        <v>231</v>
      </c>
      <c r="C2480" t="s">
        <v>1074</v>
      </c>
      <c r="D2480">
        <v>10</v>
      </c>
      <c r="E2480">
        <v>10</v>
      </c>
      <c r="F2480">
        <v>-1</v>
      </c>
      <c r="G2480">
        <v>-1.000005</v>
      </c>
      <c r="H2480">
        <v>49.998437500000001</v>
      </c>
      <c r="J2480">
        <v>-1</v>
      </c>
      <c r="N2480" t="s">
        <v>209</v>
      </c>
      <c r="O2480">
        <f t="shared" si="114"/>
        <v>9.9997999999999987</v>
      </c>
      <c r="P2480">
        <f t="shared" si="115"/>
        <v>49.998296875000001</v>
      </c>
      <c r="Q2480">
        <f t="shared" si="116"/>
        <v>49.998296875000001</v>
      </c>
      <c r="S2480">
        <v>49.998437500000001</v>
      </c>
      <c r="T2480">
        <v>3.1968750000022084E-3</v>
      </c>
      <c r="U2480">
        <v>49.998437500000001</v>
      </c>
      <c r="V2480">
        <v>-49.972153124999991</v>
      </c>
      <c r="W2480">
        <v>-1.5258789076710855E-6</v>
      </c>
      <c r="X2480">
        <f>(W2480-80)/80*100</f>
        <v>-100.00000190734863</v>
      </c>
      <c r="Y2480">
        <f>TREND(H2480:H2484,G2480:G2484,G2480)</f>
        <v>49.998437500000001</v>
      </c>
      <c r="Z2480">
        <f>ABS((Y2480-H2480)/80*100)</f>
        <v>0</v>
      </c>
      <c r="AA2480">
        <f>MAX(Z2480:Z2484)</f>
        <v>0</v>
      </c>
      <c r="AB2480">
        <f>IF(ABS(MAX(P2480:P2486)) &gt; ABS(MIN(P2480:P2486)),MAX(P2480:P2486), MIN(P2480:P2486))</f>
        <v>50.004696874999993</v>
      </c>
      <c r="AC2480">
        <f>IF(ABS(AB2481)&gt;ABS(AB2480),AB2481,AB2480)</f>
        <v>50.004696874999993</v>
      </c>
      <c r="AE2480">
        <f>ABS(P2521-P2493)</f>
        <v>8.599999999979957E-3</v>
      </c>
      <c r="AH2480">
        <f>H2480-AG2459</f>
        <v>49.984279999999998</v>
      </c>
      <c r="AI2480">
        <f>100*(AH2480-O2480)/80</f>
        <v>49.980599999999995</v>
      </c>
      <c r="AJ2480">
        <v>49.984279999999998</v>
      </c>
      <c r="AK2480">
        <v>-1.4500000000001734E-2</v>
      </c>
      <c r="AL2480">
        <v>49.984279999999998</v>
      </c>
      <c r="AM2480">
        <v>-49.989849999999997</v>
      </c>
      <c r="AN2480">
        <f>IF(ABS(MAX(AI2480:AI2486)) &gt; ABS(MIN(AI2480:AI2486)),MAX(AI2480:AI2486), MIN(AI2480:AI2486))</f>
        <v>-49.989849999999997</v>
      </c>
      <c r="AO2480">
        <f>IF(ABS(AN2481)&gt;ABS(AN2480),AN2481,AN2480)</f>
        <v>-49.989849999999997</v>
      </c>
    </row>
    <row r="2481" spans="1:41" x14ac:dyDescent="0.35">
      <c r="A2481" t="s">
        <v>306</v>
      </c>
      <c r="B2481" t="s">
        <v>231</v>
      </c>
      <c r="C2481" t="s">
        <v>1110</v>
      </c>
      <c r="D2481">
        <v>10</v>
      </c>
      <c r="E2481">
        <v>10</v>
      </c>
      <c r="F2481">
        <v>-0.5</v>
      </c>
      <c r="G2481">
        <v>-0.50001600000000002</v>
      </c>
      <c r="H2481">
        <v>49.998437500000001</v>
      </c>
      <c r="J2481">
        <v>-1</v>
      </c>
      <c r="N2481" t="s">
        <v>209</v>
      </c>
      <c r="O2481">
        <f t="shared" si="114"/>
        <v>29.999359999999999</v>
      </c>
      <c r="P2481">
        <f t="shared" si="115"/>
        <v>24.998846875000005</v>
      </c>
      <c r="Q2481">
        <f t="shared" si="116"/>
        <v>24.998846875000005</v>
      </c>
      <c r="Y2481">
        <f>TREND(H2480:H2484,G2480:G2484,G2481)</f>
        <v>49.998437500000001</v>
      </c>
      <c r="Z2481">
        <f>ABS((Y2481-H2481)/80*100)</f>
        <v>0</v>
      </c>
      <c r="AB2481">
        <f>IF(ABS(T2480) &gt; ABS(V2480),T2480,V2480)</f>
        <v>-49.972153124999991</v>
      </c>
      <c r="AH2481">
        <f>H2481-AG2459</f>
        <v>49.984279999999998</v>
      </c>
      <c r="AI2481">
        <f>100*(AH2481-O2481)/80</f>
        <v>24.98115</v>
      </c>
      <c r="AN2481">
        <f>IF(ABS(AK2480) &gt; ABS(AM2480),AK2480,AM2480)</f>
        <v>-49.989849999999997</v>
      </c>
    </row>
    <row r="2482" spans="1:41" x14ac:dyDescent="0.35">
      <c r="A2482" t="s">
        <v>306</v>
      </c>
      <c r="B2482" t="s">
        <v>1111</v>
      </c>
      <c r="C2482" t="s">
        <v>1148</v>
      </c>
      <c r="D2482">
        <v>10</v>
      </c>
      <c r="E2482">
        <v>10</v>
      </c>
      <c r="F2482">
        <v>0</v>
      </c>
      <c r="G2482">
        <v>-1.03E-4</v>
      </c>
      <c r="H2482">
        <v>49.998437500000001</v>
      </c>
      <c r="J2482">
        <v>-1</v>
      </c>
      <c r="N2482" t="s">
        <v>209</v>
      </c>
      <c r="O2482">
        <f t="shared" si="114"/>
        <v>49.99588</v>
      </c>
      <c r="P2482">
        <f t="shared" si="115"/>
        <v>3.1968750000022084E-3</v>
      </c>
      <c r="Q2482">
        <f t="shared" si="116"/>
        <v>3.1968750000022084E-3</v>
      </c>
      <c r="Y2482">
        <f>TREND(H2480:H2484,G2480:G2484,G2482)</f>
        <v>49.998437500000001</v>
      </c>
      <c r="Z2482">
        <f>ABS((Y2482-H2482)/80*100)</f>
        <v>0</v>
      </c>
      <c r="AH2482">
        <f>H2482-AG2459</f>
        <v>49.984279999999998</v>
      </c>
      <c r="AI2482">
        <f>100*(AH2482-O2482)/80</f>
        <v>-1.4500000000001734E-2</v>
      </c>
    </row>
    <row r="2483" spans="1:41" x14ac:dyDescent="0.35">
      <c r="A2483" t="s">
        <v>306</v>
      </c>
      <c r="B2483" t="s">
        <v>1111</v>
      </c>
      <c r="C2483" t="s">
        <v>1185</v>
      </c>
      <c r="D2483">
        <v>10</v>
      </c>
      <c r="E2483">
        <v>10</v>
      </c>
      <c r="F2483">
        <v>0.5</v>
      </c>
      <c r="G2483">
        <v>0.50000699999999998</v>
      </c>
      <c r="H2483">
        <v>49.998437500000001</v>
      </c>
      <c r="J2483">
        <v>-1</v>
      </c>
      <c r="N2483" t="s">
        <v>209</v>
      </c>
      <c r="O2483">
        <f t="shared" si="114"/>
        <v>70.000280000000004</v>
      </c>
      <c r="P2483">
        <f t="shared" si="115"/>
        <v>-25.002303125000005</v>
      </c>
      <c r="Q2483">
        <f t="shared" si="116"/>
        <v>25.002303125000005</v>
      </c>
      <c r="Y2483">
        <f>TREND(H2480:H2484,G2480:G2484,G2483)</f>
        <v>49.998437500000001</v>
      </c>
      <c r="Z2483">
        <f>ABS((Y2483-H2483)/80*100)</f>
        <v>0</v>
      </c>
      <c r="AH2483">
        <f>H2483-AG2459</f>
        <v>49.984279999999998</v>
      </c>
      <c r="AI2483">
        <f>100*(AH2483-O2483)/80</f>
        <v>-25.020000000000007</v>
      </c>
    </row>
    <row r="2484" spans="1:41" x14ac:dyDescent="0.35">
      <c r="A2484" t="s">
        <v>306</v>
      </c>
      <c r="B2484" t="s">
        <v>1111</v>
      </c>
      <c r="C2484" t="s">
        <v>1222</v>
      </c>
      <c r="D2484">
        <v>10</v>
      </c>
      <c r="E2484">
        <v>10</v>
      </c>
      <c r="F2484">
        <v>1</v>
      </c>
      <c r="G2484">
        <v>0.99940399999999996</v>
      </c>
      <c r="H2484">
        <v>49.998437500000001</v>
      </c>
      <c r="J2484">
        <v>-1</v>
      </c>
      <c r="N2484" t="s">
        <v>209</v>
      </c>
      <c r="O2484">
        <f t="shared" si="114"/>
        <v>89.976159999999993</v>
      </c>
      <c r="P2484">
        <f t="shared" si="115"/>
        <v>-49.972153124999991</v>
      </c>
      <c r="Q2484">
        <f t="shared" si="116"/>
        <v>49.972153124999991</v>
      </c>
      <c r="Y2484">
        <f>TREND(H2480:H2484,G2480:G2484,G2484)</f>
        <v>49.998437500000001</v>
      </c>
      <c r="Z2484">
        <f>ABS((Y2484-H2484)/80*100)</f>
        <v>0</v>
      </c>
      <c r="AH2484">
        <f>H2484-AG2459</f>
        <v>49.984279999999998</v>
      </c>
      <c r="AI2484">
        <f>100*(AH2484-O2484)/80</f>
        <v>-49.989849999999997</v>
      </c>
    </row>
    <row r="2485" spans="1:41" x14ac:dyDescent="0.35">
      <c r="A2485" t="s">
        <v>306</v>
      </c>
      <c r="B2485" t="s">
        <v>1111</v>
      </c>
      <c r="C2485" t="s">
        <v>1258</v>
      </c>
      <c r="D2485">
        <v>10</v>
      </c>
      <c r="E2485">
        <v>10</v>
      </c>
      <c r="F2485">
        <v>0</v>
      </c>
      <c r="G2485">
        <v>-1.7000000000000001E-4</v>
      </c>
      <c r="H2485">
        <v>49.998437500000001</v>
      </c>
      <c r="J2485">
        <v>-1</v>
      </c>
      <c r="N2485" t="s">
        <v>209</v>
      </c>
      <c r="O2485">
        <f t="shared" si="114"/>
        <v>49.993200000000002</v>
      </c>
      <c r="P2485">
        <f t="shared" si="115"/>
        <v>6.54687499999973E-3</v>
      </c>
      <c r="Q2485">
        <f t="shared" si="116"/>
        <v>6.54687499999973E-3</v>
      </c>
      <c r="Y2485">
        <f>TREND(H2480:H2484,G2480:G2484,G2485)</f>
        <v>49.998437500000001</v>
      </c>
      <c r="Z2485">
        <f>ABS((Y2485-H2485)/80*100)</f>
        <v>0</v>
      </c>
      <c r="AH2485">
        <f>H2485-AG2459</f>
        <v>49.984279999999998</v>
      </c>
      <c r="AI2485">
        <f>100*(AH2485-O2485)/80</f>
        <v>-1.1150000000004212E-2</v>
      </c>
    </row>
    <row r="2486" spans="1:41" x14ac:dyDescent="0.35">
      <c r="A2486" t="s">
        <v>306</v>
      </c>
      <c r="B2486" t="s">
        <v>1111</v>
      </c>
      <c r="C2486" t="s">
        <v>1294</v>
      </c>
      <c r="D2486">
        <v>10</v>
      </c>
      <c r="E2486">
        <v>10</v>
      </c>
      <c r="F2486">
        <v>-1</v>
      </c>
      <c r="G2486">
        <v>-1.0001329999999999</v>
      </c>
      <c r="H2486">
        <v>49.998437500000001</v>
      </c>
      <c r="J2486">
        <v>-1</v>
      </c>
      <c r="N2486" t="s">
        <v>209</v>
      </c>
      <c r="O2486">
        <f t="shared" si="114"/>
        <v>9.9946800000000025</v>
      </c>
      <c r="P2486">
        <f t="shared" si="115"/>
        <v>50.004696874999993</v>
      </c>
      <c r="Q2486">
        <f t="shared" si="116"/>
        <v>50.004696874999993</v>
      </c>
      <c r="Y2486">
        <f>TREND(H2480:H2484,G2480:G2484,G2486)</f>
        <v>49.998437500000001</v>
      </c>
      <c r="Z2486">
        <f>ABS((Y2486-H2486)/80*100)</f>
        <v>0</v>
      </c>
      <c r="AH2486">
        <f>H2486-AG2459</f>
        <v>49.984279999999998</v>
      </c>
      <c r="AI2486">
        <f>100*(AH2486-O2486)/80</f>
        <v>49.986999999999995</v>
      </c>
    </row>
    <row r="2487" spans="1:41" x14ac:dyDescent="0.35">
      <c r="A2487" t="s">
        <v>306</v>
      </c>
      <c r="B2487" t="s">
        <v>1111</v>
      </c>
      <c r="C2487" t="s">
        <v>1331</v>
      </c>
      <c r="D2487">
        <v>25</v>
      </c>
      <c r="E2487">
        <v>25</v>
      </c>
      <c r="F2487">
        <v>-1</v>
      </c>
      <c r="G2487">
        <v>-0.99985000000000002</v>
      </c>
      <c r="H2487">
        <v>49.998437500000001</v>
      </c>
      <c r="J2487">
        <v>-1</v>
      </c>
      <c r="N2487" t="s">
        <v>209</v>
      </c>
      <c r="O2487">
        <f t="shared" si="114"/>
        <v>10.006</v>
      </c>
      <c r="P2487">
        <f t="shared" si="115"/>
        <v>49.990546875</v>
      </c>
      <c r="Q2487">
        <f t="shared" si="116"/>
        <v>49.990546875</v>
      </c>
      <c r="S2487">
        <v>49.998437500000001</v>
      </c>
      <c r="T2487">
        <v>4.6875000005996981E-5</v>
      </c>
      <c r="U2487">
        <v>49.998437500000001</v>
      </c>
      <c r="V2487">
        <v>-50.011703124999983</v>
      </c>
      <c r="W2487">
        <v>-1.5258789076710855E-6</v>
      </c>
      <c r="X2487">
        <f>(W2487-80)/80*100</f>
        <v>-100.00000190734863</v>
      </c>
      <c r="Y2487">
        <f>TREND(H2487:H2491,G2487:G2491,G2487)</f>
        <v>49.998437500000001</v>
      </c>
      <c r="Z2487">
        <f>ABS((Y2487-H2487)/80*100)</f>
        <v>0</v>
      </c>
      <c r="AA2487">
        <f>MAX(Z2487:Z2491)</f>
        <v>0</v>
      </c>
      <c r="AB2487">
        <f>IF(ABS(MAX(P2487:P2493)) &gt; ABS(MIN(P2487:P2493)),MAX(P2487:P2493), MIN(P2487:P2493))</f>
        <v>-50.011703124999983</v>
      </c>
      <c r="AC2487">
        <f>IF(ABS(AB2488)&gt;ABS(AB2487),AB2488,AB2487)</f>
        <v>-50.011703124999983</v>
      </c>
      <c r="AH2487">
        <f>H2487-AG2459</f>
        <v>49.984279999999998</v>
      </c>
      <c r="AI2487">
        <f>100*(AH2487-O2487)/80</f>
        <v>49.972850000000001</v>
      </c>
      <c r="AJ2487">
        <v>49.984279999999998</v>
      </c>
      <c r="AK2487">
        <v>-1.7649999999997945E-2</v>
      </c>
      <c r="AL2487">
        <v>49.984279999999998</v>
      </c>
      <c r="AM2487">
        <v>-50.029399999999988</v>
      </c>
      <c r="AN2487">
        <f>IF(ABS(MAX(AI2487:AI2493)) &gt; ABS(MIN(AI2487:AI2493)),MAX(AI2487:AI2493), MIN(AI2487:AI2493))</f>
        <v>-50.029399999999988</v>
      </c>
      <c r="AO2487">
        <f>IF(ABS(AN2488)&gt;ABS(AN2487),AN2488,AN2487)</f>
        <v>-50.029399999999988</v>
      </c>
    </row>
    <row r="2488" spans="1:41" x14ac:dyDescent="0.35">
      <c r="A2488" t="s">
        <v>306</v>
      </c>
      <c r="B2488" t="s">
        <v>1111</v>
      </c>
      <c r="C2488" t="s">
        <v>1367</v>
      </c>
      <c r="D2488">
        <v>25</v>
      </c>
      <c r="E2488">
        <v>25</v>
      </c>
      <c r="F2488">
        <v>-0.5</v>
      </c>
      <c r="G2488">
        <v>-0.50011300000000003</v>
      </c>
      <c r="H2488">
        <v>49.998437500000001</v>
      </c>
      <c r="J2488">
        <v>-1</v>
      </c>
      <c r="N2488" t="s">
        <v>209</v>
      </c>
      <c r="O2488">
        <f t="shared" si="114"/>
        <v>29.995480000000001</v>
      </c>
      <c r="P2488">
        <f t="shared" si="115"/>
        <v>25.003696874999999</v>
      </c>
      <c r="Q2488">
        <f t="shared" si="116"/>
        <v>25.003696874999999</v>
      </c>
      <c r="Y2488">
        <f>TREND(H2487:H2491,G2487:G2491,G2488)</f>
        <v>49.998437500000001</v>
      </c>
      <c r="Z2488">
        <f>ABS((Y2488-H2488)/80*100)</f>
        <v>0</v>
      </c>
      <c r="AB2488">
        <f>IF(ABS(T2487) &gt; ABS(V2487),T2487,V2487)</f>
        <v>-50.011703124999983</v>
      </c>
      <c r="AH2488">
        <f>H2488-AG2459</f>
        <v>49.984279999999998</v>
      </c>
      <c r="AI2488">
        <f>100*(AH2488-O2488)/80</f>
        <v>24.985999999999997</v>
      </c>
      <c r="AN2488">
        <f>IF(ABS(AK2487) &gt; ABS(AM2487),AK2487,AM2487)</f>
        <v>-50.029399999999988</v>
      </c>
    </row>
    <row r="2489" spans="1:41" x14ac:dyDescent="0.35">
      <c r="A2489" t="s">
        <v>306</v>
      </c>
      <c r="B2489" t="s">
        <v>1111</v>
      </c>
      <c r="C2489" t="s">
        <v>1404</v>
      </c>
      <c r="D2489">
        <v>25</v>
      </c>
      <c r="E2489">
        <v>25</v>
      </c>
      <c r="F2489">
        <v>0</v>
      </c>
      <c r="G2489">
        <v>-4.0000000000000003E-5</v>
      </c>
      <c r="H2489">
        <v>49.998437500000001</v>
      </c>
      <c r="J2489">
        <v>-1</v>
      </c>
      <c r="N2489" t="s">
        <v>209</v>
      </c>
      <c r="O2489">
        <f t="shared" si="114"/>
        <v>49.998399999999997</v>
      </c>
      <c r="P2489">
        <f t="shared" si="115"/>
        <v>4.6875000005996981E-5</v>
      </c>
      <c r="Q2489">
        <f t="shared" si="116"/>
        <v>4.6875000005996981E-5</v>
      </c>
      <c r="Y2489">
        <f>TREND(H2487:H2491,G2487:G2491,G2489)</f>
        <v>49.998437500000001</v>
      </c>
      <c r="Z2489">
        <f>ABS((Y2489-H2489)/80*100)</f>
        <v>0</v>
      </c>
      <c r="AH2489">
        <f>H2489-AG2459</f>
        <v>49.984279999999998</v>
      </c>
      <c r="AI2489">
        <f>100*(AH2489-O2489)/80</f>
        <v>-1.7649999999997945E-2</v>
      </c>
    </row>
    <row r="2490" spans="1:41" x14ac:dyDescent="0.35">
      <c r="A2490" t="s">
        <v>306</v>
      </c>
      <c r="B2490" t="s">
        <v>1111</v>
      </c>
      <c r="C2490" t="s">
        <v>1441</v>
      </c>
      <c r="D2490">
        <v>25</v>
      </c>
      <c r="E2490">
        <v>25</v>
      </c>
      <c r="F2490">
        <v>0.5</v>
      </c>
      <c r="G2490">
        <v>0.49974200000000002</v>
      </c>
      <c r="H2490">
        <v>49.998437500000001</v>
      </c>
      <c r="J2490">
        <v>-1</v>
      </c>
      <c r="N2490" t="s">
        <v>209</v>
      </c>
      <c r="O2490">
        <f t="shared" si="114"/>
        <v>69.989679999999993</v>
      </c>
      <c r="P2490">
        <f t="shared" si="115"/>
        <v>-24.989053124999991</v>
      </c>
      <c r="Q2490">
        <f t="shared" si="116"/>
        <v>24.989053124999991</v>
      </c>
      <c r="Y2490">
        <f>TREND(H2487:H2491,G2487:G2491,G2490)</f>
        <v>49.998437500000001</v>
      </c>
      <c r="Z2490">
        <f>ABS((Y2490-H2490)/80*100)</f>
        <v>0</v>
      </c>
      <c r="AH2490">
        <f>H2490-AG2459</f>
        <v>49.984279999999998</v>
      </c>
      <c r="AI2490">
        <f>100*(AH2490-O2490)/80</f>
        <v>-25.006749999999993</v>
      </c>
    </row>
    <row r="2491" spans="1:41" x14ac:dyDescent="0.35">
      <c r="A2491" t="s">
        <v>306</v>
      </c>
      <c r="B2491" t="s">
        <v>1111</v>
      </c>
      <c r="C2491" t="s">
        <v>1477</v>
      </c>
      <c r="D2491">
        <v>25</v>
      </c>
      <c r="E2491">
        <v>25</v>
      </c>
      <c r="F2491">
        <v>1</v>
      </c>
      <c r="G2491">
        <v>1.0001949999999999</v>
      </c>
      <c r="H2491">
        <v>49.998437500000001</v>
      </c>
      <c r="J2491">
        <v>-1</v>
      </c>
      <c r="N2491" t="s">
        <v>209</v>
      </c>
      <c r="O2491">
        <f t="shared" si="114"/>
        <v>90.007799999999989</v>
      </c>
      <c r="P2491">
        <f t="shared" si="115"/>
        <v>-50.011703124999983</v>
      </c>
      <c r="Q2491">
        <f t="shared" si="116"/>
        <v>50.011703124999983</v>
      </c>
      <c r="Y2491">
        <f>TREND(H2487:H2491,G2487:G2491,G2491)</f>
        <v>49.998437500000001</v>
      </c>
      <c r="Z2491">
        <f>ABS((Y2491-H2491)/80*100)</f>
        <v>0</v>
      </c>
      <c r="AH2491">
        <f>H2491-AG2459</f>
        <v>49.984279999999998</v>
      </c>
      <c r="AI2491">
        <f>100*(AH2491-O2491)/80</f>
        <v>-50.029399999999988</v>
      </c>
    </row>
    <row r="2492" spans="1:41" x14ac:dyDescent="0.35">
      <c r="A2492" t="s">
        <v>306</v>
      </c>
      <c r="B2492" t="s">
        <v>1111</v>
      </c>
      <c r="C2492" t="s">
        <v>1514</v>
      </c>
      <c r="D2492">
        <v>25</v>
      </c>
      <c r="E2492">
        <v>25</v>
      </c>
      <c r="F2492">
        <v>0</v>
      </c>
      <c r="G2492">
        <v>-1.7E-5</v>
      </c>
      <c r="H2492">
        <v>49.998437500000001</v>
      </c>
      <c r="J2492">
        <v>-1</v>
      </c>
      <c r="N2492" t="s">
        <v>209</v>
      </c>
      <c r="O2492">
        <f t="shared" si="114"/>
        <v>49.999319999999997</v>
      </c>
      <c r="P2492">
        <f t="shared" si="115"/>
        <v>-1.1031249999948756E-3</v>
      </c>
      <c r="Q2492">
        <f t="shared" si="116"/>
        <v>1.1031249999948756E-3</v>
      </c>
      <c r="Y2492">
        <f>TREND(H2487:H2491,G2487:G2491,G2492)</f>
        <v>49.998437500000001</v>
      </c>
      <c r="Z2492">
        <f>ABS((Y2492-H2492)/80*100)</f>
        <v>0</v>
      </c>
      <c r="AH2492">
        <f>H2492-AG2459</f>
        <v>49.984279999999998</v>
      </c>
      <c r="AI2492">
        <f>100*(AH2492-O2492)/80</f>
        <v>-1.8799999999998818E-2</v>
      </c>
    </row>
    <row r="2493" spans="1:41" x14ac:dyDescent="0.35">
      <c r="A2493" t="s">
        <v>306</v>
      </c>
      <c r="B2493" t="s">
        <v>1111</v>
      </c>
      <c r="C2493" t="s">
        <v>1551</v>
      </c>
      <c r="D2493">
        <v>25</v>
      </c>
      <c r="E2493">
        <v>25</v>
      </c>
      <c r="F2493">
        <v>-1</v>
      </c>
      <c r="G2493">
        <v>-1.0002059999999999</v>
      </c>
      <c r="H2493">
        <v>49.998437500000001</v>
      </c>
      <c r="J2493">
        <v>-1</v>
      </c>
      <c r="N2493" t="s">
        <v>209</v>
      </c>
      <c r="O2493">
        <f t="shared" si="114"/>
        <v>9.9917600000000029</v>
      </c>
      <c r="P2493">
        <f t="shared" si="115"/>
        <v>50.008346874999994</v>
      </c>
      <c r="Q2493">
        <f t="shared" si="116"/>
        <v>50.008346874999994</v>
      </c>
      <c r="Y2493">
        <f>TREND(H2487:H2491,G2487:G2491,G2493)</f>
        <v>49.998437500000001</v>
      </c>
      <c r="Z2493">
        <f>ABS((Y2493-H2493)/80*100)</f>
        <v>0</v>
      </c>
      <c r="AH2493">
        <f>H2493-AG2459</f>
        <v>49.984279999999998</v>
      </c>
      <c r="AI2493">
        <f>100*(AH2493-O2493)/80</f>
        <v>49.990650000000002</v>
      </c>
    </row>
    <row r="2494" spans="1:41" x14ac:dyDescent="0.35">
      <c r="A2494" t="s">
        <v>306</v>
      </c>
      <c r="B2494" t="s">
        <v>1111</v>
      </c>
      <c r="C2494" t="s">
        <v>1587</v>
      </c>
      <c r="D2494">
        <v>50</v>
      </c>
      <c r="E2494">
        <v>50</v>
      </c>
      <c r="F2494">
        <v>-1</v>
      </c>
      <c r="G2494">
        <v>-1.0000579999999999</v>
      </c>
      <c r="H2494">
        <v>49.998437500000001</v>
      </c>
      <c r="J2494">
        <v>-1</v>
      </c>
      <c r="N2494" t="s">
        <v>209</v>
      </c>
      <c r="O2494">
        <f t="shared" si="114"/>
        <v>9.9976800000000043</v>
      </c>
      <c r="P2494">
        <f t="shared" si="115"/>
        <v>50.000946874999997</v>
      </c>
      <c r="Q2494">
        <f t="shared" si="116"/>
        <v>50.000946874999997</v>
      </c>
      <c r="S2494">
        <v>49.998437500000001</v>
      </c>
      <c r="T2494">
        <v>-4.7531249999988034E-3</v>
      </c>
      <c r="U2494">
        <v>49.998437500000001</v>
      </c>
      <c r="V2494">
        <v>-50.004103124999986</v>
      </c>
      <c r="W2494">
        <v>-1.5258789076710855E-6</v>
      </c>
      <c r="X2494">
        <f>(W2494-80)/80*100</f>
        <v>-100.00000190734863</v>
      </c>
      <c r="Y2494">
        <f>TREND(H2494:H2498,G2494:G2498,G2494)</f>
        <v>49.998437500000001</v>
      </c>
      <c r="Z2494">
        <f>ABS((Y2494-H2494)/80*100)</f>
        <v>0</v>
      </c>
      <c r="AA2494">
        <f>MAX(Z2494:Z2498)</f>
        <v>0</v>
      </c>
      <c r="AB2494">
        <f>IF(ABS(MAX(P2494:P2500)) &gt; ABS(MIN(P2494:P2500)),MAX(P2494:P2500), MIN(P2494:P2500))</f>
        <v>-50.004103124999986</v>
      </c>
      <c r="AC2494">
        <f>IF(ABS(AB2495)&gt;ABS(AB2494),AB2495,AB2494)</f>
        <v>-50.004103124999986</v>
      </c>
      <c r="AH2494">
        <f>H2494-AG2459</f>
        <v>49.984279999999998</v>
      </c>
      <c r="AI2494">
        <f>100*(AH2494-O2494)/80</f>
        <v>49.983249999999991</v>
      </c>
      <c r="AJ2494">
        <v>49.984279999999998</v>
      </c>
      <c r="AK2494">
        <v>-2.2450000000002746E-2</v>
      </c>
      <c r="AL2494">
        <v>49.984279999999998</v>
      </c>
      <c r="AM2494">
        <v>-50.021799999999992</v>
      </c>
      <c r="AN2494">
        <f>IF(ABS(MAX(AI2494:AI2500)) &gt; ABS(MIN(AI2494:AI2500)),MAX(AI2494:AI2500), MIN(AI2494:AI2500))</f>
        <v>-50.021799999999992</v>
      </c>
      <c r="AO2494">
        <f>IF(ABS(AN2495)&gt;ABS(AN2494),AN2495,AN2494)</f>
        <v>-50.021799999999992</v>
      </c>
    </row>
    <row r="2495" spans="1:41" x14ac:dyDescent="0.35">
      <c r="A2495" t="s">
        <v>306</v>
      </c>
      <c r="B2495" t="s">
        <v>1111</v>
      </c>
      <c r="C2495" t="s">
        <v>1624</v>
      </c>
      <c r="D2495">
        <v>50</v>
      </c>
      <c r="E2495">
        <v>50</v>
      </c>
      <c r="F2495">
        <v>-0.5</v>
      </c>
      <c r="G2495">
        <v>-0.50000699999999998</v>
      </c>
      <c r="H2495">
        <v>49.998437500000001</v>
      </c>
      <c r="J2495">
        <v>-1</v>
      </c>
      <c r="N2495" t="s">
        <v>209</v>
      </c>
      <c r="O2495">
        <f t="shared" si="114"/>
        <v>29.99972</v>
      </c>
      <c r="P2495">
        <f t="shared" si="115"/>
        <v>24.998396875000005</v>
      </c>
      <c r="Q2495">
        <f t="shared" si="116"/>
        <v>24.998396875000005</v>
      </c>
      <c r="Y2495">
        <f>TREND(H2494:H2498,G2494:G2498,G2495)</f>
        <v>49.998437500000001</v>
      </c>
      <c r="Z2495">
        <f>ABS((Y2495-H2495)/80*100)</f>
        <v>0</v>
      </c>
      <c r="AB2495">
        <f>IF(ABS(T2494) &gt; ABS(V2494),T2494,V2494)</f>
        <v>-50.004103124999986</v>
      </c>
      <c r="AH2495">
        <f>H2495-AG2459</f>
        <v>49.984279999999998</v>
      </c>
      <c r="AI2495">
        <f>100*(AH2495-O2495)/80</f>
        <v>24.980699999999999</v>
      </c>
      <c r="AN2495">
        <f>IF(ABS(AK2494) &gt; ABS(AM2494),AK2494,AM2494)</f>
        <v>-50.021799999999992</v>
      </c>
    </row>
    <row r="2496" spans="1:41" x14ac:dyDescent="0.35">
      <c r="A2496" t="s">
        <v>306</v>
      </c>
      <c r="B2496" t="s">
        <v>1111</v>
      </c>
      <c r="C2496" t="s">
        <v>1661</v>
      </c>
      <c r="D2496">
        <v>50</v>
      </c>
      <c r="E2496">
        <v>50</v>
      </c>
      <c r="F2496">
        <v>0</v>
      </c>
      <c r="G2496">
        <v>5.5999999999999999E-5</v>
      </c>
      <c r="H2496">
        <v>49.998437500000001</v>
      </c>
      <c r="J2496">
        <v>-1</v>
      </c>
      <c r="N2496" t="s">
        <v>209</v>
      </c>
      <c r="O2496">
        <f t="shared" si="114"/>
        <v>50.00224</v>
      </c>
      <c r="P2496">
        <f t="shared" si="115"/>
        <v>-4.7531249999988034E-3</v>
      </c>
      <c r="Q2496">
        <f t="shared" si="116"/>
        <v>4.7531249999988034E-3</v>
      </c>
      <c r="Y2496">
        <f>TREND(H2494:H2498,G2494:G2498,G2496)</f>
        <v>49.998437500000001</v>
      </c>
      <c r="Z2496">
        <f>ABS((Y2496-H2496)/80*100)</f>
        <v>0</v>
      </c>
      <c r="AH2496">
        <f>H2496-AG2459</f>
        <v>49.984279999999998</v>
      </c>
      <c r="AI2496">
        <f>100*(AH2496-O2496)/80</f>
        <v>-2.2450000000002746E-2</v>
      </c>
    </row>
    <row r="2497" spans="1:41" x14ac:dyDescent="0.35">
      <c r="A2497" t="s">
        <v>306</v>
      </c>
      <c r="B2497" t="s">
        <v>1111</v>
      </c>
      <c r="C2497" t="s">
        <v>1698</v>
      </c>
      <c r="D2497">
        <v>50</v>
      </c>
      <c r="E2497">
        <v>50</v>
      </c>
      <c r="F2497">
        <v>0.5</v>
      </c>
      <c r="G2497">
        <v>0.50029699999999999</v>
      </c>
      <c r="H2497">
        <v>49.998437500000001</v>
      </c>
      <c r="J2497">
        <v>-1</v>
      </c>
      <c r="N2497" t="s">
        <v>209</v>
      </c>
      <c r="O2497">
        <f t="shared" si="114"/>
        <v>70.011879999999991</v>
      </c>
      <c r="P2497">
        <f t="shared" si="115"/>
        <v>-25.016803124999988</v>
      </c>
      <c r="Q2497">
        <f t="shared" si="116"/>
        <v>25.016803124999988</v>
      </c>
      <c r="Y2497">
        <f>TREND(H2494:H2498,G2494:G2498,G2497)</f>
        <v>49.998437500000001</v>
      </c>
      <c r="Z2497">
        <f>ABS((Y2497-H2497)/80*100)</f>
        <v>0</v>
      </c>
      <c r="AH2497">
        <f>H2497-AG2459</f>
        <v>49.984279999999998</v>
      </c>
      <c r="AI2497">
        <f>100*(AH2497-O2497)/80</f>
        <v>-25.034499999999991</v>
      </c>
    </row>
    <row r="2498" spans="1:41" x14ac:dyDescent="0.35">
      <c r="A2498" t="s">
        <v>306</v>
      </c>
      <c r="B2498" t="s">
        <v>1111</v>
      </c>
      <c r="C2498" t="s">
        <v>1734</v>
      </c>
      <c r="D2498">
        <v>50</v>
      </c>
      <c r="E2498">
        <v>50</v>
      </c>
      <c r="F2498">
        <v>1</v>
      </c>
      <c r="G2498">
        <v>1.000043</v>
      </c>
      <c r="H2498">
        <v>49.998437500000001</v>
      </c>
      <c r="J2498">
        <v>-1</v>
      </c>
      <c r="N2498" t="s">
        <v>209</v>
      </c>
      <c r="O2498">
        <f t="shared" si="114"/>
        <v>90.001719999999992</v>
      </c>
      <c r="P2498">
        <f t="shared" si="115"/>
        <v>-50.004103124999986</v>
      </c>
      <c r="Q2498">
        <f t="shared" si="116"/>
        <v>50.004103124999986</v>
      </c>
      <c r="Y2498">
        <f>TREND(H2494:H2498,G2494:G2498,G2498)</f>
        <v>49.998437500000001</v>
      </c>
      <c r="Z2498">
        <f>ABS((Y2498-H2498)/80*100)</f>
        <v>0</v>
      </c>
      <c r="AH2498">
        <f>H2498-AG2459</f>
        <v>49.984279999999998</v>
      </c>
      <c r="AI2498">
        <f>100*(AH2498-O2498)/80</f>
        <v>-50.021799999999992</v>
      </c>
    </row>
    <row r="2499" spans="1:41" x14ac:dyDescent="0.35">
      <c r="A2499" t="s">
        <v>306</v>
      </c>
      <c r="B2499" t="s">
        <v>1111</v>
      </c>
      <c r="C2499" t="s">
        <v>1771</v>
      </c>
      <c r="D2499">
        <v>50</v>
      </c>
      <c r="E2499">
        <v>50</v>
      </c>
      <c r="F2499">
        <v>0</v>
      </c>
      <c r="G2499">
        <v>-1.56E-4</v>
      </c>
      <c r="H2499">
        <v>49.998437500000001</v>
      </c>
      <c r="J2499">
        <v>-1</v>
      </c>
      <c r="N2499" t="s">
        <v>209</v>
      </c>
      <c r="O2499">
        <f t="shared" si="114"/>
        <v>49.993759999999995</v>
      </c>
      <c r="P2499">
        <f t="shared" si="115"/>
        <v>5.8468750000084668E-3</v>
      </c>
      <c r="Q2499">
        <f t="shared" si="116"/>
        <v>5.8468750000084668E-3</v>
      </c>
      <c r="Y2499">
        <f>TREND(H2494:H2498,G2494:G2498,G2499)</f>
        <v>49.998437500000001</v>
      </c>
      <c r="Z2499">
        <f>ABS((Y2499-H2499)/80*100)</f>
        <v>0</v>
      </c>
      <c r="AH2499">
        <f>H2499-AG2459</f>
        <v>49.984279999999998</v>
      </c>
      <c r="AI2499">
        <f>100*(AH2499-O2499)/80</f>
        <v>-1.1849999999995475E-2</v>
      </c>
    </row>
    <row r="2500" spans="1:41" x14ac:dyDescent="0.35">
      <c r="A2500" t="s">
        <v>306</v>
      </c>
      <c r="B2500" t="s">
        <v>1111</v>
      </c>
      <c r="C2500" t="s">
        <v>1808</v>
      </c>
      <c r="D2500">
        <v>50</v>
      </c>
      <c r="E2500">
        <v>50</v>
      </c>
      <c r="F2500">
        <v>-1</v>
      </c>
      <c r="G2500">
        <v>-1.000041</v>
      </c>
      <c r="H2500">
        <v>49.998437500000001</v>
      </c>
      <c r="J2500">
        <v>-1</v>
      </c>
      <c r="N2500" t="s">
        <v>209</v>
      </c>
      <c r="O2500">
        <f t="shared" si="114"/>
        <v>9.9983600000000017</v>
      </c>
      <c r="P2500">
        <f t="shared" si="115"/>
        <v>50.000096875000004</v>
      </c>
      <c r="Q2500">
        <f t="shared" si="116"/>
        <v>50.000096875000004</v>
      </c>
      <c r="Y2500">
        <f>TREND(H2494:H2498,G2494:G2498,G2500)</f>
        <v>49.998437500000001</v>
      </c>
      <c r="Z2500">
        <f>ABS((Y2500-H2500)/80*100)</f>
        <v>0</v>
      </c>
      <c r="AH2500">
        <f>H2500-AG2459</f>
        <v>49.984279999999998</v>
      </c>
      <c r="AI2500">
        <f>100*(AH2500-O2500)/80</f>
        <v>49.982399999999991</v>
      </c>
    </row>
    <row r="2501" spans="1:41" x14ac:dyDescent="0.35">
      <c r="A2501" t="s">
        <v>306</v>
      </c>
      <c r="B2501" t="s">
        <v>1111</v>
      </c>
      <c r="C2501" t="s">
        <v>1845</v>
      </c>
      <c r="D2501">
        <v>70</v>
      </c>
      <c r="E2501">
        <v>70</v>
      </c>
      <c r="F2501">
        <v>-1</v>
      </c>
      <c r="G2501">
        <v>-0.99995699999999998</v>
      </c>
      <c r="H2501">
        <v>49.998437500000001</v>
      </c>
      <c r="J2501">
        <v>-1</v>
      </c>
      <c r="N2501" t="s">
        <v>209</v>
      </c>
      <c r="O2501">
        <f t="shared" si="114"/>
        <v>10.001720000000001</v>
      </c>
      <c r="P2501">
        <f t="shared" si="115"/>
        <v>49.995896875000007</v>
      </c>
      <c r="Q2501">
        <f t="shared" si="116"/>
        <v>49.995896875000007</v>
      </c>
      <c r="S2501">
        <v>49.998437500000001</v>
      </c>
      <c r="T2501">
        <v>1.3696875000004383E-2</v>
      </c>
      <c r="U2501">
        <v>49.998437500000001</v>
      </c>
      <c r="V2501">
        <v>-49.993503125000004</v>
      </c>
      <c r="W2501">
        <v>-1.5258789076710855E-6</v>
      </c>
      <c r="X2501">
        <f>(W2501-80)/80*100</f>
        <v>-100.00000190734863</v>
      </c>
      <c r="Y2501">
        <f>TREND(H2501:H2505,G2501:G2505,G2501)</f>
        <v>49.998437500000001</v>
      </c>
      <c r="Z2501">
        <f>ABS((Y2501-H2501)/80*100)</f>
        <v>0</v>
      </c>
      <c r="AA2501">
        <f>MAX(Z2501:Z2505)</f>
        <v>0</v>
      </c>
      <c r="AB2501">
        <f>IF(ABS(MAX(P2501:P2507)) &gt; ABS(MIN(P2501:P2507)),MAX(P2501:P2507), MIN(P2501:P2507))</f>
        <v>49.995896875000007</v>
      </c>
      <c r="AC2501">
        <f>IF(ABS(AB2502)&gt;ABS(AB2501),AB2502,AB2501)</f>
        <v>49.995896875000007</v>
      </c>
      <c r="AH2501">
        <f>H2501-AG2459</f>
        <v>49.984279999999998</v>
      </c>
      <c r="AI2501">
        <f>100*(AH2501-O2501)/80</f>
        <v>49.978200000000001</v>
      </c>
      <c r="AJ2501">
        <v>49.984279999999998</v>
      </c>
      <c r="AK2501">
        <v>-3.9999999999995595E-3</v>
      </c>
      <c r="AL2501">
        <v>49.984279999999998</v>
      </c>
      <c r="AM2501">
        <v>-50.011200000000002</v>
      </c>
      <c r="AN2501">
        <f>IF(ABS(MAX(AI2501:AI2507)) &gt; ABS(MIN(AI2501:AI2507)),MAX(AI2501:AI2507), MIN(AI2501:AI2507))</f>
        <v>-50.011200000000002</v>
      </c>
      <c r="AO2501">
        <f>IF(ABS(AN2502)&gt;ABS(AN2501),AN2502,AN2501)</f>
        <v>-50.011200000000002</v>
      </c>
    </row>
    <row r="2502" spans="1:41" x14ac:dyDescent="0.35">
      <c r="A2502" t="s">
        <v>306</v>
      </c>
      <c r="B2502" t="s">
        <v>1111</v>
      </c>
      <c r="C2502" t="s">
        <v>1882</v>
      </c>
      <c r="D2502">
        <v>70</v>
      </c>
      <c r="E2502">
        <v>70</v>
      </c>
      <c r="F2502">
        <v>-0.5</v>
      </c>
      <c r="G2502">
        <v>-0.49986700000000001</v>
      </c>
      <c r="H2502">
        <v>49.998437500000001</v>
      </c>
      <c r="J2502">
        <v>-1</v>
      </c>
      <c r="N2502" t="s">
        <v>209</v>
      </c>
      <c r="O2502">
        <f t="shared" si="114"/>
        <v>30.005319999999998</v>
      </c>
      <c r="P2502">
        <f t="shared" si="115"/>
        <v>24.991396875000003</v>
      </c>
      <c r="Q2502">
        <f t="shared" si="116"/>
        <v>24.991396875000003</v>
      </c>
      <c r="Y2502">
        <f>TREND(H2501:H2505,G2501:G2505,G2502)</f>
        <v>49.998437500000001</v>
      </c>
      <c r="Z2502">
        <f>ABS((Y2502-H2502)/80*100)</f>
        <v>0</v>
      </c>
      <c r="AB2502">
        <f>IF(ABS(T2501) &gt; ABS(V2501),T2501,V2501)</f>
        <v>-49.993503125000004</v>
      </c>
      <c r="AH2502">
        <f>H2502-AG2459</f>
        <v>49.984279999999998</v>
      </c>
      <c r="AI2502">
        <f>100*(AH2502-O2502)/80</f>
        <v>24.973700000000001</v>
      </c>
      <c r="AN2502">
        <f>IF(ABS(AK2501) &gt; ABS(AM2501),AK2501,AM2501)</f>
        <v>-50.011200000000002</v>
      </c>
    </row>
    <row r="2503" spans="1:41" x14ac:dyDescent="0.35">
      <c r="A2503" t="s">
        <v>306</v>
      </c>
      <c r="B2503" t="s">
        <v>1111</v>
      </c>
      <c r="C2503" t="s">
        <v>1918</v>
      </c>
      <c r="D2503">
        <v>70</v>
      </c>
      <c r="E2503">
        <v>70</v>
      </c>
      <c r="F2503">
        <v>0</v>
      </c>
      <c r="G2503">
        <v>-3.1300000000000002E-4</v>
      </c>
      <c r="H2503">
        <v>49.998437500000001</v>
      </c>
      <c r="J2503">
        <v>-1</v>
      </c>
      <c r="N2503" t="s">
        <v>209</v>
      </c>
      <c r="O2503">
        <f t="shared" si="114"/>
        <v>49.987479999999998</v>
      </c>
      <c r="P2503">
        <f t="shared" si="115"/>
        <v>1.3696875000004383E-2</v>
      </c>
      <c r="Q2503">
        <f t="shared" si="116"/>
        <v>1.3696875000004383E-2</v>
      </c>
      <c r="Y2503">
        <f>TREND(H2501:H2505,G2501:G2505,G2503)</f>
        <v>49.998437500000001</v>
      </c>
      <c r="Z2503">
        <f>ABS((Y2503-H2503)/80*100)</f>
        <v>0</v>
      </c>
      <c r="AH2503">
        <f>H2503-AG2459</f>
        <v>49.984279999999998</v>
      </c>
      <c r="AI2503">
        <f>100*(AH2503-O2503)/80</f>
        <v>-3.9999999999995595E-3</v>
      </c>
    </row>
    <row r="2504" spans="1:41" x14ac:dyDescent="0.35">
      <c r="A2504" t="s">
        <v>306</v>
      </c>
      <c r="B2504" t="s">
        <v>1111</v>
      </c>
      <c r="C2504" t="s">
        <v>1955</v>
      </c>
      <c r="D2504">
        <v>70</v>
      </c>
      <c r="E2504">
        <v>70</v>
      </c>
      <c r="F2504">
        <v>0.5</v>
      </c>
      <c r="G2504">
        <v>0.49997999999999998</v>
      </c>
      <c r="H2504">
        <v>49.998437500000001</v>
      </c>
      <c r="J2504">
        <v>-1</v>
      </c>
      <c r="N2504" t="s">
        <v>209</v>
      </c>
      <c r="O2504">
        <f t="shared" si="114"/>
        <v>69.999200000000002</v>
      </c>
      <c r="P2504">
        <f t="shared" si="115"/>
        <v>-25.000953125000002</v>
      </c>
      <c r="Q2504">
        <f t="shared" si="116"/>
        <v>25.000953125000002</v>
      </c>
      <c r="Y2504">
        <f>TREND(H2501:H2505,G2501:G2505,G2504)</f>
        <v>49.998437500000001</v>
      </c>
      <c r="Z2504">
        <f>ABS((Y2504-H2504)/80*100)</f>
        <v>0</v>
      </c>
      <c r="AH2504">
        <f>H2504-AG2459</f>
        <v>49.984279999999998</v>
      </c>
      <c r="AI2504">
        <f>100*(AH2504-O2504)/80</f>
        <v>-25.018650000000004</v>
      </c>
    </row>
    <row r="2505" spans="1:41" x14ac:dyDescent="0.35">
      <c r="A2505" t="s">
        <v>306</v>
      </c>
      <c r="B2505" t="s">
        <v>1111</v>
      </c>
      <c r="C2505" t="s">
        <v>1991</v>
      </c>
      <c r="D2505">
        <v>70</v>
      </c>
      <c r="E2505">
        <v>70</v>
      </c>
      <c r="F2505">
        <v>1</v>
      </c>
      <c r="G2505">
        <v>0.99983100000000003</v>
      </c>
      <c r="H2505">
        <v>49.998437500000001</v>
      </c>
      <c r="J2505">
        <v>-1</v>
      </c>
      <c r="N2505" t="s">
        <v>209</v>
      </c>
      <c r="O2505">
        <f t="shared" ref="O2505:O2521" si="117">(((G2505--1)*(40))+10)</f>
        <v>89.99324</v>
      </c>
      <c r="P2505">
        <f t="shared" ref="P2505:P2521" si="118">100*(H2505-O2505)/80</f>
        <v>-49.993503125000004</v>
      </c>
      <c r="Q2505">
        <f t="shared" ref="Q2505:Q2521" si="119">ABS(P2505)</f>
        <v>49.993503125000004</v>
      </c>
      <c r="Y2505">
        <f>TREND(H2501:H2505,G2501:G2505,G2505)</f>
        <v>49.998437500000001</v>
      </c>
      <c r="Z2505">
        <f>ABS((Y2505-H2505)/80*100)</f>
        <v>0</v>
      </c>
      <c r="AH2505">
        <f>H2505-AG2459</f>
        <v>49.984279999999998</v>
      </c>
      <c r="AI2505">
        <f>100*(AH2505-O2505)/80</f>
        <v>-50.011200000000002</v>
      </c>
    </row>
    <row r="2506" spans="1:41" x14ac:dyDescent="0.35">
      <c r="A2506" t="s">
        <v>306</v>
      </c>
      <c r="B2506" t="s">
        <v>1111</v>
      </c>
      <c r="C2506" t="s">
        <v>2028</v>
      </c>
      <c r="D2506">
        <v>70</v>
      </c>
      <c r="E2506">
        <v>70</v>
      </c>
      <c r="F2506">
        <v>0</v>
      </c>
      <c r="G2506">
        <v>1E-4</v>
      </c>
      <c r="H2506">
        <v>49.998437500000001</v>
      </c>
      <c r="J2506">
        <v>-1</v>
      </c>
      <c r="N2506" t="s">
        <v>209</v>
      </c>
      <c r="O2506">
        <f t="shared" si="117"/>
        <v>50.003999999999998</v>
      </c>
      <c r="P2506">
        <f t="shared" si="118"/>
        <v>-6.9531249999954525E-3</v>
      </c>
      <c r="Q2506">
        <f t="shared" si="119"/>
        <v>6.9531249999954525E-3</v>
      </c>
      <c r="Y2506">
        <f>TREND(H2501:H2505,G2501:G2505,G2506)</f>
        <v>49.998437500000001</v>
      </c>
      <c r="Z2506">
        <f>ABS((Y2506-H2506)/80*100)</f>
        <v>0</v>
      </c>
      <c r="AH2506">
        <f>H2506-AG2459</f>
        <v>49.984279999999998</v>
      </c>
      <c r="AI2506">
        <f>100*(AH2506-O2506)/80</f>
        <v>-2.4649999999999395E-2</v>
      </c>
    </row>
    <row r="2507" spans="1:41" x14ac:dyDescent="0.35">
      <c r="A2507" t="s">
        <v>306</v>
      </c>
      <c r="B2507" t="s">
        <v>1111</v>
      </c>
      <c r="C2507" t="s">
        <v>2064</v>
      </c>
      <c r="D2507">
        <v>70</v>
      </c>
      <c r="E2507">
        <v>70</v>
      </c>
      <c r="F2507">
        <v>-1</v>
      </c>
      <c r="G2507">
        <v>-0.99993299999999996</v>
      </c>
      <c r="H2507">
        <v>49.998437500000001</v>
      </c>
      <c r="J2507">
        <v>-1</v>
      </c>
      <c r="N2507" t="s">
        <v>209</v>
      </c>
      <c r="O2507">
        <f t="shared" si="117"/>
        <v>10.002680000000002</v>
      </c>
      <c r="P2507">
        <f t="shared" si="118"/>
        <v>49.994696874999995</v>
      </c>
      <c r="Q2507">
        <f t="shared" si="119"/>
        <v>49.994696874999995</v>
      </c>
      <c r="Y2507">
        <f>TREND(H2501:H2505,G2501:G2505,G2507)</f>
        <v>49.998437500000001</v>
      </c>
      <c r="Z2507">
        <f>ABS((Y2507-H2507)/80*100)</f>
        <v>0</v>
      </c>
      <c r="AH2507">
        <f>H2507-AG2459</f>
        <v>49.984279999999998</v>
      </c>
      <c r="AI2507">
        <f>100*(AH2507-O2507)/80</f>
        <v>49.976999999999997</v>
      </c>
    </row>
    <row r="2508" spans="1:41" x14ac:dyDescent="0.35">
      <c r="A2508" t="s">
        <v>306</v>
      </c>
      <c r="B2508" t="s">
        <v>1111</v>
      </c>
      <c r="C2508" t="s">
        <v>2100</v>
      </c>
      <c r="D2508">
        <v>85</v>
      </c>
      <c r="E2508">
        <v>85</v>
      </c>
      <c r="F2508">
        <v>-1</v>
      </c>
      <c r="G2508">
        <v>-0.99988100000000002</v>
      </c>
      <c r="H2508">
        <v>49.998437500000001</v>
      </c>
      <c r="J2508">
        <v>-1</v>
      </c>
      <c r="N2508" t="s">
        <v>209</v>
      </c>
      <c r="O2508">
        <f t="shared" si="117"/>
        <v>10.004759999999999</v>
      </c>
      <c r="P2508">
        <f t="shared" si="118"/>
        <v>49.992096875000001</v>
      </c>
      <c r="Q2508">
        <f t="shared" si="119"/>
        <v>49.992096875000001</v>
      </c>
      <c r="S2508">
        <v>49.998437500000001</v>
      </c>
      <c r="T2508">
        <v>3.8968750000023533E-3</v>
      </c>
      <c r="U2508">
        <v>49.998437500000001</v>
      </c>
      <c r="V2508">
        <v>-50.006453125000007</v>
      </c>
      <c r="W2508">
        <v>-1.5258789076710855E-6</v>
      </c>
      <c r="X2508">
        <f>(W2508-80)/80*100</f>
        <v>-100.00000190734863</v>
      </c>
      <c r="Y2508">
        <f>TREND(H2508:H2512,G2508:G2512,G2508)</f>
        <v>49.998437500000001</v>
      </c>
      <c r="Z2508">
        <f>ABS((Y2508-H2508)/80*100)</f>
        <v>0</v>
      </c>
      <c r="AA2508">
        <f>MAX(Z2508:Z2512)</f>
        <v>0</v>
      </c>
      <c r="AB2508">
        <f>IF(ABS(MAX(P2508:P2514)) &gt; ABS(MIN(P2508:P2514)),MAX(P2508:P2514), MIN(P2508:P2514))</f>
        <v>-50.006453125000007</v>
      </c>
      <c r="AC2508">
        <f>IF(ABS(AB2509)&gt;ABS(AB2508),AB2509,AB2508)</f>
        <v>-50.006453125000007</v>
      </c>
      <c r="AH2508">
        <f>H2508-AG2459</f>
        <v>49.984279999999998</v>
      </c>
      <c r="AI2508">
        <f>100*(AH2508-O2508)/80</f>
        <v>49.974400000000003</v>
      </c>
      <c r="AJ2508">
        <v>49.984279999999998</v>
      </c>
      <c r="AK2508">
        <v>-1.3800000000001589E-2</v>
      </c>
      <c r="AL2508">
        <v>49.984279999999998</v>
      </c>
      <c r="AM2508">
        <v>-50.024150000000006</v>
      </c>
      <c r="AN2508">
        <f>IF(ABS(MAX(AI2508:AI2514)) &gt; ABS(MIN(AI2508:AI2514)),MAX(AI2508:AI2514), MIN(AI2508:AI2514))</f>
        <v>-50.024150000000006</v>
      </c>
      <c r="AO2508">
        <f>IF(ABS(AN2509)&gt;ABS(AN2508),AN2509,AN2508)</f>
        <v>-50.024150000000006</v>
      </c>
    </row>
    <row r="2509" spans="1:41" x14ac:dyDescent="0.35">
      <c r="A2509" t="s">
        <v>306</v>
      </c>
      <c r="B2509" t="s">
        <v>1111</v>
      </c>
      <c r="C2509" t="s">
        <v>2136</v>
      </c>
      <c r="D2509">
        <v>85</v>
      </c>
      <c r="E2509">
        <v>85</v>
      </c>
      <c r="F2509">
        <v>-0.5</v>
      </c>
      <c r="G2509">
        <v>-0.50015699999999996</v>
      </c>
      <c r="H2509">
        <v>49.998437500000001</v>
      </c>
      <c r="J2509">
        <v>-1</v>
      </c>
      <c r="N2509" t="s">
        <v>209</v>
      </c>
      <c r="O2509">
        <f t="shared" si="117"/>
        <v>29.993720000000003</v>
      </c>
      <c r="P2509">
        <f t="shared" si="118"/>
        <v>25.005896874999998</v>
      </c>
      <c r="Q2509">
        <f t="shared" si="119"/>
        <v>25.005896874999998</v>
      </c>
      <c r="Y2509">
        <f>TREND(H2508:H2512,G2508:G2512,G2509)</f>
        <v>49.998437500000001</v>
      </c>
      <c r="Z2509">
        <f>ABS((Y2509-H2509)/80*100)</f>
        <v>0</v>
      </c>
      <c r="AB2509">
        <f>IF(ABS(T2508) &gt; ABS(V2508),T2508,V2508)</f>
        <v>-50.006453125000007</v>
      </c>
      <c r="AH2509">
        <f>H2509-AG2459</f>
        <v>49.984279999999998</v>
      </c>
      <c r="AI2509">
        <f>100*(AH2509-O2509)/80</f>
        <v>24.988199999999996</v>
      </c>
      <c r="AN2509">
        <f>IF(ABS(AK2508) &gt; ABS(AM2508),AK2508,AM2508)</f>
        <v>-50.024150000000006</v>
      </c>
    </row>
    <row r="2510" spans="1:41" x14ac:dyDescent="0.35">
      <c r="A2510" t="s">
        <v>306</v>
      </c>
      <c r="B2510" t="s">
        <v>1111</v>
      </c>
      <c r="C2510" t="s">
        <v>2173</v>
      </c>
      <c r="D2510">
        <v>85</v>
      </c>
      <c r="E2510">
        <v>85</v>
      </c>
      <c r="F2510">
        <v>0</v>
      </c>
      <c r="G2510">
        <v>-1.17E-4</v>
      </c>
      <c r="H2510">
        <v>49.998437500000001</v>
      </c>
      <c r="J2510">
        <v>-1</v>
      </c>
      <c r="N2510" t="s">
        <v>209</v>
      </c>
      <c r="O2510">
        <f t="shared" si="117"/>
        <v>49.99532</v>
      </c>
      <c r="P2510">
        <f t="shared" si="118"/>
        <v>3.8968750000023533E-3</v>
      </c>
      <c r="Q2510">
        <f t="shared" si="119"/>
        <v>3.8968750000023533E-3</v>
      </c>
      <c r="Y2510">
        <f>TREND(H2508:H2512,G2508:G2512,G2510)</f>
        <v>49.998437500000001</v>
      </c>
      <c r="Z2510">
        <f>ABS((Y2510-H2510)/80*100)</f>
        <v>0</v>
      </c>
      <c r="AH2510">
        <f>H2510-AG2459</f>
        <v>49.984279999999998</v>
      </c>
      <c r="AI2510">
        <f>100*(AH2510-O2510)/80</f>
        <v>-1.3800000000001589E-2</v>
      </c>
    </row>
    <row r="2511" spans="1:41" x14ac:dyDescent="0.35">
      <c r="A2511" t="s">
        <v>306</v>
      </c>
      <c r="B2511" t="s">
        <v>1111</v>
      </c>
      <c r="C2511" t="s">
        <v>2210</v>
      </c>
      <c r="D2511">
        <v>85</v>
      </c>
      <c r="E2511">
        <v>85</v>
      </c>
      <c r="F2511">
        <v>0.5</v>
      </c>
      <c r="G2511">
        <v>0.499971</v>
      </c>
      <c r="H2511">
        <v>49.998437500000001</v>
      </c>
      <c r="J2511">
        <v>-1</v>
      </c>
      <c r="N2511" t="s">
        <v>209</v>
      </c>
      <c r="O2511">
        <f t="shared" si="117"/>
        <v>69.998840000000001</v>
      </c>
      <c r="P2511">
        <f t="shared" si="118"/>
        <v>-25.000503125000002</v>
      </c>
      <c r="Q2511">
        <f t="shared" si="119"/>
        <v>25.000503125000002</v>
      </c>
      <c r="Y2511">
        <f>TREND(H2508:H2512,G2508:G2512,G2511)</f>
        <v>49.998437500000001</v>
      </c>
      <c r="Z2511">
        <f>ABS((Y2511-H2511)/80*100)</f>
        <v>0</v>
      </c>
      <c r="AH2511">
        <f>H2511-AG2459</f>
        <v>49.984279999999998</v>
      </c>
      <c r="AI2511">
        <f>100*(AH2511-O2511)/80</f>
        <v>-25.018200000000004</v>
      </c>
    </row>
    <row r="2512" spans="1:41" x14ac:dyDescent="0.35">
      <c r="A2512" t="s">
        <v>306</v>
      </c>
      <c r="B2512" t="s">
        <v>1111</v>
      </c>
      <c r="C2512" t="s">
        <v>2246</v>
      </c>
      <c r="D2512">
        <v>85</v>
      </c>
      <c r="E2512">
        <v>85</v>
      </c>
      <c r="F2512">
        <v>1</v>
      </c>
      <c r="G2512">
        <v>1.0000899999999999</v>
      </c>
      <c r="H2512">
        <v>49.998437500000001</v>
      </c>
      <c r="J2512">
        <v>-1</v>
      </c>
      <c r="N2512" t="s">
        <v>209</v>
      </c>
      <c r="O2512">
        <f t="shared" si="117"/>
        <v>90.003600000000006</v>
      </c>
      <c r="P2512">
        <f t="shared" si="118"/>
        <v>-50.006453125000007</v>
      </c>
      <c r="Q2512">
        <f t="shared" si="119"/>
        <v>50.006453125000007</v>
      </c>
      <c r="Y2512">
        <f>TREND(H2508:H2512,G2508:G2512,G2512)</f>
        <v>49.998437500000001</v>
      </c>
      <c r="Z2512">
        <f>ABS((Y2512-H2512)/80*100)</f>
        <v>0</v>
      </c>
      <c r="AH2512">
        <f>H2512-AG2459</f>
        <v>49.984279999999998</v>
      </c>
      <c r="AI2512">
        <f>100*(AH2512-O2512)/80</f>
        <v>-50.024150000000006</v>
      </c>
    </row>
    <row r="2513" spans="1:41" x14ac:dyDescent="0.35">
      <c r="A2513" t="s">
        <v>306</v>
      </c>
      <c r="B2513" t="s">
        <v>1111</v>
      </c>
      <c r="C2513" t="s">
        <v>2283</v>
      </c>
      <c r="D2513">
        <v>85</v>
      </c>
      <c r="E2513">
        <v>85</v>
      </c>
      <c r="F2513">
        <v>0</v>
      </c>
      <c r="G2513">
        <v>-2.0999999999999999E-5</v>
      </c>
      <c r="H2513">
        <v>49.998437500000001</v>
      </c>
      <c r="J2513">
        <v>-1</v>
      </c>
      <c r="N2513" t="s">
        <v>209</v>
      </c>
      <c r="O2513">
        <f t="shared" si="117"/>
        <v>49.999159999999996</v>
      </c>
      <c r="P2513">
        <f t="shared" si="118"/>
        <v>-9.0312499999356532E-4</v>
      </c>
      <c r="Q2513">
        <f t="shared" si="119"/>
        <v>9.0312499999356532E-4</v>
      </c>
      <c r="Y2513">
        <f>TREND(H2508:H2512,G2508:G2512,G2513)</f>
        <v>49.998437500000001</v>
      </c>
      <c r="Z2513">
        <f>ABS((Y2513-H2513)/80*100)</f>
        <v>0</v>
      </c>
      <c r="AH2513">
        <f>H2513-AG2459</f>
        <v>49.984279999999998</v>
      </c>
      <c r="AI2513">
        <f>100*(AH2513-O2513)/80</f>
        <v>-1.8599999999997507E-2</v>
      </c>
    </row>
    <row r="2514" spans="1:41" x14ac:dyDescent="0.35">
      <c r="A2514" t="s">
        <v>306</v>
      </c>
      <c r="B2514" t="s">
        <v>1111</v>
      </c>
      <c r="C2514" t="s">
        <v>2320</v>
      </c>
      <c r="D2514">
        <v>85</v>
      </c>
      <c r="E2514">
        <v>85</v>
      </c>
      <c r="F2514">
        <v>-1</v>
      </c>
      <c r="G2514">
        <v>-1.000094</v>
      </c>
      <c r="H2514">
        <v>49.998437500000001</v>
      </c>
      <c r="J2514">
        <v>-1</v>
      </c>
      <c r="N2514" t="s">
        <v>209</v>
      </c>
      <c r="O2514">
        <f t="shared" si="117"/>
        <v>9.9962399999999985</v>
      </c>
      <c r="P2514">
        <f t="shared" si="118"/>
        <v>50.002746875</v>
      </c>
      <c r="Q2514">
        <f t="shared" si="119"/>
        <v>50.002746875</v>
      </c>
      <c r="Y2514">
        <f>TREND(H2508:H2512,G2508:G2512,G2514)</f>
        <v>49.998437500000001</v>
      </c>
      <c r="Z2514">
        <f>ABS((Y2514-H2514)/80*100)</f>
        <v>0</v>
      </c>
      <c r="AH2514">
        <f>H2514-AG2459</f>
        <v>49.984279999999998</v>
      </c>
      <c r="AI2514">
        <f>100*(AH2514-O2514)/80</f>
        <v>49.985049999999994</v>
      </c>
    </row>
    <row r="2515" spans="1:41" x14ac:dyDescent="0.35">
      <c r="A2515" t="s">
        <v>306</v>
      </c>
      <c r="B2515" t="s">
        <v>1111</v>
      </c>
      <c r="C2515" t="s">
        <v>2357</v>
      </c>
      <c r="D2515">
        <v>25</v>
      </c>
      <c r="E2515">
        <v>25</v>
      </c>
      <c r="F2515">
        <v>-1</v>
      </c>
      <c r="G2515">
        <v>-1.0002329999999999</v>
      </c>
      <c r="H2515">
        <v>49.998437500000001</v>
      </c>
      <c r="J2515">
        <v>-1</v>
      </c>
      <c r="N2515" t="s">
        <v>209</v>
      </c>
      <c r="O2515">
        <f t="shared" si="117"/>
        <v>9.9906800000000029</v>
      </c>
      <c r="P2515">
        <f t="shared" si="118"/>
        <v>50.009696874999996</v>
      </c>
      <c r="Q2515">
        <f t="shared" si="119"/>
        <v>50.009696874999996</v>
      </c>
      <c r="S2515">
        <v>49.998437500000001</v>
      </c>
      <c r="T2515">
        <v>-2.4531249999970584E-3</v>
      </c>
      <c r="U2515">
        <v>49.998437500000001</v>
      </c>
      <c r="V2515">
        <v>-50.002303125000005</v>
      </c>
      <c r="W2515">
        <v>-1.5258789076710855E-6</v>
      </c>
      <c r="X2515">
        <f>(W2515-80)/80*100</f>
        <v>-100.00000190734863</v>
      </c>
      <c r="Y2515">
        <f>TREND(H2515:H2519,G2515:G2519,G2515)</f>
        <v>49.998437500000001</v>
      </c>
      <c r="Z2515">
        <f>ABS((Y2515-H2515)/80*100)</f>
        <v>0</v>
      </c>
      <c r="AA2515">
        <f>MAX(Z2515:Z2519)</f>
        <v>0</v>
      </c>
      <c r="AB2515">
        <f>IF(ABS(MAX(P2515:P2521)) &gt; ABS(MIN(P2515:P2521)),MAX(P2515:P2521), MIN(P2515:P2521))</f>
        <v>50.009696874999996</v>
      </c>
      <c r="AC2515">
        <f>IF(ABS(AB2516)&gt;ABS(AB2515),AB2516,AB2515)</f>
        <v>50.009696874999996</v>
      </c>
      <c r="AH2515">
        <f>H2515-AG2459</f>
        <v>49.984279999999998</v>
      </c>
      <c r="AI2515">
        <f>100*(AH2515-O2515)/80</f>
        <v>49.99199999999999</v>
      </c>
      <c r="AJ2515">
        <v>49.984279999999998</v>
      </c>
      <c r="AK2515">
        <v>-2.0150000000001E-2</v>
      </c>
      <c r="AL2515">
        <v>49.984279999999998</v>
      </c>
      <c r="AM2515">
        <v>-50.02</v>
      </c>
      <c r="AN2515">
        <f>IF(ABS(MAX(AI2515:AI2521)) &gt; ABS(MIN(AI2515:AI2521)),MAX(AI2515:AI2521), MIN(AI2515:AI2521))</f>
        <v>-50.02</v>
      </c>
      <c r="AO2515">
        <f>IF(ABS(AN2516)&gt;ABS(AN2515),AN2516,AN2515)</f>
        <v>-50.02</v>
      </c>
    </row>
    <row r="2516" spans="1:41" x14ac:dyDescent="0.35">
      <c r="A2516" t="s">
        <v>306</v>
      </c>
      <c r="B2516" t="s">
        <v>1111</v>
      </c>
      <c r="C2516" t="s">
        <v>2393</v>
      </c>
      <c r="D2516">
        <v>25</v>
      </c>
      <c r="E2516">
        <v>25</v>
      </c>
      <c r="F2516">
        <v>-0.5</v>
      </c>
      <c r="G2516">
        <v>-0.50023600000000001</v>
      </c>
      <c r="H2516">
        <v>49.998437500000001</v>
      </c>
      <c r="J2516">
        <v>-1</v>
      </c>
      <c r="N2516" t="s">
        <v>209</v>
      </c>
      <c r="O2516">
        <f t="shared" si="117"/>
        <v>29.990559999999999</v>
      </c>
      <c r="P2516">
        <f t="shared" si="118"/>
        <v>25.009846875000001</v>
      </c>
      <c r="Q2516">
        <f t="shared" si="119"/>
        <v>25.009846875000001</v>
      </c>
      <c r="Y2516">
        <f>TREND(H2515:H2519,G2515:G2519,G2516)</f>
        <v>49.998437500000001</v>
      </c>
      <c r="Z2516">
        <f>ABS((Y2516-H2516)/80*100)</f>
        <v>0</v>
      </c>
      <c r="AB2516">
        <f>IF(ABS(T2515) &gt; ABS(V2515),T2515,V2515)</f>
        <v>-50.002303125000005</v>
      </c>
      <c r="AH2516">
        <f>H2516-AG2459</f>
        <v>49.984279999999998</v>
      </c>
      <c r="AI2516">
        <f>100*(AH2516-O2516)/80</f>
        <v>24.992150000000002</v>
      </c>
      <c r="AN2516">
        <f>IF(ABS(AK2515) &gt; ABS(AM2515),AK2515,AM2515)</f>
        <v>-50.02</v>
      </c>
    </row>
    <row r="2517" spans="1:41" x14ac:dyDescent="0.35">
      <c r="A2517" t="s">
        <v>306</v>
      </c>
      <c r="B2517" t="s">
        <v>1111</v>
      </c>
      <c r="C2517" t="s">
        <v>2430</v>
      </c>
      <c r="D2517">
        <v>25</v>
      </c>
      <c r="E2517">
        <v>25</v>
      </c>
      <c r="F2517">
        <v>0</v>
      </c>
      <c r="G2517">
        <v>1.0000000000000001E-5</v>
      </c>
      <c r="H2517">
        <v>49.998437500000001</v>
      </c>
      <c r="J2517">
        <v>-1</v>
      </c>
      <c r="N2517" t="s">
        <v>209</v>
      </c>
      <c r="O2517">
        <f t="shared" si="117"/>
        <v>50.000399999999999</v>
      </c>
      <c r="P2517">
        <f t="shared" si="118"/>
        <v>-2.4531249999970584E-3</v>
      </c>
      <c r="Q2517">
        <f t="shared" si="119"/>
        <v>2.4531249999970584E-3</v>
      </c>
      <c r="Y2517">
        <f>TREND(H2515:H2519,G2515:G2519,G2517)</f>
        <v>49.998437500000001</v>
      </c>
      <c r="Z2517">
        <f>ABS((Y2517-H2517)/80*100)</f>
        <v>0</v>
      </c>
      <c r="AH2517">
        <f>H2517-AG2459</f>
        <v>49.984279999999998</v>
      </c>
      <c r="AI2517">
        <f>100*(AH2517-O2517)/80</f>
        <v>-2.0150000000001E-2</v>
      </c>
    </row>
    <row r="2518" spans="1:41" x14ac:dyDescent="0.35">
      <c r="A2518" t="s">
        <v>306</v>
      </c>
      <c r="B2518" t="s">
        <v>1111</v>
      </c>
      <c r="C2518" t="s">
        <v>2467</v>
      </c>
      <c r="D2518">
        <v>25</v>
      </c>
      <c r="E2518">
        <v>25</v>
      </c>
      <c r="F2518">
        <v>0.5</v>
      </c>
      <c r="G2518">
        <v>0.49998999999999999</v>
      </c>
      <c r="H2518">
        <v>49.998437500000001</v>
      </c>
      <c r="J2518">
        <v>-1</v>
      </c>
      <c r="N2518" t="s">
        <v>209</v>
      </c>
      <c r="O2518">
        <f t="shared" si="117"/>
        <v>69.999600000000001</v>
      </c>
      <c r="P2518">
        <f t="shared" si="118"/>
        <v>-25.001453125000001</v>
      </c>
      <c r="Q2518">
        <f t="shared" si="119"/>
        <v>25.001453125000001</v>
      </c>
      <c r="Y2518">
        <f>TREND(H2515:H2519,G2515:G2519,G2518)</f>
        <v>49.998437500000001</v>
      </c>
      <c r="Z2518">
        <f>ABS((Y2518-H2518)/80*100)</f>
        <v>0</v>
      </c>
      <c r="AH2518">
        <f>H2518-AG2459</f>
        <v>49.984279999999998</v>
      </c>
      <c r="AI2518">
        <f>100*(AH2518-O2518)/80</f>
        <v>-25.019150000000003</v>
      </c>
    </row>
    <row r="2519" spans="1:41" x14ac:dyDescent="0.35">
      <c r="A2519" t="s">
        <v>306</v>
      </c>
      <c r="B2519" t="s">
        <v>1111</v>
      </c>
      <c r="C2519" t="s">
        <v>2504</v>
      </c>
      <c r="D2519">
        <v>25</v>
      </c>
      <c r="E2519">
        <v>24.9</v>
      </c>
      <c r="F2519">
        <v>1</v>
      </c>
      <c r="G2519">
        <v>1.0000070000000001</v>
      </c>
      <c r="H2519">
        <v>49.998437500000001</v>
      </c>
      <c r="J2519">
        <v>-1</v>
      </c>
      <c r="N2519" t="s">
        <v>209</v>
      </c>
      <c r="O2519">
        <f t="shared" si="117"/>
        <v>90.000280000000004</v>
      </c>
      <c r="P2519">
        <f t="shared" si="118"/>
        <v>-50.002303125000005</v>
      </c>
      <c r="Q2519">
        <f t="shared" si="119"/>
        <v>50.002303125000005</v>
      </c>
      <c r="Y2519">
        <f>TREND(H2515:H2519,G2515:G2519,G2519)</f>
        <v>49.998437500000001</v>
      </c>
      <c r="Z2519">
        <f>ABS((Y2519-H2519)/80*100)</f>
        <v>0</v>
      </c>
      <c r="AH2519">
        <f>H2519-AG2459</f>
        <v>49.984279999999998</v>
      </c>
      <c r="AI2519">
        <f>100*(AH2519-O2519)/80</f>
        <v>-50.02</v>
      </c>
    </row>
    <row r="2520" spans="1:41" x14ac:dyDescent="0.35">
      <c r="A2520" t="s">
        <v>306</v>
      </c>
      <c r="B2520" t="s">
        <v>1111</v>
      </c>
      <c r="C2520" t="s">
        <v>2540</v>
      </c>
      <c r="D2520">
        <v>25</v>
      </c>
      <c r="E2520">
        <v>25</v>
      </c>
      <c r="F2520">
        <v>0</v>
      </c>
      <c r="G2520">
        <v>1.6899999999999999E-4</v>
      </c>
      <c r="H2520">
        <v>49.998437500000001</v>
      </c>
      <c r="J2520">
        <v>-1</v>
      </c>
      <c r="N2520" t="s">
        <v>209</v>
      </c>
      <c r="O2520">
        <f t="shared" si="117"/>
        <v>50.00676</v>
      </c>
      <c r="P2520">
        <f t="shared" si="118"/>
        <v>-1.040312499999807E-2</v>
      </c>
      <c r="Q2520">
        <f t="shared" si="119"/>
        <v>1.040312499999807E-2</v>
      </c>
      <c r="Y2520">
        <f>TREND(H2515:H2519,G2515:G2519,G2520)</f>
        <v>49.998437500000001</v>
      </c>
      <c r="Z2520">
        <f>ABS((Y2520-H2520)/80*100)</f>
        <v>0</v>
      </c>
      <c r="AH2520">
        <f>H2520-AG2459</f>
        <v>49.984279999999998</v>
      </c>
      <c r="AI2520">
        <f>100*(AH2520-O2520)/80</f>
        <v>-2.8100000000002012E-2</v>
      </c>
    </row>
    <row r="2521" spans="1:41" x14ac:dyDescent="0.35">
      <c r="A2521" t="s">
        <v>306</v>
      </c>
      <c r="B2521" t="s">
        <v>1111</v>
      </c>
      <c r="C2521" t="s">
        <v>2575</v>
      </c>
      <c r="D2521">
        <v>25</v>
      </c>
      <c r="E2521">
        <v>25</v>
      </c>
      <c r="F2521">
        <v>-1</v>
      </c>
      <c r="G2521">
        <v>-1.0000340000000001</v>
      </c>
      <c r="H2521">
        <v>49.998437500000001</v>
      </c>
      <c r="J2521">
        <v>-1</v>
      </c>
      <c r="N2521" t="s">
        <v>209</v>
      </c>
      <c r="O2521">
        <f t="shared" si="117"/>
        <v>9.9986399999999964</v>
      </c>
      <c r="P2521">
        <f t="shared" si="118"/>
        <v>49.999746875000014</v>
      </c>
      <c r="Q2521">
        <f t="shared" si="119"/>
        <v>49.999746875000014</v>
      </c>
      <c r="Y2521">
        <f>TREND(H2515:H2519,G2515:G2519,G2521)</f>
        <v>49.998437500000001</v>
      </c>
      <c r="Z2521">
        <f>ABS((Y2521-H2521)/80*100)</f>
        <v>0</v>
      </c>
      <c r="AH2521">
        <f>H2521-AG2459</f>
        <v>49.984279999999998</v>
      </c>
      <c r="AI2521">
        <f>100*(AH2521-O2521)/80</f>
        <v>49.982050000000001</v>
      </c>
    </row>
  </sheetData>
  <sortState xmlns:xlrd2="http://schemas.microsoft.com/office/spreadsheetml/2017/richdata2" ref="A2:AO2522">
    <sortCondition ref="A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36D1F-D433-4CCB-BE9B-EB55671F46C1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A4407-A581-4AF9-8799-14EE54772CE4}">
  <sheetPr codeName="Sheet4"/>
  <dimension ref="A1:BJ41"/>
  <sheetViews>
    <sheetView topLeftCell="B1" zoomScaleNormal="100" workbookViewId="0">
      <selection sqref="A1:XFD1"/>
    </sheetView>
  </sheetViews>
  <sheetFormatPr defaultRowHeight="14.5" x14ac:dyDescent="0.35"/>
  <cols>
    <col min="4" max="4" width="11.54296875" style="84" customWidth="1"/>
    <col min="5" max="5" width="12.54296875" customWidth="1"/>
    <col min="9" max="9" width="9.1796875" style="132"/>
  </cols>
  <sheetData>
    <row r="1" spans="1:62" ht="39" customHeight="1" x14ac:dyDescent="0.35">
      <c r="A1" t="s">
        <v>64</v>
      </c>
      <c r="B1" t="s">
        <v>90</v>
      </c>
      <c r="C1" t="s">
        <v>91</v>
      </c>
      <c r="D1" s="84" t="s">
        <v>65</v>
      </c>
      <c r="E1" t="s">
        <v>92</v>
      </c>
      <c r="F1" t="s">
        <v>93</v>
      </c>
      <c r="G1" t="s">
        <v>94</v>
      </c>
      <c r="H1" t="s">
        <v>95</v>
      </c>
      <c r="I1" s="132" t="s">
        <v>96</v>
      </c>
      <c r="J1" t="s">
        <v>93</v>
      </c>
      <c r="K1" t="s">
        <v>97</v>
      </c>
      <c r="L1" t="s">
        <v>98</v>
      </c>
      <c r="M1" t="s">
        <v>99</v>
      </c>
      <c r="N1" t="s">
        <v>93</v>
      </c>
      <c r="O1" t="s">
        <v>100</v>
      </c>
      <c r="P1" t="s">
        <v>101</v>
      </c>
      <c r="Q1" t="s">
        <v>102</v>
      </c>
      <c r="R1" t="s">
        <v>103</v>
      </c>
      <c r="S1" t="s">
        <v>100</v>
      </c>
      <c r="T1" t="s">
        <v>104</v>
      </c>
      <c r="U1" t="s">
        <v>105</v>
      </c>
      <c r="V1" t="s">
        <v>106</v>
      </c>
      <c r="W1" t="s">
        <v>100</v>
      </c>
      <c r="X1" t="s">
        <v>107</v>
      </c>
      <c r="Y1" t="s">
        <v>108</v>
      </c>
      <c r="Z1" t="s">
        <v>109</v>
      </c>
      <c r="AA1" t="s">
        <v>110</v>
      </c>
      <c r="AB1" t="s">
        <v>107</v>
      </c>
      <c r="AC1" t="s">
        <v>111</v>
      </c>
      <c r="AD1" t="s">
        <v>112</v>
      </c>
      <c r="AE1" t="s">
        <v>113</v>
      </c>
      <c r="AF1" t="s">
        <v>107</v>
      </c>
      <c r="AG1" t="s">
        <v>114</v>
      </c>
      <c r="AH1" t="s">
        <v>115</v>
      </c>
      <c r="AI1" t="s">
        <v>116</v>
      </c>
      <c r="AJ1" t="s">
        <v>117</v>
      </c>
      <c r="AK1" t="s">
        <v>114</v>
      </c>
      <c r="AL1" t="s">
        <v>118</v>
      </c>
      <c r="AM1" t="s">
        <v>119</v>
      </c>
      <c r="AN1" t="s">
        <v>120</v>
      </c>
      <c r="AO1" t="s">
        <v>114</v>
      </c>
      <c r="AP1" t="s">
        <v>121</v>
      </c>
      <c r="AQ1" t="s">
        <v>122</v>
      </c>
      <c r="AR1" t="s">
        <v>123</v>
      </c>
      <c r="AS1" t="s">
        <v>134</v>
      </c>
      <c r="AT1" t="s">
        <v>135</v>
      </c>
      <c r="AU1" t="s">
        <v>136</v>
      </c>
      <c r="AV1" t="s">
        <v>137</v>
      </c>
      <c r="AW1" t="s">
        <v>134</v>
      </c>
      <c r="AX1" t="s">
        <v>138</v>
      </c>
      <c r="AY1" t="s">
        <v>139</v>
      </c>
      <c r="AZ1" t="s">
        <v>140</v>
      </c>
      <c r="BA1" t="s">
        <v>134</v>
      </c>
      <c r="BB1" t="s">
        <v>141</v>
      </c>
      <c r="BC1" t="s">
        <v>142</v>
      </c>
      <c r="BD1" t="s">
        <v>143</v>
      </c>
      <c r="BE1" t="s">
        <v>144</v>
      </c>
      <c r="BF1" t="s">
        <v>141</v>
      </c>
      <c r="BG1" t="s">
        <v>145</v>
      </c>
      <c r="BH1" t="s">
        <v>146</v>
      </c>
      <c r="BI1" t="s">
        <v>147</v>
      </c>
      <c r="BJ1" t="s">
        <v>141</v>
      </c>
    </row>
    <row r="2" spans="1:62" x14ac:dyDescent="0.35">
      <c r="A2" t="s">
        <v>230</v>
      </c>
      <c r="B2">
        <v>3</v>
      </c>
      <c r="C2" t="s">
        <v>124</v>
      </c>
      <c r="D2" s="84" t="s">
        <v>231</v>
      </c>
      <c r="E2" t="s">
        <v>48</v>
      </c>
      <c r="F2">
        <v>1.3999999999994017E-2</v>
      </c>
      <c r="G2">
        <v>-2.0350000000002311E-2</v>
      </c>
      <c r="H2">
        <v>29.790906249999995</v>
      </c>
      <c r="I2" s="132">
        <v>8.5468750000039506E-3</v>
      </c>
      <c r="J2">
        <v>-1.3953124999996902E-2</v>
      </c>
      <c r="K2">
        <v>1.0496875000001182E-2</v>
      </c>
      <c r="L2">
        <v>3.4468750000016257E-3</v>
      </c>
      <c r="M2">
        <v>8.6468750000001648E-3</v>
      </c>
      <c r="N2">
        <v>-1.3000000000040757E-3</v>
      </c>
      <c r="O2">
        <v>-100</v>
      </c>
      <c r="P2">
        <v>-129.78515625</v>
      </c>
      <c r="Q2">
        <v>-100</v>
      </c>
      <c r="R2">
        <v>-129.78711128234863</v>
      </c>
      <c r="S2">
        <v>-159.57226753234863</v>
      </c>
      <c r="T2">
        <v>-100.00000190734863</v>
      </c>
      <c r="U2">
        <v>-100.00000190734863</v>
      </c>
      <c r="V2">
        <v>-100.00000190734863</v>
      </c>
      <c r="W2">
        <v>-100</v>
      </c>
      <c r="X2">
        <v>0</v>
      </c>
      <c r="Y2">
        <v>11.914125230689638</v>
      </c>
      <c r="Z2">
        <v>0</v>
      </c>
      <c r="AA2">
        <v>17.871644430860385</v>
      </c>
      <c r="AB2">
        <v>58.048498888250798</v>
      </c>
      <c r="AC2">
        <v>0</v>
      </c>
      <c r="AD2">
        <v>0</v>
      </c>
      <c r="AE2">
        <v>0</v>
      </c>
      <c r="AF2">
        <v>0</v>
      </c>
      <c r="AG2">
        <v>50.001050000000006</v>
      </c>
      <c r="AH2">
        <v>79.783806249999998</v>
      </c>
      <c r="AI2">
        <v>79.777606249999991</v>
      </c>
      <c r="AJ2">
        <v>79.803056250000012</v>
      </c>
      <c r="AK2">
        <v>109.57606250000001</v>
      </c>
      <c r="AL2">
        <v>-49.996753124999998</v>
      </c>
      <c r="AM2">
        <v>-50.020553125000006</v>
      </c>
      <c r="AN2">
        <v>50.010996875000004</v>
      </c>
      <c r="AO2">
        <v>49.997000000000007</v>
      </c>
      <c r="AP2">
        <v>1.9249999999990663E-2</v>
      </c>
      <c r="AQ2">
        <v>59.580412500000001</v>
      </c>
      <c r="AR2">
        <v>1.9249999999990663E-2</v>
      </c>
      <c r="AS2">
        <v>0</v>
      </c>
      <c r="AT2">
        <v>-3.4349999999996328E-2</v>
      </c>
      <c r="AU2">
        <v>29.776906249999989</v>
      </c>
      <c r="AV2">
        <v>-5.4531249999900666E-3</v>
      </c>
      <c r="AW2">
        <v>-2.7953124999990919E-2</v>
      </c>
      <c r="AX2">
        <v>-3.5031249999928349E-3</v>
      </c>
      <c r="AY2">
        <v>-1.0553124999992392E-2</v>
      </c>
      <c r="AZ2">
        <v>-5.3531249999938524E-3</v>
      </c>
      <c r="BA2">
        <v>-1.5299999999998093E-2</v>
      </c>
      <c r="BB2">
        <v>-50.003899999999987</v>
      </c>
      <c r="BC2">
        <v>79.769806250000002</v>
      </c>
      <c r="BD2">
        <v>79.763606249999995</v>
      </c>
      <c r="BE2">
        <v>79.789056250000002</v>
      </c>
      <c r="BF2">
        <v>109.5620625</v>
      </c>
      <c r="BG2">
        <v>-50.010753124999994</v>
      </c>
      <c r="BH2">
        <v>-50.034553124999995</v>
      </c>
      <c r="BI2">
        <v>-50.004253125000005</v>
      </c>
      <c r="BJ2">
        <v>-50.009100000000004</v>
      </c>
    </row>
    <row r="3" spans="1:62" x14ac:dyDescent="0.35">
      <c r="A3" t="s">
        <v>233</v>
      </c>
      <c r="B3">
        <v>3</v>
      </c>
      <c r="C3" t="s">
        <v>2577</v>
      </c>
      <c r="D3" s="84" t="s">
        <v>231</v>
      </c>
      <c r="E3" t="s">
        <v>48</v>
      </c>
      <c r="F3">
        <v>0.24366875000000121</v>
      </c>
      <c r="G3">
        <v>0.72620937499999094</v>
      </c>
      <c r="H3">
        <v>0.41305624999999679</v>
      </c>
      <c r="I3" s="132">
        <v>0.35355000000000025</v>
      </c>
      <c r="J3">
        <v>0.22924062500000453</v>
      </c>
      <c r="K3">
        <v>0.36425937499999783</v>
      </c>
      <c r="L3">
        <v>0.41912187499999476</v>
      </c>
      <c r="M3">
        <v>0.46488124999999769</v>
      </c>
      <c r="N3">
        <v>0.17388125000000088</v>
      </c>
      <c r="O3">
        <v>0.10546493530274148</v>
      </c>
      <c r="P3">
        <v>-0.41796874999999289</v>
      </c>
      <c r="Q3">
        <v>1.3669967651370742E-2</v>
      </c>
      <c r="R3">
        <v>-8.7894439697269178E-2</v>
      </c>
      <c r="S3">
        <v>-1.1718750000007105E-2</v>
      </c>
      <c r="T3">
        <v>0.20312881469726207</v>
      </c>
      <c r="U3">
        <v>0.23437309265137429</v>
      </c>
      <c r="V3">
        <v>0.24413681030273082</v>
      </c>
      <c r="W3">
        <v>-0.86914443969726918</v>
      </c>
      <c r="X3">
        <v>0.14870714733837609</v>
      </c>
      <c r="Y3">
        <v>0.16730382709035041</v>
      </c>
      <c r="Z3">
        <v>0.13264375358541081</v>
      </c>
      <c r="AA3">
        <v>0.11130874655497446</v>
      </c>
      <c r="AB3">
        <v>0.13304910444535523</v>
      </c>
      <c r="AC3">
        <v>8.1918821741284731E-2</v>
      </c>
      <c r="AD3">
        <v>0.17077822025363787</v>
      </c>
      <c r="AE3">
        <v>7.1120295207176554E-2</v>
      </c>
      <c r="AF3">
        <v>0.56661068230171363</v>
      </c>
      <c r="AG3">
        <v>0.43848125000000238</v>
      </c>
      <c r="AH3">
        <v>1.1637187500000001</v>
      </c>
      <c r="AI3">
        <v>0.65926249999999964</v>
      </c>
      <c r="AJ3">
        <v>0.56752500000000206</v>
      </c>
      <c r="AK3">
        <v>0.44482187499999881</v>
      </c>
      <c r="AL3">
        <v>0.51571875000000489</v>
      </c>
      <c r="AM3">
        <v>0.57666562499999685</v>
      </c>
      <c r="AN3">
        <v>0.66575000000000273</v>
      </c>
      <c r="AO3">
        <v>1.297887499999999</v>
      </c>
      <c r="AP3">
        <v>3.3653124999997175E-2</v>
      </c>
      <c r="AQ3">
        <v>0.97887499999999905</v>
      </c>
      <c r="AR3">
        <v>0.14870714733837609</v>
      </c>
      <c r="AS3">
        <v>0</v>
      </c>
      <c r="AT3">
        <v>0.48254062499998973</v>
      </c>
      <c r="AU3">
        <v>0.16938749999999558</v>
      </c>
      <c r="AV3">
        <v>0.10988124999999904</v>
      </c>
      <c r="AW3">
        <v>-1.4428124999996683E-2</v>
      </c>
      <c r="AX3">
        <v>0.12059062499999662</v>
      </c>
      <c r="AY3">
        <v>0.17545312499999355</v>
      </c>
      <c r="AZ3">
        <v>0.22121249999999648</v>
      </c>
      <c r="BA3">
        <v>-6.9787500000000335E-2</v>
      </c>
      <c r="BB3">
        <v>0.19481250000000117</v>
      </c>
      <c r="BC3">
        <v>0.92004999999999892</v>
      </c>
      <c r="BD3">
        <v>0.41559374999999843</v>
      </c>
      <c r="BE3">
        <v>0.32385625000000084</v>
      </c>
      <c r="BF3">
        <v>0.2011531249999976</v>
      </c>
      <c r="BG3">
        <v>0.27205000000000368</v>
      </c>
      <c r="BH3">
        <v>0.33299687499999564</v>
      </c>
      <c r="BI3">
        <v>0.42208125000000152</v>
      </c>
      <c r="BJ3">
        <v>1.0542187499999978</v>
      </c>
    </row>
    <row r="4" spans="1:62" x14ac:dyDescent="0.35">
      <c r="A4" t="s">
        <v>235</v>
      </c>
      <c r="B4">
        <v>3</v>
      </c>
      <c r="C4" t="s">
        <v>2577</v>
      </c>
      <c r="D4" s="84" t="s">
        <v>231</v>
      </c>
      <c r="E4" t="s">
        <v>48</v>
      </c>
      <c r="F4">
        <v>0.29054687500000398</v>
      </c>
      <c r="G4">
        <v>0.58683749999999257</v>
      </c>
      <c r="H4">
        <v>0.48126250000000148</v>
      </c>
      <c r="I4" s="132">
        <v>0.44599999999999973</v>
      </c>
      <c r="J4">
        <v>0.28968749999999766</v>
      </c>
      <c r="K4">
        <v>0.25383750000000482</v>
      </c>
      <c r="L4">
        <v>0.21791249999999707</v>
      </c>
      <c r="M4">
        <v>0.29801562500000323</v>
      </c>
      <c r="N4">
        <v>0.1824468750000019</v>
      </c>
      <c r="O4">
        <v>6.2499999999996447E-2</v>
      </c>
      <c r="P4">
        <v>4.2972564697265625E-2</v>
      </c>
      <c r="Q4">
        <v>0.12500190734863637</v>
      </c>
      <c r="R4">
        <v>6.0544967651363635E-2</v>
      </c>
      <c r="S4">
        <v>7.4218750000003553E-2</v>
      </c>
      <c r="T4">
        <v>0.12500381469726207</v>
      </c>
      <c r="U4">
        <v>0.13866806030273793</v>
      </c>
      <c r="V4">
        <v>0.30859184265136008</v>
      </c>
      <c r="W4">
        <v>0.12304878234862926</v>
      </c>
      <c r="X4">
        <v>0.22217721804183463</v>
      </c>
      <c r="Y4">
        <v>5.1455593399438726E-2</v>
      </c>
      <c r="Z4">
        <v>6.0227502382268483E-2</v>
      </c>
      <c r="AA4">
        <v>9.1812531909023498E-2</v>
      </c>
      <c r="AB4">
        <v>0.10144596848386199</v>
      </c>
      <c r="AC4">
        <v>0.15658016172863221</v>
      </c>
      <c r="AD4">
        <v>0.14538329319417898</v>
      </c>
      <c r="AE4">
        <v>7.9987837045081278E-2</v>
      </c>
      <c r="AF4">
        <v>0.1104889200969783</v>
      </c>
      <c r="AG4">
        <v>0.40534375000000011</v>
      </c>
      <c r="AH4">
        <v>0.6770406249999894</v>
      </c>
      <c r="AI4">
        <v>0.65671874999999602</v>
      </c>
      <c r="AJ4">
        <v>0.59381874999999695</v>
      </c>
      <c r="AK4">
        <v>0.48805937500000951</v>
      </c>
      <c r="AL4">
        <v>0.48834375000000207</v>
      </c>
      <c r="AM4">
        <v>0.4699499999999901</v>
      </c>
      <c r="AN4">
        <v>0.59984999999999289</v>
      </c>
      <c r="AO4">
        <v>0.39364687500000883</v>
      </c>
      <c r="AP4">
        <v>3.7740624999988981E-2</v>
      </c>
      <c r="AQ4">
        <v>0.36649687500000194</v>
      </c>
      <c r="AR4">
        <v>0.22217721804183463</v>
      </c>
      <c r="AS4">
        <v>0</v>
      </c>
      <c r="AT4">
        <v>0.29629062499998859</v>
      </c>
      <c r="AU4">
        <v>0.1907156249999975</v>
      </c>
      <c r="AV4">
        <v>0.15545312499999575</v>
      </c>
      <c r="AW4">
        <v>-8.5937500000632383E-4</v>
      </c>
      <c r="AX4">
        <v>-3.6709374999999156E-2</v>
      </c>
      <c r="AY4">
        <v>-7.2634375000006912E-2</v>
      </c>
      <c r="AZ4">
        <v>7.4687499999992468E-3</v>
      </c>
      <c r="BA4">
        <v>-0.10810000000000208</v>
      </c>
      <c r="BB4">
        <v>-0.30847500000000583</v>
      </c>
      <c r="BC4">
        <v>0.38649374999998543</v>
      </c>
      <c r="BD4">
        <v>0.36617187499999204</v>
      </c>
      <c r="BE4">
        <v>0.30327187499999297</v>
      </c>
      <c r="BF4">
        <v>0.19751250000000553</v>
      </c>
      <c r="BG4">
        <v>-0.20225000000000382</v>
      </c>
      <c r="BH4">
        <v>0.17940312499998612</v>
      </c>
      <c r="BI4">
        <v>0.30930312499998891</v>
      </c>
      <c r="BJ4">
        <v>-0.24259687500000293</v>
      </c>
    </row>
    <row r="5" spans="1:62" x14ac:dyDescent="0.35">
      <c r="A5" t="s">
        <v>237</v>
      </c>
      <c r="B5">
        <v>3</v>
      </c>
      <c r="C5" t="s">
        <v>2578</v>
      </c>
      <c r="D5" s="84" t="s">
        <v>231</v>
      </c>
      <c r="E5" t="s">
        <v>48</v>
      </c>
      <c r="F5">
        <v>3.4487499999995563E-2</v>
      </c>
      <c r="G5">
        <v>0.42987812499999833</v>
      </c>
      <c r="H5">
        <v>0.33175937500000252</v>
      </c>
      <c r="I5" s="132">
        <v>0.23361249999999778</v>
      </c>
      <c r="J5">
        <v>6.8225000000001756E-2</v>
      </c>
      <c r="K5">
        <v>6.8246874999999818E-2</v>
      </c>
      <c r="L5">
        <v>-3.8700000000000401E-2</v>
      </c>
      <c r="M5">
        <v>-1.1275000000008362E-2</v>
      </c>
      <c r="N5">
        <v>-3.3746875000000287E-2</v>
      </c>
      <c r="O5">
        <v>0.39843368530274148</v>
      </c>
      <c r="P5">
        <v>0.66210746765136719</v>
      </c>
      <c r="Q5">
        <v>0.60742568969725852</v>
      </c>
      <c r="R5">
        <v>0.44336318969726563</v>
      </c>
      <c r="S5">
        <v>0.33398056030273793</v>
      </c>
      <c r="T5">
        <v>0.20117568969727273</v>
      </c>
      <c r="U5">
        <v>-3.7107467651367188E-2</v>
      </c>
      <c r="V5">
        <v>-9.7618103027308223E-3</v>
      </c>
      <c r="W5">
        <v>0.56054496765137074</v>
      </c>
      <c r="X5">
        <v>0.11957806917622937</v>
      </c>
      <c r="Y5">
        <v>9.5006452066872527E-2</v>
      </c>
      <c r="Z5">
        <v>0.11273753635367534</v>
      </c>
      <c r="AA5">
        <v>0.10299216250583497</v>
      </c>
      <c r="AB5">
        <v>0.11464837163496001</v>
      </c>
      <c r="AC5">
        <v>0.16413925771557203</v>
      </c>
      <c r="AD5">
        <v>0.13016949636184272</v>
      </c>
      <c r="AE5">
        <v>9.0520266518576697E-2</v>
      </c>
      <c r="AF5">
        <v>0.18474841519553031</v>
      </c>
      <c r="AG5">
        <v>0.41373437500000776</v>
      </c>
      <c r="AH5">
        <v>0.91021562499998154</v>
      </c>
      <c r="AI5">
        <v>0.80007187499999688</v>
      </c>
      <c r="AJ5">
        <v>0.53172499999998735</v>
      </c>
      <c r="AK5">
        <v>0.42563437500000134</v>
      </c>
      <c r="AL5">
        <v>0.29355937500000095</v>
      </c>
      <c r="AM5">
        <v>0.14753437500001354</v>
      </c>
      <c r="AN5">
        <v>0.13539999999999885</v>
      </c>
      <c r="AO5">
        <v>-0.40007187500000096</v>
      </c>
      <c r="AP5">
        <v>7.8006249999997834E-2</v>
      </c>
      <c r="AQ5">
        <v>0.40004687500000191</v>
      </c>
      <c r="AR5">
        <v>0.11957806917622937</v>
      </c>
      <c r="AS5">
        <v>0</v>
      </c>
      <c r="AT5">
        <v>0.39539062500000277</v>
      </c>
      <c r="AU5">
        <v>0.29727187500000696</v>
      </c>
      <c r="AV5">
        <v>0.19912500000000222</v>
      </c>
      <c r="AW5">
        <v>3.3737500000006193E-2</v>
      </c>
      <c r="AX5">
        <v>3.3759375000004255E-2</v>
      </c>
      <c r="AY5">
        <v>-7.3187499999995964E-2</v>
      </c>
      <c r="AZ5">
        <v>-4.5762500000003925E-2</v>
      </c>
      <c r="BA5">
        <v>-6.823437499999585E-2</v>
      </c>
      <c r="BB5">
        <v>0.37924687500002108</v>
      </c>
      <c r="BC5">
        <v>0.8757281249999771</v>
      </c>
      <c r="BD5">
        <v>0.7655843750000102</v>
      </c>
      <c r="BE5">
        <v>0.4972374999999829</v>
      </c>
      <c r="BF5">
        <v>0.39114687500001466</v>
      </c>
      <c r="BG5">
        <v>0.25907187500001427</v>
      </c>
      <c r="BH5">
        <v>-0.16463749999999333</v>
      </c>
      <c r="BI5">
        <v>0.10091250000000329</v>
      </c>
      <c r="BJ5">
        <v>-0.43455937499999653</v>
      </c>
    </row>
    <row r="6" spans="1:62" x14ac:dyDescent="0.35">
      <c r="A6" t="s">
        <v>239</v>
      </c>
      <c r="B6">
        <v>3</v>
      </c>
      <c r="C6" t="s">
        <v>124</v>
      </c>
      <c r="D6" s="84" t="s">
        <v>231</v>
      </c>
      <c r="E6" t="s">
        <v>48</v>
      </c>
      <c r="F6">
        <v>0.3413281250000022</v>
      </c>
      <c r="G6">
        <v>0.82254687499999868</v>
      </c>
      <c r="H6">
        <v>0.39204687499999835</v>
      </c>
      <c r="I6" s="132">
        <v>0.22154687499999604</v>
      </c>
      <c r="J6">
        <v>0.2180499999999963</v>
      </c>
      <c r="K6">
        <v>3.3892124999999935</v>
      </c>
      <c r="L6">
        <v>13.684549999999998</v>
      </c>
      <c r="M6">
        <v>23.347749999999998</v>
      </c>
      <c r="N6">
        <v>0.10382187499999418</v>
      </c>
      <c r="O6">
        <v>0.26172065734863637</v>
      </c>
      <c r="P6">
        <v>-0.29687118530272727</v>
      </c>
      <c r="Q6">
        <v>0.18555068969726918</v>
      </c>
      <c r="R6">
        <v>0.22265434265136716</v>
      </c>
      <c r="S6">
        <v>0.18945503234863992</v>
      </c>
      <c r="T6">
        <v>0.41406440734863992</v>
      </c>
      <c r="U6">
        <v>-7.8123092651374293E-2</v>
      </c>
      <c r="V6">
        <v>-9.3144493103027415</v>
      </c>
      <c r="W6">
        <v>0.27343368530273082</v>
      </c>
      <c r="X6">
        <v>0.10383837236465077</v>
      </c>
      <c r="Y6">
        <v>0.23411847507899705</v>
      </c>
      <c r="Z6">
        <v>0.14442494082174573</v>
      </c>
      <c r="AA6">
        <v>0.12341233598085921</v>
      </c>
      <c r="AB6">
        <v>0.20257927991214505</v>
      </c>
      <c r="AC6">
        <v>0.11733648017554719</v>
      </c>
      <c r="AD6">
        <v>0.26705006202925929</v>
      </c>
      <c r="AE6">
        <v>3.6104780137046251</v>
      </c>
      <c r="AF6">
        <v>0.16178953178296318</v>
      </c>
      <c r="AG6">
        <v>0.64235312500001029</v>
      </c>
      <c r="AH6">
        <v>1.3626843749999984</v>
      </c>
      <c r="AI6">
        <v>0.72622812500000578</v>
      </c>
      <c r="AJ6">
        <v>0.54694062499997642</v>
      </c>
      <c r="AK6">
        <v>0.66202499999999276</v>
      </c>
      <c r="AL6">
        <v>3.5795718750000027</v>
      </c>
      <c r="AM6">
        <v>13.684549999999998</v>
      </c>
      <c r="AN6">
        <v>23.347749999999998</v>
      </c>
      <c r="AO6">
        <v>0.41441562499999307</v>
      </c>
      <c r="AP6">
        <v>0.11421249999999716</v>
      </c>
      <c r="AQ6">
        <v>0.4255750000000047</v>
      </c>
      <c r="AR6">
        <v>0.11421249999999716</v>
      </c>
      <c r="AS6">
        <v>0</v>
      </c>
      <c r="AT6">
        <v>0.48121874999999648</v>
      </c>
      <c r="AU6">
        <v>5.0718749999996149E-2</v>
      </c>
      <c r="AV6">
        <v>-0.11978125000000617</v>
      </c>
      <c r="AW6">
        <v>-0.1232781250000059</v>
      </c>
      <c r="AX6">
        <v>3.0478843749999918</v>
      </c>
      <c r="AY6">
        <v>13.343221874999998</v>
      </c>
      <c r="AZ6">
        <v>23.006421875000004</v>
      </c>
      <c r="BA6">
        <v>-0.23750625000000802</v>
      </c>
      <c r="BB6">
        <v>0.30102499999999921</v>
      </c>
      <c r="BC6">
        <v>1.0213562499999962</v>
      </c>
      <c r="BD6">
        <v>0.38490000000001245</v>
      </c>
      <c r="BE6">
        <v>0.20561249999996534</v>
      </c>
      <c r="BF6">
        <v>0.32069687499999944</v>
      </c>
      <c r="BG6">
        <v>3.2382437499999916</v>
      </c>
      <c r="BH6">
        <v>13.343221874999998</v>
      </c>
      <c r="BI6">
        <v>23.006421875000004</v>
      </c>
      <c r="BJ6">
        <v>-0.43833125000000805</v>
      </c>
    </row>
    <row r="7" spans="1:62" x14ac:dyDescent="0.35">
      <c r="A7" t="s">
        <v>241</v>
      </c>
      <c r="B7">
        <v>3</v>
      </c>
      <c r="C7" t="s">
        <v>2577</v>
      </c>
      <c r="D7" s="84" t="s">
        <v>231</v>
      </c>
      <c r="E7" t="s">
        <v>48</v>
      </c>
      <c r="F7">
        <v>0.18061874999999894</v>
      </c>
      <c r="G7">
        <v>0.22557500000000452</v>
      </c>
      <c r="H7">
        <v>0.44653437500000059</v>
      </c>
      <c r="I7" s="132">
        <v>0.35240625000000136</v>
      </c>
      <c r="J7">
        <v>0.26696249999999644</v>
      </c>
      <c r="K7">
        <v>0.30443437499999781</v>
      </c>
      <c r="L7">
        <v>0.30643750000000303</v>
      </c>
      <c r="M7">
        <v>0.34469062500000369</v>
      </c>
      <c r="N7">
        <v>0.12365625000000158</v>
      </c>
      <c r="O7">
        <v>0.31054878234863637</v>
      </c>
      <c r="P7">
        <v>0.21288681030274145</v>
      </c>
      <c r="Q7">
        <v>0.14062690734863992</v>
      </c>
      <c r="R7">
        <v>4.101943969725852E-2</v>
      </c>
      <c r="S7">
        <v>0.10937118530273793</v>
      </c>
      <c r="T7">
        <v>0.12109184265137074</v>
      </c>
      <c r="U7">
        <v>8.9839935302737928E-2</v>
      </c>
      <c r="V7">
        <v>0.27539062500000711</v>
      </c>
      <c r="W7">
        <v>0.25000381469727273</v>
      </c>
      <c r="X7">
        <v>7.6778456171906484E-2</v>
      </c>
      <c r="Y7">
        <v>0.20285544144954315</v>
      </c>
      <c r="Z7">
        <v>0.10972646688815145</v>
      </c>
      <c r="AA7">
        <v>6.9511544376510415E-2</v>
      </c>
      <c r="AB7">
        <v>0.10618844858502284</v>
      </c>
      <c r="AC7">
        <v>0.12641555970409613</v>
      </c>
      <c r="AD7">
        <v>7.7803929885424949E-2</v>
      </c>
      <c r="AE7">
        <v>0.13273835536725676</v>
      </c>
      <c r="AF7">
        <v>0.11827858619331889</v>
      </c>
      <c r="AG7">
        <v>0.43112500000001219</v>
      </c>
      <c r="AH7">
        <v>0.63375625000000824</v>
      </c>
      <c r="AI7">
        <v>0.59310312499999185</v>
      </c>
      <c r="AJ7">
        <v>0.46116875000000945</v>
      </c>
      <c r="AK7">
        <v>0.50598749999998915</v>
      </c>
      <c r="AL7">
        <v>0.43053437499999347</v>
      </c>
      <c r="AM7">
        <v>0.47515937500000049</v>
      </c>
      <c r="AN7">
        <v>0.70042499999999563</v>
      </c>
      <c r="AO7">
        <v>0.26137812500000024</v>
      </c>
      <c r="AP7">
        <v>8.4687500000002469E-2</v>
      </c>
      <c r="AQ7">
        <v>0.39602187500000552</v>
      </c>
      <c r="AR7">
        <v>8.4687500000002469E-2</v>
      </c>
      <c r="AS7">
        <v>0</v>
      </c>
      <c r="AT7">
        <v>4.4956250000005582E-2</v>
      </c>
      <c r="AU7">
        <v>0.26591562500000165</v>
      </c>
      <c r="AV7">
        <v>0.17178750000000242</v>
      </c>
      <c r="AW7">
        <v>8.6343749999997499E-2</v>
      </c>
      <c r="AX7">
        <v>0.12381562499999887</v>
      </c>
      <c r="AY7">
        <v>0.12581875000000409</v>
      </c>
      <c r="AZ7">
        <v>0.16407187500000475</v>
      </c>
      <c r="BA7">
        <v>-5.6962499999997362E-2</v>
      </c>
      <c r="BB7">
        <v>0.25050625000000437</v>
      </c>
      <c r="BC7">
        <v>0.45313750000001818</v>
      </c>
      <c r="BD7">
        <v>0.41248437499998403</v>
      </c>
      <c r="BE7">
        <v>0.28055000000000163</v>
      </c>
      <c r="BF7">
        <v>0.3253687499999991</v>
      </c>
      <c r="BG7">
        <v>0.24991562499998565</v>
      </c>
      <c r="BH7">
        <v>0.29454062500001044</v>
      </c>
      <c r="BI7">
        <v>0.51980624999998781</v>
      </c>
      <c r="BJ7">
        <v>-0.29802812500000275</v>
      </c>
    </row>
    <row r="8" spans="1:62" x14ac:dyDescent="0.35">
      <c r="A8" t="s">
        <v>243</v>
      </c>
      <c r="B8">
        <v>3</v>
      </c>
      <c r="C8" t="s">
        <v>2578</v>
      </c>
      <c r="D8" s="84" t="s">
        <v>231</v>
      </c>
      <c r="E8" t="s">
        <v>48</v>
      </c>
      <c r="F8">
        <v>0.1932906250000066</v>
      </c>
      <c r="G8">
        <v>0.3669656249999953</v>
      </c>
      <c r="H8">
        <v>0.37668124999999719</v>
      </c>
      <c r="I8" s="132">
        <v>0.28224687500000734</v>
      </c>
      <c r="J8">
        <v>0.16939687499999856</v>
      </c>
      <c r="K8">
        <v>0.13241562500000192</v>
      </c>
      <c r="L8">
        <v>-0.15105000000000146</v>
      </c>
      <c r="M8">
        <v>-0.53862500000000146</v>
      </c>
      <c r="N8">
        <v>3.5515624999993278E-2</v>
      </c>
      <c r="O8">
        <v>0.23046493530273438</v>
      </c>
      <c r="P8">
        <v>0.21680068969725852</v>
      </c>
      <c r="Q8">
        <v>0.10742187500000001</v>
      </c>
      <c r="R8">
        <v>1.7576217651367188E-2</v>
      </c>
      <c r="S8">
        <v>0.14648056030273082</v>
      </c>
      <c r="T8">
        <v>8.3984375000003553E-2</v>
      </c>
      <c r="U8">
        <v>0.16601753234862571</v>
      </c>
      <c r="V8">
        <v>0.25781059265137074</v>
      </c>
      <c r="W8">
        <v>0.27929687500000355</v>
      </c>
      <c r="X8">
        <v>3.9078984756759638E-2</v>
      </c>
      <c r="Y8">
        <v>0.10804834507869288</v>
      </c>
      <c r="Z8">
        <v>0.12951132577063262</v>
      </c>
      <c r="AA8">
        <v>0.13657534033502117</v>
      </c>
      <c r="AB8">
        <v>9.7065046112856379E-2</v>
      </c>
      <c r="AC8">
        <v>6.9437544610453372E-2</v>
      </c>
      <c r="AD8">
        <v>7.4152720629685476E-2</v>
      </c>
      <c r="AE8">
        <v>0.13162668637122454</v>
      </c>
      <c r="AF8">
        <v>8.0052139031643321E-2</v>
      </c>
      <c r="AG8">
        <v>0.34755624999998957</v>
      </c>
      <c r="AH8">
        <v>0.59634687500000894</v>
      </c>
      <c r="AI8">
        <v>0.51994062500000382</v>
      </c>
      <c r="AJ8">
        <v>0.44945937499999644</v>
      </c>
      <c r="AK8">
        <v>0.40248749999999944</v>
      </c>
      <c r="AL8">
        <v>0.24934062499999854</v>
      </c>
      <c r="AM8">
        <v>-0.1761968749999987</v>
      </c>
      <c r="AN8">
        <v>-0.59860312500000123</v>
      </c>
      <c r="AO8">
        <v>0.23455624999998648</v>
      </c>
      <c r="AP8">
        <v>4.7565625000005607E-2</v>
      </c>
      <c r="AQ8">
        <v>0.2746375000000012</v>
      </c>
      <c r="AR8">
        <v>4.7565625000005607E-2</v>
      </c>
      <c r="AS8">
        <v>0</v>
      </c>
      <c r="AT8">
        <v>0.1736749999999887</v>
      </c>
      <c r="AU8">
        <v>0.18339062499999059</v>
      </c>
      <c r="AV8">
        <v>8.8956250000000736E-2</v>
      </c>
      <c r="AW8">
        <v>-2.3893750000008041E-2</v>
      </c>
      <c r="AX8">
        <v>-6.0875000000004675E-2</v>
      </c>
      <c r="AY8">
        <v>-0.34434062500000806</v>
      </c>
      <c r="AZ8">
        <v>-0.73191562500000806</v>
      </c>
      <c r="BA8">
        <v>-0.15777500000001332</v>
      </c>
      <c r="BB8">
        <v>0.15426562499998298</v>
      </c>
      <c r="BC8">
        <v>0.40305625000000234</v>
      </c>
      <c r="BD8">
        <v>0.32664999999999722</v>
      </c>
      <c r="BE8">
        <v>0.25616874999998984</v>
      </c>
      <c r="BF8">
        <v>0.20919687499999284</v>
      </c>
      <c r="BG8">
        <v>-0.13641562500001037</v>
      </c>
      <c r="BH8">
        <v>-0.3694875000000053</v>
      </c>
      <c r="BI8">
        <v>-0.79189375000000783</v>
      </c>
      <c r="BJ8">
        <v>-0.28820000000000512</v>
      </c>
    </row>
    <row r="9" spans="1:62" x14ac:dyDescent="0.35">
      <c r="A9" t="s">
        <v>245</v>
      </c>
      <c r="B9">
        <v>3</v>
      </c>
      <c r="C9" t="s">
        <v>124</v>
      </c>
      <c r="D9" s="84" t="s">
        <v>231</v>
      </c>
      <c r="E9" t="s">
        <v>48</v>
      </c>
      <c r="F9">
        <v>-63.993000000000009</v>
      </c>
      <c r="G9">
        <v>64.028346874999997</v>
      </c>
      <c r="H9">
        <v>64.006396874999993</v>
      </c>
      <c r="I9" s="132">
        <v>64.003496874999996</v>
      </c>
      <c r="J9">
        <v>-63.981350000000006</v>
      </c>
      <c r="K9">
        <v>-64.001949999999994</v>
      </c>
      <c r="L9">
        <v>-63.992850000000011</v>
      </c>
      <c r="M9">
        <v>-63.991000000000007</v>
      </c>
      <c r="N9">
        <v>63.994146874999991</v>
      </c>
      <c r="O9">
        <v>-84.728516101837158</v>
      </c>
      <c r="P9">
        <v>-99.999996185302734</v>
      </c>
      <c r="Q9">
        <v>-99.999996185302734</v>
      </c>
      <c r="R9">
        <v>-99.999996185302734</v>
      </c>
      <c r="S9">
        <v>-100.00000005960463</v>
      </c>
      <c r="T9">
        <v>-100.00000005960463</v>
      </c>
      <c r="U9">
        <v>-100.00000005960463</v>
      </c>
      <c r="V9">
        <v>-100.00000005960463</v>
      </c>
      <c r="W9">
        <v>-99.999996185302734</v>
      </c>
      <c r="X9">
        <v>6.1091444734663369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-98.734865624999983</v>
      </c>
      <c r="AH9">
        <v>114.011296875</v>
      </c>
      <c r="AI9">
        <v>114.01339687500001</v>
      </c>
      <c r="AJ9">
        <v>114.00569687499998</v>
      </c>
      <c r="AK9">
        <v>-113.98925</v>
      </c>
      <c r="AL9">
        <v>-113.99275</v>
      </c>
      <c r="AM9">
        <v>-113.96869999999998</v>
      </c>
      <c r="AN9">
        <v>-114.00345</v>
      </c>
      <c r="AO9">
        <v>114.00734687500001</v>
      </c>
      <c r="AP9">
        <v>1.3249999999985107E-2</v>
      </c>
      <c r="AQ9">
        <v>128.01394687499999</v>
      </c>
      <c r="AR9">
        <v>6.1091444734663369</v>
      </c>
      <c r="AS9">
        <v>0</v>
      </c>
      <c r="AT9">
        <v>128.02134687499998</v>
      </c>
      <c r="AU9">
        <v>127.99939687499997</v>
      </c>
      <c r="AV9">
        <v>127.99649687499998</v>
      </c>
      <c r="AW9">
        <v>1.1649999999994165E-2</v>
      </c>
      <c r="AX9">
        <v>-8.9499999999986812E-3</v>
      </c>
      <c r="AY9">
        <v>1.4999999999432134E-4</v>
      </c>
      <c r="AZ9">
        <v>1.9999999999953388E-3</v>
      </c>
      <c r="BA9">
        <v>127.98714687499998</v>
      </c>
      <c r="BB9">
        <v>49.995599999999996</v>
      </c>
      <c r="BC9">
        <v>178.00429687499999</v>
      </c>
      <c r="BD9">
        <v>178.00639687500001</v>
      </c>
      <c r="BE9">
        <v>177.99869687500001</v>
      </c>
      <c r="BF9">
        <v>49.996399999999994</v>
      </c>
      <c r="BG9">
        <v>50.013750000000002</v>
      </c>
      <c r="BH9">
        <v>50.002650000000003</v>
      </c>
      <c r="BI9">
        <v>-50.010449999999999</v>
      </c>
      <c r="BJ9">
        <v>178.00034687499999</v>
      </c>
    </row>
    <row r="10" spans="1:62" x14ac:dyDescent="0.35">
      <c r="A10" t="s">
        <v>247</v>
      </c>
      <c r="B10">
        <v>3</v>
      </c>
      <c r="C10" t="s">
        <v>2577</v>
      </c>
      <c r="D10" s="84" t="s">
        <v>231</v>
      </c>
      <c r="E10" t="s">
        <v>48</v>
      </c>
      <c r="F10">
        <v>9.8446875000002265E-2</v>
      </c>
      <c r="G10">
        <v>0.93558437499999592</v>
      </c>
      <c r="H10">
        <v>0.43974999999999653</v>
      </c>
      <c r="I10" s="132">
        <v>0.24167499999999897</v>
      </c>
      <c r="J10">
        <v>0.21255937500000321</v>
      </c>
      <c r="K10">
        <v>0.17172500000000923</v>
      </c>
      <c r="L10">
        <v>0.25289687499999935</v>
      </c>
      <c r="M10">
        <v>0.32099687500000584</v>
      </c>
      <c r="N10">
        <v>-5.3031249999957453E-3</v>
      </c>
      <c r="O10">
        <v>0.27148056030274148</v>
      </c>
      <c r="P10">
        <v>0.24999809265136008</v>
      </c>
      <c r="Q10">
        <v>0.20898246765137077</v>
      </c>
      <c r="R10">
        <v>0.20508003234862571</v>
      </c>
      <c r="S10">
        <v>0.33593368530272727</v>
      </c>
      <c r="T10">
        <v>0.19335556030274148</v>
      </c>
      <c r="U10">
        <v>3.7107467651367188E-2</v>
      </c>
      <c r="V10">
        <v>-0.21289062499999289</v>
      </c>
      <c r="W10">
        <v>0.50390434265136008</v>
      </c>
      <c r="X10">
        <v>0.11439991577831377</v>
      </c>
      <c r="Y10">
        <v>0.14649990899490151</v>
      </c>
      <c r="Z10">
        <v>0.12628996980745821</v>
      </c>
      <c r="AA10">
        <v>0.21223415155041228</v>
      </c>
      <c r="AB10">
        <v>6.7063468498054224E-2</v>
      </c>
      <c r="AC10">
        <v>8.6891386684102567E-2</v>
      </c>
      <c r="AD10">
        <v>6.798168756573908E-2</v>
      </c>
      <c r="AE10">
        <v>0.13569159436115363</v>
      </c>
      <c r="AF10">
        <v>8.2138965306839395E-2</v>
      </c>
      <c r="AG10">
        <v>0.42804687500000327</v>
      </c>
      <c r="AH10">
        <v>1.246946874999999</v>
      </c>
      <c r="AI10">
        <v>0.73053437499998708</v>
      </c>
      <c r="AJ10">
        <v>0.69093125000001976</v>
      </c>
      <c r="AK10">
        <v>0.47749375000000427</v>
      </c>
      <c r="AL10">
        <v>0.41100000000000136</v>
      </c>
      <c r="AM10">
        <v>0.3931093749999981</v>
      </c>
      <c r="AN10">
        <v>0.56324687500000081</v>
      </c>
      <c r="AO10">
        <v>0.33192812499997615</v>
      </c>
      <c r="AP10">
        <v>8.4675000000005163E-2</v>
      </c>
      <c r="AQ10">
        <v>0.34419062500000486</v>
      </c>
      <c r="AR10">
        <v>0.11439991577831377</v>
      </c>
      <c r="AS10">
        <v>0</v>
      </c>
      <c r="AT10">
        <v>0.83713749999999365</v>
      </c>
      <c r="AU10">
        <v>0.34130312499999427</v>
      </c>
      <c r="AV10">
        <v>0.14322812499999671</v>
      </c>
      <c r="AW10">
        <v>0.11411250000000095</v>
      </c>
      <c r="AX10">
        <v>7.3278125000006966E-2</v>
      </c>
      <c r="AY10">
        <v>0.15444999999999709</v>
      </c>
      <c r="AZ10">
        <v>0.22255000000000358</v>
      </c>
      <c r="BA10">
        <v>-0.10374999999999801</v>
      </c>
      <c r="BB10">
        <v>0.32959999999999212</v>
      </c>
      <c r="BC10">
        <v>1.1485000000000056</v>
      </c>
      <c r="BD10">
        <v>0.6320874999999937</v>
      </c>
      <c r="BE10">
        <v>0.59248437500002638</v>
      </c>
      <c r="BF10">
        <v>0.37904687499999312</v>
      </c>
      <c r="BG10">
        <v>0.31255312499999022</v>
      </c>
      <c r="BH10">
        <v>0.29466250000000471</v>
      </c>
      <c r="BI10">
        <v>0.46479999999999855</v>
      </c>
      <c r="BJ10">
        <v>-0.27867500000000378</v>
      </c>
    </row>
    <row r="11" spans="1:62" x14ac:dyDescent="0.35">
      <c r="A11" t="s">
        <v>249</v>
      </c>
      <c r="B11">
        <v>3</v>
      </c>
      <c r="C11" t="s">
        <v>2577</v>
      </c>
      <c r="D11" s="84" t="s">
        <v>231</v>
      </c>
      <c r="E11" t="s">
        <v>48</v>
      </c>
      <c r="F11">
        <v>0.17156562500000305</v>
      </c>
      <c r="G11">
        <v>0.41495312500000381</v>
      </c>
      <c r="H11">
        <v>0.22741250000000157</v>
      </c>
      <c r="I11" s="132">
        <v>0.22369687499999458</v>
      </c>
      <c r="J11">
        <v>0.13765000000000249</v>
      </c>
      <c r="K11">
        <v>0.15915312499999779</v>
      </c>
      <c r="L11">
        <v>0.30974375000000443</v>
      </c>
      <c r="M11">
        <v>0.46257812500000384</v>
      </c>
      <c r="N11">
        <v>-3.9499999999925706E-3</v>
      </c>
      <c r="O11">
        <v>0.28711318969726563</v>
      </c>
      <c r="P11">
        <v>0.30273246765137429</v>
      </c>
      <c r="Q11">
        <v>0.31054496765136719</v>
      </c>
      <c r="R11">
        <v>7.226181030272727E-2</v>
      </c>
      <c r="S11">
        <v>0.46874618530273082</v>
      </c>
      <c r="T11">
        <v>0.18164062500000355</v>
      </c>
      <c r="U11">
        <v>-0.17773628234863281</v>
      </c>
      <c r="V11">
        <v>-0.44530868530273432</v>
      </c>
      <c r="W11">
        <v>0.61914062499999645</v>
      </c>
      <c r="X11">
        <v>0.10509315375473172</v>
      </c>
      <c r="Y11">
        <v>0.23608894692092042</v>
      </c>
      <c r="Z11">
        <v>0.18799239018015612</v>
      </c>
      <c r="AA11">
        <v>0.2390887311276213</v>
      </c>
      <c r="AB11">
        <v>8.5474502302207434E-2</v>
      </c>
      <c r="AC11">
        <v>6.7963164237423435E-2</v>
      </c>
      <c r="AD11">
        <v>5.4359601014475345E-2</v>
      </c>
      <c r="AE11">
        <v>0.1142276574667811</v>
      </c>
      <c r="AF11">
        <v>9.8413078037591362E-2</v>
      </c>
      <c r="AG11">
        <v>0.28335937500001407</v>
      </c>
      <c r="AH11">
        <v>0.98102499999999537</v>
      </c>
      <c r="AI11">
        <v>0.6701749999999862</v>
      </c>
      <c r="AJ11">
        <v>0.51775625000001213</v>
      </c>
      <c r="AK11">
        <v>0.49852500000000077</v>
      </c>
      <c r="AL11">
        <v>0.28395312499998937</v>
      </c>
      <c r="AM11">
        <v>0.35290937499999453</v>
      </c>
      <c r="AN11">
        <v>0.6534062499999993</v>
      </c>
      <c r="AO11">
        <v>0.39737499999999315</v>
      </c>
      <c r="AP11">
        <v>0.15062187499999879</v>
      </c>
      <c r="AQ11">
        <v>0.23159062499999994</v>
      </c>
      <c r="AR11">
        <v>0.15062187499999879</v>
      </c>
      <c r="AS11">
        <v>0</v>
      </c>
      <c r="AT11">
        <v>0.24338750000000076</v>
      </c>
      <c r="AU11">
        <v>5.5846874999998519E-2</v>
      </c>
      <c r="AV11">
        <v>5.2131249999991525E-2</v>
      </c>
      <c r="AW11">
        <v>-3.391562500000056E-2</v>
      </c>
      <c r="AX11">
        <v>-1.2412500000005267E-2</v>
      </c>
      <c r="AY11">
        <v>0.13817812500000137</v>
      </c>
      <c r="AZ11">
        <v>0.29101250000000078</v>
      </c>
      <c r="BA11">
        <v>-0.17551562499999562</v>
      </c>
      <c r="BB11">
        <v>-0.2408562500000011</v>
      </c>
      <c r="BC11">
        <v>0.80945937499999232</v>
      </c>
      <c r="BD11">
        <v>0.49860937499998315</v>
      </c>
      <c r="BE11">
        <v>0.34619062500000908</v>
      </c>
      <c r="BF11">
        <v>0.32695937499999772</v>
      </c>
      <c r="BG11">
        <v>-0.12809687500000333</v>
      </c>
      <c r="BH11">
        <v>0.18134374999999148</v>
      </c>
      <c r="BI11">
        <v>0.48184062499999625</v>
      </c>
      <c r="BJ11">
        <v>-0.40326250000000563</v>
      </c>
    </row>
    <row r="12" spans="1:62" x14ac:dyDescent="0.35">
      <c r="A12" t="s">
        <v>251</v>
      </c>
      <c r="B12">
        <v>3</v>
      </c>
      <c r="C12" t="s">
        <v>2577</v>
      </c>
      <c r="D12" s="84" t="s">
        <v>231</v>
      </c>
      <c r="E12" t="s">
        <v>48</v>
      </c>
      <c r="F12">
        <v>9.8909374999998079E-2</v>
      </c>
      <c r="G12">
        <v>0.23412187499999959</v>
      </c>
      <c r="H12">
        <v>0.18458437500000535</v>
      </c>
      <c r="I12" s="132">
        <v>0.25514687499999411</v>
      </c>
      <c r="J12">
        <v>0.22209999999999397</v>
      </c>
      <c r="K12">
        <v>7.1965624999998923E-2</v>
      </c>
      <c r="L12">
        <v>-1.1915624999998542E-2</v>
      </c>
      <c r="M12">
        <v>-4.3325000000002944E-2</v>
      </c>
      <c r="N12">
        <v>-2.3537500000001543E-2</v>
      </c>
      <c r="O12">
        <v>0.15820503234863281</v>
      </c>
      <c r="P12">
        <v>0.58593368530273082</v>
      </c>
      <c r="Q12">
        <v>0.25195693969726207</v>
      </c>
      <c r="R12">
        <v>0.19336128234863637</v>
      </c>
      <c r="S12">
        <v>0.22461128234862573</v>
      </c>
      <c r="T12">
        <v>0.23632621765136363</v>
      </c>
      <c r="U12">
        <v>0.27734756469726563</v>
      </c>
      <c r="V12">
        <v>0.30859184265136008</v>
      </c>
      <c r="W12">
        <v>0.35546874999999645</v>
      </c>
      <c r="X12">
        <v>7.0721638272246423E-2</v>
      </c>
      <c r="Y12">
        <v>0.23716150886409437</v>
      </c>
      <c r="Z12">
        <v>0.16671103508663521</v>
      </c>
      <c r="AA12">
        <v>6.4465460953204712E-2</v>
      </c>
      <c r="AB12">
        <v>4.2397246516752141E-2</v>
      </c>
      <c r="AC12">
        <v>8.315298214478517E-2</v>
      </c>
      <c r="AD12">
        <v>0.13224118738823343</v>
      </c>
      <c r="AE12">
        <v>0.13232098867068887</v>
      </c>
      <c r="AF12">
        <v>8.4947593469175686E-2</v>
      </c>
      <c r="AG12">
        <v>0.21242499999999609</v>
      </c>
      <c r="AH12">
        <v>0.53445312500000952</v>
      </c>
      <c r="AI12">
        <v>0.45269999999998589</v>
      </c>
      <c r="AJ12">
        <v>0.3738406249999926</v>
      </c>
      <c r="AK12">
        <v>0.36988125000000593</v>
      </c>
      <c r="AL12">
        <v>0.29708125000000862</v>
      </c>
      <c r="AM12">
        <v>0.31075937499998929</v>
      </c>
      <c r="AN12">
        <v>0.29826562499998488</v>
      </c>
      <c r="AO12">
        <v>0.23326562499999426</v>
      </c>
      <c r="AP12">
        <v>8.2687499999993808E-2</v>
      </c>
      <c r="AQ12">
        <v>0.24563749999999551</v>
      </c>
      <c r="AR12">
        <v>8.2687499999993808E-2</v>
      </c>
      <c r="AS12">
        <v>0</v>
      </c>
      <c r="AT12">
        <v>0.13521250000000151</v>
      </c>
      <c r="AU12">
        <v>8.5675000000007273E-2</v>
      </c>
      <c r="AV12">
        <v>0.15623749999999603</v>
      </c>
      <c r="AW12">
        <v>0.12319062499999589</v>
      </c>
      <c r="AX12">
        <v>-2.6943749999999156E-2</v>
      </c>
      <c r="AY12">
        <v>-0.11082499999999662</v>
      </c>
      <c r="AZ12">
        <v>-0.14223437500000102</v>
      </c>
      <c r="BA12">
        <v>-0.12244687499999962</v>
      </c>
      <c r="BB12">
        <v>-0.11934062499999509</v>
      </c>
      <c r="BC12">
        <v>-0.449171874999994</v>
      </c>
      <c r="BD12">
        <v>0.35379062499998781</v>
      </c>
      <c r="BE12">
        <v>0.27493124999999452</v>
      </c>
      <c r="BF12">
        <v>0.27097187500000786</v>
      </c>
      <c r="BG12">
        <v>0.19817187500001054</v>
      </c>
      <c r="BH12">
        <v>-0.24080000000000101</v>
      </c>
      <c r="BI12">
        <v>-0.27044687499999664</v>
      </c>
      <c r="BJ12">
        <v>-0.20181875000000016</v>
      </c>
    </row>
    <row r="13" spans="1:62" x14ac:dyDescent="0.35">
      <c r="A13" t="s">
        <v>252</v>
      </c>
      <c r="B13">
        <v>3</v>
      </c>
      <c r="C13" t="s">
        <v>124</v>
      </c>
      <c r="D13" s="84" t="s">
        <v>231</v>
      </c>
      <c r="E13" t="s">
        <v>48</v>
      </c>
      <c r="F13">
        <v>-64.003250000000008</v>
      </c>
      <c r="G13">
        <v>64.031596874999991</v>
      </c>
      <c r="H13">
        <v>64.012546874999998</v>
      </c>
      <c r="I13" s="132">
        <v>64.004096874999988</v>
      </c>
      <c r="J13">
        <v>-64.001949999999994</v>
      </c>
      <c r="K13">
        <v>-64.000750000000011</v>
      </c>
      <c r="L13">
        <v>-64.004350000000002</v>
      </c>
      <c r="M13">
        <v>-63.999400000000001</v>
      </c>
      <c r="N13">
        <v>64.004146874999989</v>
      </c>
      <c r="O13">
        <v>-82.212890148162842</v>
      </c>
      <c r="P13">
        <v>-99.999996185302734</v>
      </c>
      <c r="Q13">
        <v>-99.999996185302734</v>
      </c>
      <c r="R13">
        <v>-99.999996185302734</v>
      </c>
      <c r="S13">
        <v>-100.00000005960463</v>
      </c>
      <c r="T13">
        <v>-100.00000005960463</v>
      </c>
      <c r="U13">
        <v>-100.00000005960463</v>
      </c>
      <c r="V13">
        <v>-100.00000005960463</v>
      </c>
      <c r="W13">
        <v>-99.999996185302734</v>
      </c>
      <c r="X13">
        <v>7.1156326759914155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-96.189340624999986</v>
      </c>
      <c r="AH13">
        <v>114.01839687500001</v>
      </c>
      <c r="AI13">
        <v>114.007446875</v>
      </c>
      <c r="AJ13">
        <v>113.98714687500001</v>
      </c>
      <c r="AK13">
        <v>-114.00250000000001</v>
      </c>
      <c r="AL13">
        <v>-114.00409999999999</v>
      </c>
      <c r="AM13">
        <v>-113.97940000000001</v>
      </c>
      <c r="AN13">
        <v>-113.99445</v>
      </c>
      <c r="AO13">
        <v>114.03144687499999</v>
      </c>
      <c r="AP13">
        <v>9.5499999999955065E-3</v>
      </c>
      <c r="AQ13">
        <v>128.02904687499998</v>
      </c>
      <c r="AR13">
        <v>7.1156326759914155</v>
      </c>
      <c r="AS13">
        <v>0</v>
      </c>
      <c r="AT13">
        <v>128.034846875</v>
      </c>
      <c r="AU13">
        <v>128.01579687500001</v>
      </c>
      <c r="AV13">
        <v>128.007346875</v>
      </c>
      <c r="AW13">
        <v>1.3000000000040757E-3</v>
      </c>
      <c r="AX13">
        <v>2.4999999999941735E-3</v>
      </c>
      <c r="AY13">
        <v>-1.0999999999938836E-3</v>
      </c>
      <c r="AZ13">
        <v>3.8500000000052381E-3</v>
      </c>
      <c r="BA13">
        <v>128.00739687499998</v>
      </c>
      <c r="BB13">
        <v>50.006249999999994</v>
      </c>
      <c r="BC13">
        <v>178.02164687499999</v>
      </c>
      <c r="BD13">
        <v>178.01069687500001</v>
      </c>
      <c r="BE13">
        <v>177.99039687499999</v>
      </c>
      <c r="BF13">
        <v>50.005649999999996</v>
      </c>
      <c r="BG13">
        <v>50.010199999999998</v>
      </c>
      <c r="BH13">
        <v>50.016700000000007</v>
      </c>
      <c r="BI13">
        <v>50.005649999999996</v>
      </c>
      <c r="BJ13">
        <v>178.03469687499998</v>
      </c>
    </row>
    <row r="14" spans="1:62" x14ac:dyDescent="0.35">
      <c r="A14" t="s">
        <v>254</v>
      </c>
      <c r="B14">
        <v>3</v>
      </c>
      <c r="C14" t="s">
        <v>2577</v>
      </c>
      <c r="D14" s="84" t="s">
        <v>231</v>
      </c>
      <c r="E14" t="s">
        <v>48</v>
      </c>
      <c r="F14">
        <v>0.33489374999999377</v>
      </c>
      <c r="G14">
        <v>-0.27764062499999298</v>
      </c>
      <c r="H14">
        <v>0.26294062499999882</v>
      </c>
      <c r="I14" s="132">
        <v>0.42121875000000308</v>
      </c>
      <c r="J14">
        <v>0.45297500000000213</v>
      </c>
      <c r="K14">
        <v>0.322265625</v>
      </c>
      <c r="L14">
        <v>0.19873437499999369</v>
      </c>
      <c r="M14">
        <v>0.18374687500000597</v>
      </c>
      <c r="N14">
        <v>0.32805937500000937</v>
      </c>
      <c r="O14">
        <v>-0.13281059265136008</v>
      </c>
      <c r="P14">
        <v>0.302734375</v>
      </c>
      <c r="Q14">
        <v>-0.13085556030272727</v>
      </c>
      <c r="R14">
        <v>-0.33984756469726207</v>
      </c>
      <c r="S14">
        <v>-0.21093559265136008</v>
      </c>
      <c r="T14">
        <v>0.24414253234862571</v>
      </c>
      <c r="U14">
        <v>0.41406440734863992</v>
      </c>
      <c r="V14">
        <v>0.62694931030273793</v>
      </c>
      <c r="W14">
        <v>3.3203124999996447E-2</v>
      </c>
      <c r="X14">
        <v>0.15751694280167428</v>
      </c>
      <c r="Y14">
        <v>0.226332961075002</v>
      </c>
      <c r="Z14">
        <v>0.19754454271684097</v>
      </c>
      <c r="AA14">
        <v>0.13473018348980847</v>
      </c>
      <c r="AB14">
        <v>0.1486455346280624</v>
      </c>
      <c r="AC14">
        <v>5.9168357940446732E-2</v>
      </c>
      <c r="AD14">
        <v>0.11377451617052615</v>
      </c>
      <c r="AE14">
        <v>0.10114403171214814</v>
      </c>
      <c r="AF14">
        <v>0.10140663303559894</v>
      </c>
      <c r="AG14">
        <v>0.58778437499999781</v>
      </c>
      <c r="AH14">
        <v>-0.37744374999999941</v>
      </c>
      <c r="AI14">
        <v>0.64942812500000224</v>
      </c>
      <c r="AJ14">
        <v>0.77320625000000032</v>
      </c>
      <c r="AK14">
        <v>0.81094374999999486</v>
      </c>
      <c r="AL14">
        <v>0.52279687500000449</v>
      </c>
      <c r="AM14">
        <v>0.52791562500001277</v>
      </c>
      <c r="AN14">
        <v>0.54286874999998957</v>
      </c>
      <c r="AO14">
        <v>0.51687187500000231</v>
      </c>
      <c r="AP14">
        <v>2.563750000001086E-2</v>
      </c>
      <c r="AQ14">
        <v>0.39182499999999665</v>
      </c>
      <c r="AR14">
        <v>0.15751694280167428</v>
      </c>
      <c r="AS14">
        <v>0</v>
      </c>
      <c r="AT14">
        <v>-0.61253437499998675</v>
      </c>
      <c r="AU14">
        <v>-7.1953124999994955E-2</v>
      </c>
      <c r="AV14">
        <v>8.6325000000009311E-2</v>
      </c>
      <c r="AW14">
        <v>0.11808125000000835</v>
      </c>
      <c r="AX14">
        <v>-1.2628124999993773E-2</v>
      </c>
      <c r="AY14">
        <v>-0.13615937500000008</v>
      </c>
      <c r="AZ14">
        <v>-0.1511468749999878</v>
      </c>
      <c r="BA14">
        <v>-6.834374999984405E-3</v>
      </c>
      <c r="BB14">
        <v>0.25289062500000403</v>
      </c>
      <c r="BC14">
        <v>-0.71233749999999318</v>
      </c>
      <c r="BD14">
        <v>0.31453437500000847</v>
      </c>
      <c r="BE14">
        <v>0.43831250000000654</v>
      </c>
      <c r="BF14">
        <v>0.47605000000000119</v>
      </c>
      <c r="BG14">
        <v>0.1879031250000196</v>
      </c>
      <c r="BH14">
        <v>-0.32273749999999435</v>
      </c>
      <c r="BI14">
        <v>-0.50242499999999302</v>
      </c>
      <c r="BJ14">
        <v>0.18197812500000854</v>
      </c>
    </row>
    <row r="15" spans="1:62" x14ac:dyDescent="0.35">
      <c r="A15" t="s">
        <v>256</v>
      </c>
      <c r="B15">
        <v>3</v>
      </c>
      <c r="C15" t="s">
        <v>2578</v>
      </c>
      <c r="D15" s="84" t="s">
        <v>231</v>
      </c>
      <c r="E15" t="s">
        <v>48</v>
      </c>
      <c r="F15">
        <v>0.14935000000000365</v>
      </c>
      <c r="G15">
        <v>0.55013750000000528</v>
      </c>
      <c r="H15">
        <v>0.46506250000000193</v>
      </c>
      <c r="I15" s="132">
        <v>0.2716781250000011</v>
      </c>
      <c r="J15">
        <v>0.26156249999999659</v>
      </c>
      <c r="K15">
        <v>0.26487812499999208</v>
      </c>
      <c r="L15">
        <v>0.25983749999999972</v>
      </c>
      <c r="M15">
        <v>0.27734687500000632</v>
      </c>
      <c r="N15">
        <v>8.6475000000003632E-2</v>
      </c>
      <c r="O15">
        <v>0.26562881469725852</v>
      </c>
      <c r="P15">
        <v>2.5388717651360082E-2</v>
      </c>
      <c r="Q15">
        <v>0.10742568969726919</v>
      </c>
      <c r="R15">
        <v>0.20703315734863281</v>
      </c>
      <c r="S15">
        <v>0.15039443969726563</v>
      </c>
      <c r="T15">
        <v>0.27539062500000711</v>
      </c>
      <c r="U15">
        <v>0.31054496765136719</v>
      </c>
      <c r="V15">
        <v>0.26367568969726918</v>
      </c>
      <c r="W15">
        <v>0.29101181030274148</v>
      </c>
      <c r="X15">
        <v>9.6303255975360713E-2</v>
      </c>
      <c r="Y15">
        <v>0.13352967811510297</v>
      </c>
      <c r="Z15">
        <v>7.2490335418073926E-2</v>
      </c>
      <c r="AA15">
        <v>7.5500506289269964E-2</v>
      </c>
      <c r="AB15">
        <v>7.4461620795123196E-2</v>
      </c>
      <c r="AC15">
        <v>7.0041233510775847E-2</v>
      </c>
      <c r="AD15">
        <v>0.13518738086010451</v>
      </c>
      <c r="AE15">
        <v>0.15083549479356861</v>
      </c>
      <c r="AF15">
        <v>8.4222746443713969E-2</v>
      </c>
      <c r="AG15">
        <v>0.43420937500000534</v>
      </c>
      <c r="AH15">
        <v>0.68029062499999071</v>
      </c>
      <c r="AI15">
        <v>0.54840000000000444</v>
      </c>
      <c r="AJ15">
        <v>0.49471875000000054</v>
      </c>
      <c r="AK15">
        <v>0.44064999999999799</v>
      </c>
      <c r="AL15">
        <v>0.45889999999999986</v>
      </c>
      <c r="AM15">
        <v>0.63639687500000264</v>
      </c>
      <c r="AN15">
        <v>0.64993125000000873</v>
      </c>
      <c r="AO15">
        <v>0.35527187500001389</v>
      </c>
      <c r="AP15">
        <v>1.2959374999994555E-2</v>
      </c>
      <c r="AQ15">
        <v>0.22435624999999959</v>
      </c>
      <c r="AR15">
        <v>9.6303255975360713E-2</v>
      </c>
      <c r="AS15">
        <v>0</v>
      </c>
      <c r="AT15">
        <v>0.40078750000000163</v>
      </c>
      <c r="AU15">
        <v>0.31571249999999829</v>
      </c>
      <c r="AV15">
        <v>0.12232812499999746</v>
      </c>
      <c r="AW15">
        <v>0.11221249999999294</v>
      </c>
      <c r="AX15">
        <v>0.11552812499998844</v>
      </c>
      <c r="AY15">
        <v>0.11048749999999607</v>
      </c>
      <c r="AZ15">
        <v>0.12799687500000267</v>
      </c>
      <c r="BA15">
        <v>-6.2875000000000014E-2</v>
      </c>
      <c r="BB15">
        <v>0.28485937499999281</v>
      </c>
      <c r="BC15">
        <v>0.53094062499997818</v>
      </c>
      <c r="BD15">
        <v>0.39905000000000967</v>
      </c>
      <c r="BE15">
        <v>0.34536874999998801</v>
      </c>
      <c r="BF15">
        <v>0.29129999999998546</v>
      </c>
      <c r="BG15">
        <v>0.30954999999998734</v>
      </c>
      <c r="BH15">
        <v>0.48704687499999011</v>
      </c>
      <c r="BI15">
        <v>0.5005812499999962</v>
      </c>
      <c r="BJ15">
        <v>0.20592187500001913</v>
      </c>
    </row>
    <row r="16" spans="1:62" x14ac:dyDescent="0.35">
      <c r="A16" t="s">
        <v>258</v>
      </c>
      <c r="B16">
        <v>3</v>
      </c>
      <c r="C16" t="s">
        <v>2578</v>
      </c>
      <c r="D16" s="84" t="s">
        <v>231</v>
      </c>
      <c r="E16" t="s">
        <v>48</v>
      </c>
      <c r="F16">
        <v>0.11995624999999954</v>
      </c>
      <c r="G16">
        <v>0.46545312500000158</v>
      </c>
      <c r="H16">
        <v>0.44143749999999926</v>
      </c>
      <c r="I16" s="132">
        <v>0.41400312500000425</v>
      </c>
      <c r="J16">
        <v>0.33322500000000588</v>
      </c>
      <c r="K16">
        <v>0.34005625000000705</v>
      </c>
      <c r="L16">
        <v>0.37927812499999547</v>
      </c>
      <c r="M16">
        <v>0.53901562499999223</v>
      </c>
      <c r="N16">
        <v>0.10931249999999615</v>
      </c>
      <c r="O16">
        <v>0.17773628234863281</v>
      </c>
      <c r="P16">
        <v>0.10351562500000357</v>
      </c>
      <c r="Q16">
        <v>8.3982467651360082E-2</v>
      </c>
      <c r="R16">
        <v>0.23047256469727273</v>
      </c>
      <c r="S16">
        <v>0.19922065734863992</v>
      </c>
      <c r="T16">
        <v>0.13867568969725852</v>
      </c>
      <c r="U16">
        <v>7.031631469725852E-2</v>
      </c>
      <c r="V16">
        <v>4.687118530274148E-2</v>
      </c>
      <c r="W16">
        <v>0.29687499999999645</v>
      </c>
      <c r="X16">
        <v>0.17654268764817793</v>
      </c>
      <c r="Y16">
        <v>0.19563174807245787</v>
      </c>
      <c r="Z16">
        <v>9.1222199480809341E-2</v>
      </c>
      <c r="AA16">
        <v>0.10281258587856001</v>
      </c>
      <c r="AB16">
        <v>9.2090963437723161E-2</v>
      </c>
      <c r="AC16">
        <v>8.4638096830005338E-2</v>
      </c>
      <c r="AD16">
        <v>8.3307857317003187E-2</v>
      </c>
      <c r="AE16">
        <v>2.6150049920996565E-2</v>
      </c>
      <c r="AF16">
        <v>0.1054215166035366</v>
      </c>
      <c r="AG16">
        <v>0.48153750000000883</v>
      </c>
      <c r="AH16">
        <v>0.84792812499999926</v>
      </c>
      <c r="AI16">
        <v>0.6614812499999978</v>
      </c>
      <c r="AJ16">
        <v>0.65267187499999935</v>
      </c>
      <c r="AK16">
        <v>0.51066562500000856</v>
      </c>
      <c r="AL16">
        <v>0.47556249999999523</v>
      </c>
      <c r="AM16">
        <v>0.55052500000000393</v>
      </c>
      <c r="AN16">
        <v>0.58268124999999671</v>
      </c>
      <c r="AO16">
        <v>0.42943750000000946</v>
      </c>
      <c r="AP16">
        <v>0.14872812500000165</v>
      </c>
      <c r="AQ16">
        <v>0.23693125000001203</v>
      </c>
      <c r="AR16">
        <v>0.17654268764817793</v>
      </c>
      <c r="AS16">
        <v>0</v>
      </c>
      <c r="AT16">
        <v>0.34549687500000203</v>
      </c>
      <c r="AU16">
        <v>0.32148124999999972</v>
      </c>
      <c r="AV16">
        <v>0.2940468750000047</v>
      </c>
      <c r="AW16">
        <v>0.21326875000000634</v>
      </c>
      <c r="AX16">
        <v>0.22010000000000751</v>
      </c>
      <c r="AY16">
        <v>0.25932187499999593</v>
      </c>
      <c r="AZ16">
        <v>0.41905937499999268</v>
      </c>
      <c r="BA16">
        <v>-1.0643750000003394E-2</v>
      </c>
      <c r="BB16">
        <v>0.36158125000000041</v>
      </c>
      <c r="BC16">
        <v>0.72797187499999083</v>
      </c>
      <c r="BD16">
        <v>0.54152499999998938</v>
      </c>
      <c r="BE16">
        <v>0.53271562500000869</v>
      </c>
      <c r="BF16">
        <v>0.39070937500000014</v>
      </c>
      <c r="BG16">
        <v>0.3556062499999868</v>
      </c>
      <c r="BH16">
        <v>0.4305687499999955</v>
      </c>
      <c r="BI16">
        <v>0.46272500000000605</v>
      </c>
      <c r="BJ16">
        <v>0.30948125000000104</v>
      </c>
    </row>
    <row r="17" spans="1:62" x14ac:dyDescent="0.35">
      <c r="A17" t="s">
        <v>260</v>
      </c>
      <c r="B17">
        <v>3</v>
      </c>
      <c r="C17" t="s">
        <v>2578</v>
      </c>
      <c r="D17" s="84" t="s">
        <v>231</v>
      </c>
      <c r="E17" t="s">
        <v>48</v>
      </c>
      <c r="F17">
        <v>0.22992499999999971</v>
      </c>
      <c r="G17">
        <v>-0.17581562499999315</v>
      </c>
      <c r="H17">
        <v>0.31639687500000235</v>
      </c>
      <c r="I17" s="132">
        <v>0.33538124999999752</v>
      </c>
      <c r="J17">
        <v>0.31965624999999775</v>
      </c>
      <c r="K17">
        <v>0.18080312499999529</v>
      </c>
      <c r="L17">
        <v>0.16106875000000187</v>
      </c>
      <c r="M17">
        <v>0.19516562499998891</v>
      </c>
      <c r="N17">
        <v>0.21503124999999734</v>
      </c>
      <c r="O17">
        <v>0.34374809265136363</v>
      </c>
      <c r="P17">
        <v>0.79687881469727262</v>
      </c>
      <c r="Q17">
        <v>9.1798782348639918E-2</v>
      </c>
      <c r="R17">
        <v>1.9550323486328125E-3</v>
      </c>
      <c r="S17">
        <v>1.9493103027379275E-3</v>
      </c>
      <c r="T17">
        <v>0.20898437499999645</v>
      </c>
      <c r="U17">
        <v>0.34960937499999289</v>
      </c>
      <c r="V17">
        <v>0.40234184265136358</v>
      </c>
      <c r="W17">
        <v>0.24414443969726918</v>
      </c>
      <c r="X17">
        <v>5.4735685725191274E-2</v>
      </c>
      <c r="Y17">
        <v>8.8733056780609942E-2</v>
      </c>
      <c r="Z17">
        <v>9.263591649483871E-2</v>
      </c>
      <c r="AA17">
        <v>8.9372317220579589E-2</v>
      </c>
      <c r="AB17">
        <v>0.12266621506169528</v>
      </c>
      <c r="AC17">
        <v>8.5309223059994999E-2</v>
      </c>
      <c r="AD17">
        <v>0.11102977971714444</v>
      </c>
      <c r="AE17">
        <v>0.13425873278413825</v>
      </c>
      <c r="AF17">
        <v>0.12352991578028494</v>
      </c>
      <c r="AG17">
        <v>0.45726562499998735</v>
      </c>
      <c r="AH17">
        <v>-0.66583124999999743</v>
      </c>
      <c r="AI17">
        <v>0.50093125000000072</v>
      </c>
      <c r="AJ17">
        <v>0.50500624999999744</v>
      </c>
      <c r="AK17">
        <v>0.47501249999999828</v>
      </c>
      <c r="AL17">
        <v>0.39494062499999316</v>
      </c>
      <c r="AM17">
        <v>0.53545937499999141</v>
      </c>
      <c r="AN17">
        <v>0.63687812499999552</v>
      </c>
      <c r="AO17">
        <v>0.30824062500000693</v>
      </c>
      <c r="AP17">
        <v>8.5434375000010832E-2</v>
      </c>
      <c r="AQ17">
        <v>0.29348437499999935</v>
      </c>
      <c r="AR17">
        <v>8.5434375000010832E-2</v>
      </c>
      <c r="AS17">
        <v>0</v>
      </c>
      <c r="AT17">
        <v>-0.40574062499999286</v>
      </c>
      <c r="AU17">
        <v>8.647187500000264E-2</v>
      </c>
      <c r="AV17">
        <v>0.10545624999999781</v>
      </c>
      <c r="AW17">
        <v>8.9731249999998042E-2</v>
      </c>
      <c r="AX17">
        <v>-4.9121875000004422E-2</v>
      </c>
      <c r="AY17">
        <v>-6.8856249999997843E-2</v>
      </c>
      <c r="AZ17">
        <v>-3.4759375000010806E-2</v>
      </c>
      <c r="BA17">
        <v>-1.489375000000237E-2</v>
      </c>
      <c r="BB17">
        <v>0.22734062499997876</v>
      </c>
      <c r="BC17">
        <v>-0.89575624999999715</v>
      </c>
      <c r="BD17">
        <v>0.27100624999999212</v>
      </c>
      <c r="BE17">
        <v>0.27508125000000661</v>
      </c>
      <c r="BF17">
        <v>0.24508749999998969</v>
      </c>
      <c r="BG17">
        <v>0.16501562499998457</v>
      </c>
      <c r="BH17">
        <v>0.30553437499998282</v>
      </c>
      <c r="BI17">
        <v>0.40695312499998693</v>
      </c>
      <c r="BJ17">
        <v>-0.25262812499999843</v>
      </c>
    </row>
    <row r="18" spans="1:62" x14ac:dyDescent="0.35">
      <c r="A18" t="s">
        <v>262</v>
      </c>
      <c r="B18">
        <v>3</v>
      </c>
      <c r="C18" t="s">
        <v>124</v>
      </c>
      <c r="D18" s="84" t="s">
        <v>231</v>
      </c>
      <c r="E18" t="s">
        <v>48</v>
      </c>
      <c r="F18">
        <v>0.14163437499999709</v>
      </c>
      <c r="G18">
        <v>0.27435937499999952</v>
      </c>
      <c r="H18">
        <v>0.35790625000000631</v>
      </c>
      <c r="I18" s="132">
        <v>0.28555625000000084</v>
      </c>
      <c r="J18">
        <v>0.15534687500000643</v>
      </c>
      <c r="K18">
        <v>0.19516874999999878</v>
      </c>
      <c r="L18">
        <v>0.26187499999999808</v>
      </c>
      <c r="M18">
        <v>0.33633437499999808</v>
      </c>
      <c r="N18">
        <v>-2.3646875000000733E-2</v>
      </c>
      <c r="O18">
        <v>0.3125</v>
      </c>
      <c r="P18">
        <v>0.30468559265136363</v>
      </c>
      <c r="Q18">
        <v>2.9300689697269178E-2</v>
      </c>
      <c r="R18">
        <v>0.12499999999999289</v>
      </c>
      <c r="S18">
        <v>8.9845657348632813E-2</v>
      </c>
      <c r="T18">
        <v>0.27343559265137429</v>
      </c>
      <c r="U18">
        <v>0.33984184265136719</v>
      </c>
      <c r="V18">
        <v>0.35937690734863637</v>
      </c>
      <c r="W18">
        <v>0.30468940734863281</v>
      </c>
      <c r="X18">
        <v>8.493333106973644E-2</v>
      </c>
      <c r="Y18">
        <v>0.16493230918715351</v>
      </c>
      <c r="Z18">
        <v>0.10014351547770416</v>
      </c>
      <c r="AA18">
        <v>0.16713750451240905</v>
      </c>
      <c r="AB18">
        <v>9.5957997801288109E-2</v>
      </c>
      <c r="AC18">
        <v>0.12035163800863113</v>
      </c>
      <c r="AD18">
        <v>0.10878433365266282</v>
      </c>
      <c r="AE18">
        <v>0.14901645387117579</v>
      </c>
      <c r="AF18">
        <v>0.19822878663323884</v>
      </c>
      <c r="AG18">
        <v>0.4201718750000083</v>
      </c>
      <c r="AH18">
        <v>0.66832499999998518</v>
      </c>
      <c r="AI18">
        <v>0.50483749999999716</v>
      </c>
      <c r="AJ18">
        <v>0.53179374999999141</v>
      </c>
      <c r="AK18">
        <v>-49.012250000000002</v>
      </c>
      <c r="AL18">
        <v>0.45528124999998809</v>
      </c>
      <c r="AM18">
        <v>0.60518124999999756</v>
      </c>
      <c r="AN18">
        <v>0.74710625000001585</v>
      </c>
      <c r="AO18">
        <v>0.46028750000001395</v>
      </c>
      <c r="AP18">
        <v>0.12401249999999475</v>
      </c>
      <c r="AQ18">
        <v>49.136109374999997</v>
      </c>
      <c r="AR18">
        <v>0.12401249999999475</v>
      </c>
      <c r="AS18">
        <v>0</v>
      </c>
      <c r="AT18">
        <v>0.13272500000000242</v>
      </c>
      <c r="AU18">
        <v>0.21627187500000922</v>
      </c>
      <c r="AV18">
        <v>0.14392187500000375</v>
      </c>
      <c r="AW18">
        <v>1.3712500000009342E-2</v>
      </c>
      <c r="AX18">
        <v>5.3534375000001688E-2</v>
      </c>
      <c r="AY18">
        <v>0.12024062500000099</v>
      </c>
      <c r="AZ18">
        <v>0.19470000000000098</v>
      </c>
      <c r="BA18">
        <v>-0.16528124999999783</v>
      </c>
      <c r="BB18">
        <v>0.27853750000002009</v>
      </c>
      <c r="BC18">
        <v>0.52669062499999697</v>
      </c>
      <c r="BD18">
        <v>0.36320312499999119</v>
      </c>
      <c r="BE18">
        <v>0.39015937500000319</v>
      </c>
      <c r="BF18">
        <v>-49.15388437499999</v>
      </c>
      <c r="BG18">
        <v>0.31364687499999988</v>
      </c>
      <c r="BH18">
        <v>0.46354687500000935</v>
      </c>
      <c r="BI18">
        <v>0.60547187500002764</v>
      </c>
      <c r="BJ18">
        <v>0.31865312500002574</v>
      </c>
    </row>
    <row r="19" spans="1:62" x14ac:dyDescent="0.35">
      <c r="A19" t="s">
        <v>264</v>
      </c>
      <c r="B19">
        <v>3</v>
      </c>
      <c r="C19" t="s">
        <v>2578</v>
      </c>
      <c r="D19" s="84" t="s">
        <v>231</v>
      </c>
      <c r="E19" t="s">
        <v>48</v>
      </c>
      <c r="F19">
        <v>-0.13094687500000646</v>
      </c>
      <c r="G19">
        <v>0.29785312499999606</v>
      </c>
      <c r="H19">
        <v>0.10926249999999804</v>
      </c>
      <c r="I19" s="132">
        <v>-4.8881249999999099E-2</v>
      </c>
      <c r="J19">
        <v>-4.4674999999996245E-2</v>
      </c>
      <c r="K19">
        <v>5.6343749999996362E-2</v>
      </c>
      <c r="L19">
        <v>-1.5978125000000176E-2</v>
      </c>
      <c r="M19">
        <v>0.15884999999999927</v>
      </c>
      <c r="N19">
        <v>-0.145293750000004</v>
      </c>
      <c r="O19">
        <v>0.21288681030274145</v>
      </c>
      <c r="P19">
        <v>7.0312500000007105E-2</v>
      </c>
      <c r="Q19">
        <v>2.539253234862926E-2</v>
      </c>
      <c r="R19">
        <v>8.008193969725852E-2</v>
      </c>
      <c r="S19">
        <v>7.8123092651374293E-2</v>
      </c>
      <c r="T19">
        <v>0.20116996765136008</v>
      </c>
      <c r="U19">
        <v>0.26757621765137074</v>
      </c>
      <c r="V19">
        <v>0.20703125000000713</v>
      </c>
      <c r="W19">
        <v>0.13085937499999645</v>
      </c>
      <c r="X19">
        <v>0.15788706026469645</v>
      </c>
      <c r="Y19">
        <v>0.17178289002014679</v>
      </c>
      <c r="Z19">
        <v>0.10265960262441531</v>
      </c>
      <c r="AA19">
        <v>0.16337133862702302</v>
      </c>
      <c r="AB19">
        <v>0.1051814035429266</v>
      </c>
      <c r="AC19">
        <v>0.14771344543969445</v>
      </c>
      <c r="AD19">
        <v>9.4879823452034273E-2</v>
      </c>
      <c r="AE19">
        <v>0.12983377372243865</v>
      </c>
      <c r="AF19">
        <v>8.5308762294284968E-2</v>
      </c>
      <c r="AG19">
        <v>0.22521875000000691</v>
      </c>
      <c r="AH19">
        <v>0.48381562499999697</v>
      </c>
      <c r="AI19">
        <v>0.25784375000000637</v>
      </c>
      <c r="AJ19">
        <v>0.2377281250000074</v>
      </c>
      <c r="AK19">
        <v>0.15756562500000015</v>
      </c>
      <c r="AL19">
        <v>0.23117187499998693</v>
      </c>
      <c r="AM19">
        <v>0.27020000000000266</v>
      </c>
      <c r="AN19">
        <v>0.32931875000000943</v>
      </c>
      <c r="AO19">
        <v>-0.22031875000000145</v>
      </c>
      <c r="AP19">
        <v>5.2387500000001808E-2</v>
      </c>
      <c r="AQ19">
        <v>0.24108125000000369</v>
      </c>
      <c r="AR19">
        <v>0.15788706026469645</v>
      </c>
      <c r="AS19">
        <v>0</v>
      </c>
      <c r="AT19">
        <v>0.42880000000000251</v>
      </c>
      <c r="AU19">
        <v>0.2402093750000045</v>
      </c>
      <c r="AV19">
        <v>8.2065625000007358E-2</v>
      </c>
      <c r="AW19">
        <v>8.6271875000010212E-2</v>
      </c>
      <c r="AX19">
        <v>0.18729062500000282</v>
      </c>
      <c r="AY19">
        <v>0.11496875000000628</v>
      </c>
      <c r="AZ19">
        <v>0.28979687500000573</v>
      </c>
      <c r="BA19">
        <v>-1.4346874999997539E-2</v>
      </c>
      <c r="BB19">
        <v>0.35616562500001336</v>
      </c>
      <c r="BC19">
        <v>0.61476250000000343</v>
      </c>
      <c r="BD19">
        <v>0.38879062500001282</v>
      </c>
      <c r="BE19">
        <v>0.36867500000001385</v>
      </c>
      <c r="BF19">
        <v>0.28851250000000661</v>
      </c>
      <c r="BG19">
        <v>0.36211874999999338</v>
      </c>
      <c r="BH19">
        <v>0.40114687500000912</v>
      </c>
      <c r="BI19">
        <v>0.46026562500001589</v>
      </c>
      <c r="BJ19">
        <v>0.14577812500000675</v>
      </c>
    </row>
    <row r="20" spans="1:62" x14ac:dyDescent="0.35">
      <c r="A20" t="s">
        <v>266</v>
      </c>
      <c r="B20">
        <v>3</v>
      </c>
      <c r="C20" t="s">
        <v>2578</v>
      </c>
      <c r="D20" s="84" t="s">
        <v>231</v>
      </c>
      <c r="E20" t="s">
        <v>48</v>
      </c>
      <c r="F20">
        <v>3.0409374999997851E-2</v>
      </c>
      <c r="G20">
        <v>0.62512812500000514</v>
      </c>
      <c r="H20">
        <v>0.1674124999999993</v>
      </c>
      <c r="I20" s="132">
        <v>8.0221874999999443E-2</v>
      </c>
      <c r="J20">
        <v>3.0234375000004476E-2</v>
      </c>
      <c r="K20">
        <v>0.16587187499999878</v>
      </c>
      <c r="L20">
        <v>0.29962499999999892</v>
      </c>
      <c r="M20">
        <v>0.46949999999999825</v>
      </c>
      <c r="N20">
        <v>-1.8087499999994705E-2</v>
      </c>
      <c r="O20">
        <v>0.17968368530272727</v>
      </c>
      <c r="P20">
        <v>6.2499999999996447E-2</v>
      </c>
      <c r="Q20">
        <v>0.29101753234863637</v>
      </c>
      <c r="R20">
        <v>0.25390625</v>
      </c>
      <c r="S20">
        <v>0.19140815734862926</v>
      </c>
      <c r="T20">
        <v>0.18749618530273793</v>
      </c>
      <c r="U20">
        <v>0.16210556030273438</v>
      </c>
      <c r="V20">
        <v>-6.2499999999996447E-2</v>
      </c>
      <c r="W20">
        <v>0.49219131469726563</v>
      </c>
      <c r="X20">
        <v>6.0455571265034529E-2</v>
      </c>
      <c r="Y20">
        <v>0.18817475310630716</v>
      </c>
      <c r="Z20">
        <v>0.11717564171102701</v>
      </c>
      <c r="AA20">
        <v>6.4081051971576208E-2</v>
      </c>
      <c r="AB20">
        <v>8.5254134622334554E-2</v>
      </c>
      <c r="AC20">
        <v>0.10414679928485437</v>
      </c>
      <c r="AD20">
        <v>8.4220244894819274E-2</v>
      </c>
      <c r="AE20">
        <v>0.11355561557987669</v>
      </c>
      <c r="AF20">
        <v>5.1047683423526287E-2</v>
      </c>
      <c r="AG20">
        <v>0.19672499999998649</v>
      </c>
      <c r="AH20">
        <v>0.71985624999999942</v>
      </c>
      <c r="AI20">
        <v>0.39551250000000593</v>
      </c>
      <c r="AJ20">
        <v>0.28861875000000481</v>
      </c>
      <c r="AK20">
        <v>0.27744375000001043</v>
      </c>
      <c r="AL20">
        <v>0.34480625000000487</v>
      </c>
      <c r="AM20">
        <v>0.42421562500001286</v>
      </c>
      <c r="AN20">
        <v>0.46949999999999825</v>
      </c>
      <c r="AO20">
        <v>0.30720624999998947</v>
      </c>
      <c r="AP20">
        <v>4.9721874999999471E-2</v>
      </c>
      <c r="AQ20">
        <v>0.22461874999999187</v>
      </c>
      <c r="AR20">
        <v>6.0455571265034529E-2</v>
      </c>
      <c r="AS20">
        <v>0</v>
      </c>
      <c r="AT20">
        <v>0.59471875000000729</v>
      </c>
      <c r="AU20">
        <v>0.13700312500000145</v>
      </c>
      <c r="AV20">
        <v>4.9812500000001592E-2</v>
      </c>
      <c r="AW20">
        <v>-1.749999999933749E-4</v>
      </c>
      <c r="AX20">
        <v>0.13546250000000093</v>
      </c>
      <c r="AY20">
        <v>0.26921562500000107</v>
      </c>
      <c r="AZ20">
        <v>0.4390906250000004</v>
      </c>
      <c r="BA20">
        <v>-4.8496874999992556E-2</v>
      </c>
      <c r="BB20">
        <v>0.16631562499998864</v>
      </c>
      <c r="BC20">
        <v>0.68944687500000157</v>
      </c>
      <c r="BD20">
        <v>0.36510312500000808</v>
      </c>
      <c r="BE20">
        <v>0.25820937500000696</v>
      </c>
      <c r="BF20">
        <v>0.24703437500001257</v>
      </c>
      <c r="BG20">
        <v>0.31439687500000701</v>
      </c>
      <c r="BH20">
        <v>0.39380625000001501</v>
      </c>
      <c r="BI20">
        <v>0.4390906250000004</v>
      </c>
      <c r="BJ20">
        <v>0.27679687499999162</v>
      </c>
    </row>
    <row r="21" spans="1:62" x14ac:dyDescent="0.35">
      <c r="A21" t="s">
        <v>268</v>
      </c>
      <c r="B21">
        <v>3</v>
      </c>
      <c r="C21" t="s">
        <v>2578</v>
      </c>
      <c r="D21" s="84" t="s">
        <v>231</v>
      </c>
      <c r="E21" t="s">
        <v>48</v>
      </c>
      <c r="F21">
        <v>0.23689062499999913</v>
      </c>
      <c r="G21">
        <v>0.52391874999999644</v>
      </c>
      <c r="H21">
        <v>0.47110312500000084</v>
      </c>
      <c r="I21" s="132">
        <v>0.2957624999999986</v>
      </c>
      <c r="J21">
        <v>0.31297812500000077</v>
      </c>
      <c r="K21">
        <v>0.38212500000000205</v>
      </c>
      <c r="L21">
        <v>0.47155312500000157</v>
      </c>
      <c r="M21">
        <v>0.67463437499999834</v>
      </c>
      <c r="N21">
        <v>0.15919375000001068</v>
      </c>
      <c r="O21">
        <v>0.20116806030273438</v>
      </c>
      <c r="P21">
        <v>0.17773628234863281</v>
      </c>
      <c r="Q21">
        <v>0.28515815734863281</v>
      </c>
      <c r="R21">
        <v>0.16015624999999645</v>
      </c>
      <c r="S21">
        <v>0.23633003234863281</v>
      </c>
      <c r="T21">
        <v>0.13085937499999645</v>
      </c>
      <c r="U21">
        <v>-1.9550323486328125E-3</v>
      </c>
      <c r="V21">
        <v>-0.17773056030273793</v>
      </c>
      <c r="W21">
        <v>0.34374618530273793</v>
      </c>
      <c r="X21">
        <v>9.5930113840729803E-2</v>
      </c>
      <c r="Y21">
        <v>9.7436216546391563E-2</v>
      </c>
      <c r="Z21">
        <v>0.14759651411843322</v>
      </c>
      <c r="AA21">
        <v>0.11620224243133136</v>
      </c>
      <c r="AB21">
        <v>8.7004819866791649E-2</v>
      </c>
      <c r="AC21">
        <v>7.4924650403453974E-2</v>
      </c>
      <c r="AD21">
        <v>7.9358138990466287E-2</v>
      </c>
      <c r="AE21">
        <v>5.6148305987195897E-2</v>
      </c>
      <c r="AF21">
        <v>7.4204019107391161E-2</v>
      </c>
      <c r="AG21">
        <v>0.47637499999998667</v>
      </c>
      <c r="AH21">
        <v>0.70397812500001322</v>
      </c>
      <c r="AI21">
        <v>0.65793437500001772</v>
      </c>
      <c r="AJ21">
        <v>0.56224999999999525</v>
      </c>
      <c r="AK21">
        <v>0.58287812500001479</v>
      </c>
      <c r="AL21">
        <v>0.52176875000000678</v>
      </c>
      <c r="AM21">
        <v>0.56999687499999396</v>
      </c>
      <c r="AN21">
        <v>0.80574374999999421</v>
      </c>
      <c r="AO21">
        <v>0.41103125000001128</v>
      </c>
      <c r="AP21">
        <v>0.11311875000000304</v>
      </c>
      <c r="AQ21">
        <v>0.26673437499999064</v>
      </c>
      <c r="AR21">
        <v>0.11311875000000304</v>
      </c>
      <c r="AS21">
        <v>0</v>
      </c>
      <c r="AT21">
        <v>0.2870281249999973</v>
      </c>
      <c r="AU21">
        <v>0.23421250000000171</v>
      </c>
      <c r="AV21">
        <v>5.8871874999999463E-2</v>
      </c>
      <c r="AW21">
        <v>7.608750000000164E-2</v>
      </c>
      <c r="AX21">
        <v>0.14523437500000291</v>
      </c>
      <c r="AY21">
        <v>0.23466250000000244</v>
      </c>
      <c r="AZ21">
        <v>0.43774374999999921</v>
      </c>
      <c r="BA21">
        <v>-7.7696874999988452E-2</v>
      </c>
      <c r="BB21">
        <v>0.23948437499999642</v>
      </c>
      <c r="BC21">
        <v>0.46708750000000521</v>
      </c>
      <c r="BD21">
        <v>0.42104375000000971</v>
      </c>
      <c r="BE21">
        <v>0.325359375000005</v>
      </c>
      <c r="BF21">
        <v>0.34598750000000678</v>
      </c>
      <c r="BG21">
        <v>0.28487812500001652</v>
      </c>
      <c r="BH21">
        <v>0.33310625000000371</v>
      </c>
      <c r="BI21">
        <v>0.56885312499999507</v>
      </c>
      <c r="BJ21">
        <v>0.17414062500002103</v>
      </c>
    </row>
    <row r="22" spans="1:62" x14ac:dyDescent="0.35">
      <c r="A22" t="s">
        <v>270</v>
      </c>
      <c r="B22">
        <v>3</v>
      </c>
      <c r="C22" t="s">
        <v>124</v>
      </c>
      <c r="D22" s="84" t="s">
        <v>231</v>
      </c>
      <c r="E22" t="s">
        <v>48</v>
      </c>
      <c r="F22">
        <v>-9.603125000001711E-3</v>
      </c>
      <c r="G22">
        <v>4.6968750000075943E-3</v>
      </c>
      <c r="H22">
        <v>-7.1531250000056446E-3</v>
      </c>
      <c r="I22" s="132">
        <v>9.2968750000022027E-3</v>
      </c>
      <c r="J22">
        <v>1.2796875000002927E-2</v>
      </c>
      <c r="K22">
        <v>-1.4753125000002143E-2</v>
      </c>
      <c r="L22">
        <v>-2.103124999992545E-3</v>
      </c>
      <c r="M22">
        <v>-9.9531249999973426E-3</v>
      </c>
      <c r="N22">
        <v>6.7968750000080291E-3</v>
      </c>
      <c r="O22">
        <v>-100.00000190734863</v>
      </c>
      <c r="P22">
        <v>-100.00000190734863</v>
      </c>
      <c r="Q22">
        <v>-100.00000190734863</v>
      </c>
      <c r="R22">
        <v>-100.00000190734863</v>
      </c>
      <c r="S22">
        <v>-100.00000190734863</v>
      </c>
      <c r="T22">
        <v>-100.00000190734863</v>
      </c>
      <c r="U22">
        <v>-100.00000190734863</v>
      </c>
      <c r="V22">
        <v>-100.00000190734863</v>
      </c>
      <c r="W22">
        <v>-100.00000190734863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-50.007253124999977</v>
      </c>
      <c r="AH22">
        <v>50.004896875</v>
      </c>
      <c r="AI22">
        <v>50.008146875000001</v>
      </c>
      <c r="AJ22">
        <v>50.007196874999998</v>
      </c>
      <c r="AK22">
        <v>50.009196875000001</v>
      </c>
      <c r="AL22">
        <v>50.009046875000003</v>
      </c>
      <c r="AM22">
        <v>-50.005053124999989</v>
      </c>
      <c r="AN22">
        <v>50.023146875000002</v>
      </c>
      <c r="AO22">
        <v>-50.022053125000021</v>
      </c>
      <c r="AP22">
        <v>5.250000000005528E-3</v>
      </c>
      <c r="AQ22">
        <v>4.8850000000015825E-2</v>
      </c>
      <c r="AR22">
        <v>5.250000000005528E-3</v>
      </c>
      <c r="AS22">
        <v>0</v>
      </c>
      <c r="AT22">
        <v>1.4300000000009305E-2</v>
      </c>
      <c r="AU22">
        <v>2.4499999999960664E-3</v>
      </c>
      <c r="AV22">
        <v>1.8900000000003914E-2</v>
      </c>
      <c r="AW22">
        <v>2.2400000000004638E-2</v>
      </c>
      <c r="AX22">
        <v>-5.150000000000432E-3</v>
      </c>
      <c r="AY22">
        <v>7.500000000009166E-3</v>
      </c>
      <c r="AZ22">
        <v>-3.4999999999563158E-4</v>
      </c>
      <c r="BA22">
        <v>1.640000000000974E-2</v>
      </c>
      <c r="BB22">
        <v>50.012350000000005</v>
      </c>
      <c r="BC22">
        <v>50.014500000000005</v>
      </c>
      <c r="BD22">
        <v>50.017749999999999</v>
      </c>
      <c r="BE22">
        <v>50.016800000000003</v>
      </c>
      <c r="BF22">
        <v>50.018800000000013</v>
      </c>
      <c r="BG22">
        <v>50.018650000000001</v>
      </c>
      <c r="BH22">
        <v>50.007950000000001</v>
      </c>
      <c r="BI22">
        <v>50.032750000000007</v>
      </c>
      <c r="BJ22">
        <v>50.028849999999998</v>
      </c>
    </row>
    <row r="23" spans="1:62" x14ac:dyDescent="0.35">
      <c r="A23" t="s">
        <v>272</v>
      </c>
      <c r="B23">
        <v>3</v>
      </c>
      <c r="C23" t="s">
        <v>124</v>
      </c>
      <c r="D23" s="84" t="s">
        <v>231</v>
      </c>
      <c r="E23" t="s">
        <v>48</v>
      </c>
      <c r="F23">
        <v>-1.1003124999993119E-2</v>
      </c>
      <c r="G23">
        <v>2.3468749999988603E-3</v>
      </c>
      <c r="H23">
        <v>-7.8031249999899188E-3</v>
      </c>
      <c r="I23" s="132">
        <v>1.0796874999998707E-2</v>
      </c>
      <c r="J23">
        <v>1.214687500000089E-2</v>
      </c>
      <c r="K23">
        <v>-1.320312499999865E-2</v>
      </c>
      <c r="L23">
        <v>-1.8531250000020094E-3</v>
      </c>
      <c r="M23">
        <v>-1.2553125000005494E-2</v>
      </c>
      <c r="N23">
        <v>5.3468750000007503E-3</v>
      </c>
      <c r="O23">
        <v>-100.00000190734863</v>
      </c>
      <c r="P23">
        <v>-100.00000190734863</v>
      </c>
      <c r="Q23">
        <v>-100.00000190734863</v>
      </c>
      <c r="R23">
        <v>-100.00000190734863</v>
      </c>
      <c r="S23">
        <v>-100.00000190734863</v>
      </c>
      <c r="T23">
        <v>-100.00000190734863</v>
      </c>
      <c r="U23">
        <v>-100.00000190734863</v>
      </c>
      <c r="V23">
        <v>-100.00000190734863</v>
      </c>
      <c r="W23">
        <v>-100.00000190734863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-50.008153124999993</v>
      </c>
      <c r="AH23">
        <v>50.004096875000002</v>
      </c>
      <c r="AI23">
        <v>50.016896875000008</v>
      </c>
      <c r="AJ23">
        <v>50.008096874999993</v>
      </c>
      <c r="AK23">
        <v>50.005546875000007</v>
      </c>
      <c r="AL23">
        <v>50.010496875000001</v>
      </c>
      <c r="AM23">
        <v>-50.001703124999992</v>
      </c>
      <c r="AN23">
        <v>50.017646874999997</v>
      </c>
      <c r="AO23">
        <v>-50.018153124999984</v>
      </c>
      <c r="AP23">
        <v>6.5499999999918401E-3</v>
      </c>
      <c r="AQ23">
        <v>3.83499999999799E-2</v>
      </c>
      <c r="AR23">
        <v>6.5499999999918401E-3</v>
      </c>
      <c r="AS23">
        <v>0</v>
      </c>
      <c r="AT23">
        <v>1.3349999999991979E-2</v>
      </c>
      <c r="AU23">
        <v>3.2000000000032003E-3</v>
      </c>
      <c r="AV23">
        <v>2.1799999999991826E-2</v>
      </c>
      <c r="AW23">
        <v>2.3149999999994009E-2</v>
      </c>
      <c r="AX23">
        <v>-2.2000000000055309E-3</v>
      </c>
      <c r="AY23">
        <v>9.1499999999911097E-3</v>
      </c>
      <c r="AZ23">
        <v>-1.5500000000123748E-3</v>
      </c>
      <c r="BA23">
        <v>1.6349999999993869E-2</v>
      </c>
      <c r="BB23">
        <v>50.015200000000007</v>
      </c>
      <c r="BC23">
        <v>50.015099999999997</v>
      </c>
      <c r="BD23">
        <v>50.027900000000002</v>
      </c>
      <c r="BE23">
        <v>50.019099999999987</v>
      </c>
      <c r="BF23">
        <v>50.016549999999995</v>
      </c>
      <c r="BG23">
        <v>50.021499999999989</v>
      </c>
      <c r="BH23">
        <v>50.011700000000005</v>
      </c>
      <c r="BI23">
        <v>50.028649999999985</v>
      </c>
      <c r="BJ23">
        <v>50.028799999999997</v>
      </c>
    </row>
    <row r="24" spans="1:62" x14ac:dyDescent="0.35">
      <c r="A24" t="s">
        <v>274</v>
      </c>
      <c r="B24">
        <v>3</v>
      </c>
      <c r="C24" t="s">
        <v>2578</v>
      </c>
      <c r="D24" s="84" t="s">
        <v>231</v>
      </c>
      <c r="E24" t="s">
        <v>48</v>
      </c>
      <c r="F24">
        <v>4.9446875000001E-2</v>
      </c>
      <c r="G24">
        <v>0.81012812500000031</v>
      </c>
      <c r="H24">
        <v>0.28961875000000248</v>
      </c>
      <c r="I24" s="132">
        <v>0.21472500000000672</v>
      </c>
      <c r="J24">
        <v>0.18327500000000718</v>
      </c>
      <c r="K24">
        <v>3.9115624999999099E-2</v>
      </c>
      <c r="L24">
        <v>0.2067312500000007</v>
      </c>
      <c r="M24">
        <v>0.24611249999999529</v>
      </c>
      <c r="N24">
        <v>8.6028124999995015E-2</v>
      </c>
      <c r="O24">
        <v>0.21289253234863639</v>
      </c>
      <c r="P24">
        <v>-8.5941314697262072E-2</v>
      </c>
      <c r="Q24">
        <v>9.1800689697265625E-2</v>
      </c>
      <c r="R24">
        <v>0.16992378234863992</v>
      </c>
      <c r="S24">
        <v>0.29101181030274148</v>
      </c>
      <c r="T24">
        <v>0.29101753234863637</v>
      </c>
      <c r="U24">
        <v>0.18164062500000355</v>
      </c>
      <c r="V24">
        <v>0.18163681030273438</v>
      </c>
      <c r="W24">
        <v>0.21484565734862571</v>
      </c>
      <c r="X24">
        <v>0.11746643536830081</v>
      </c>
      <c r="Y24">
        <v>0.17893144382696402</v>
      </c>
      <c r="Z24">
        <v>8.8433508736800448E-2</v>
      </c>
      <c r="AA24">
        <v>4.4492622592056108E-2</v>
      </c>
      <c r="AB24">
        <v>4.8601039089088971E-2</v>
      </c>
      <c r="AC24">
        <v>0.15401057484658587</v>
      </c>
      <c r="AD24">
        <v>5.3967044152507533E-2</v>
      </c>
      <c r="AE24">
        <v>0.11028681148471443</v>
      </c>
      <c r="AF24">
        <v>0.16089591921508273</v>
      </c>
      <c r="AG24">
        <v>0.31956875000002327</v>
      </c>
      <c r="AH24">
        <v>0.84715937500000393</v>
      </c>
      <c r="AI24">
        <v>0.40264062500000364</v>
      </c>
      <c r="AJ24">
        <v>0.33269374999999712</v>
      </c>
      <c r="AK24">
        <v>0.32749374999999858</v>
      </c>
      <c r="AL24">
        <v>0.38336250000000405</v>
      </c>
      <c r="AM24">
        <v>0.39162499999999767</v>
      </c>
      <c r="AN24">
        <v>0.53630000000000067</v>
      </c>
      <c r="AO24">
        <v>0.32292187499999514</v>
      </c>
      <c r="AP24">
        <v>0.13556249999999714</v>
      </c>
      <c r="AQ24">
        <v>0.19010624999998171</v>
      </c>
      <c r="AR24">
        <v>0.13556249999999714</v>
      </c>
      <c r="AS24">
        <v>0</v>
      </c>
      <c r="AT24">
        <v>0.76068124999999931</v>
      </c>
      <c r="AU24">
        <v>0.24017187500000148</v>
      </c>
      <c r="AV24">
        <v>0.16527812500000572</v>
      </c>
      <c r="AW24">
        <v>0.13382812500000618</v>
      </c>
      <c r="AX24">
        <v>-1.0331250000001901E-2</v>
      </c>
      <c r="AY24">
        <v>0.1572843749999997</v>
      </c>
      <c r="AZ24">
        <v>0.19666562499999429</v>
      </c>
      <c r="BA24">
        <v>3.6581249999994014E-2</v>
      </c>
      <c r="BB24">
        <v>0.27012187500002227</v>
      </c>
      <c r="BC24">
        <v>0.79771250000000293</v>
      </c>
      <c r="BD24">
        <v>0.35319375000000264</v>
      </c>
      <c r="BE24">
        <v>0.28324687499999612</v>
      </c>
      <c r="BF24">
        <v>0.27804687499999758</v>
      </c>
      <c r="BG24">
        <v>0.33391562500000305</v>
      </c>
      <c r="BH24">
        <v>0.34217812499999667</v>
      </c>
      <c r="BI24">
        <v>0.48685312499999966</v>
      </c>
      <c r="BJ24">
        <v>0.27347499999999414</v>
      </c>
    </row>
    <row r="25" spans="1:62" x14ac:dyDescent="0.35">
      <c r="A25" t="s">
        <v>275</v>
      </c>
      <c r="B25">
        <v>3</v>
      </c>
      <c r="C25" t="s">
        <v>2579</v>
      </c>
      <c r="D25" s="84" t="s">
        <v>231</v>
      </c>
      <c r="E25" t="s">
        <v>48</v>
      </c>
      <c r="F25">
        <v>0.17450000000000188</v>
      </c>
      <c r="G25">
        <v>0.27446874999999871</v>
      </c>
      <c r="H25">
        <v>0.44937499999999631</v>
      </c>
      <c r="I25" s="132">
        <v>0.2940562499999988</v>
      </c>
      <c r="J25">
        <v>0.3089843750000032</v>
      </c>
      <c r="K25">
        <v>-8.9765625000000071E-2</v>
      </c>
      <c r="L25">
        <v>-0.9796187499999931</v>
      </c>
      <c r="M25">
        <v>-0.90573437500000686</v>
      </c>
      <c r="N25">
        <v>0.11852812499999921</v>
      </c>
      <c r="O25">
        <v>-4.0683574676513601</v>
      </c>
      <c r="P25">
        <v>-4.23828125</v>
      </c>
      <c r="Q25">
        <v>-4.0742168426513636</v>
      </c>
      <c r="R25">
        <v>-3.8339805603027339</v>
      </c>
      <c r="S25">
        <v>-4.4609394073486364</v>
      </c>
      <c r="T25">
        <v>-1.0683593749999964</v>
      </c>
      <c r="U25">
        <v>-0.38867187499999289</v>
      </c>
      <c r="V25">
        <v>-0.44726181030274148</v>
      </c>
      <c r="W25">
        <v>-0.36132621765137429</v>
      </c>
      <c r="X25">
        <v>9.669496283400747E-2</v>
      </c>
      <c r="Y25">
        <v>9.1252667951722266E-2</v>
      </c>
      <c r="Z25">
        <v>0.14236009072049249</v>
      </c>
      <c r="AA25">
        <v>0.1121272316739219</v>
      </c>
      <c r="AB25">
        <v>7.2682667922023825E-2</v>
      </c>
      <c r="AC25">
        <v>0.19365241091506391</v>
      </c>
      <c r="AD25">
        <v>0.11178236295764864</v>
      </c>
      <c r="AE25">
        <v>0.11759483955727569</v>
      </c>
      <c r="AF25">
        <v>0.17125749957348724</v>
      </c>
      <c r="AG25">
        <v>2.3439437499999949</v>
      </c>
      <c r="AH25">
        <v>2.3560156250000053</v>
      </c>
      <c r="AI25">
        <v>2.5962156249999957</v>
      </c>
      <c r="AJ25">
        <v>2.5331499999999996</v>
      </c>
      <c r="AK25">
        <v>2.730674999999998</v>
      </c>
      <c r="AL25">
        <v>0.77825937500000109</v>
      </c>
      <c r="AM25">
        <v>-1.0717125000000038</v>
      </c>
      <c r="AN25">
        <v>-0.94015937500000035</v>
      </c>
      <c r="AO25">
        <v>0.32103749999999875</v>
      </c>
      <c r="AP25">
        <v>0.1154343749999942</v>
      </c>
      <c r="AQ25">
        <v>2.4096374999999992</v>
      </c>
      <c r="AR25">
        <v>0.1154343749999942</v>
      </c>
      <c r="AS25">
        <v>0</v>
      </c>
      <c r="AT25">
        <v>9.9968749999996831E-2</v>
      </c>
      <c r="AU25">
        <v>0.27487499999999443</v>
      </c>
      <c r="AV25">
        <v>0.11955624999999692</v>
      </c>
      <c r="AW25">
        <v>0.13448437500000132</v>
      </c>
      <c r="AX25">
        <v>-0.26426562500000195</v>
      </c>
      <c r="AY25">
        <v>-1.154118749999995</v>
      </c>
      <c r="AZ25">
        <v>-1.0802343750000087</v>
      </c>
      <c r="BA25">
        <v>-5.5971875000002669E-2</v>
      </c>
      <c r="BB25">
        <v>2.169443749999993</v>
      </c>
      <c r="BC25">
        <v>2.1815156250000034</v>
      </c>
      <c r="BD25">
        <v>2.4217156249999938</v>
      </c>
      <c r="BE25">
        <v>2.3586499999999977</v>
      </c>
      <c r="BF25">
        <v>2.5561749999999961</v>
      </c>
      <c r="BG25">
        <v>0.60375937499999921</v>
      </c>
      <c r="BH25">
        <v>-1.2462125000000057</v>
      </c>
      <c r="BI25">
        <v>-1.1146593750000022</v>
      </c>
      <c r="BJ25">
        <v>-0.25352187499999346</v>
      </c>
    </row>
    <row r="26" spans="1:62" x14ac:dyDescent="0.35">
      <c r="A26" t="s">
        <v>277</v>
      </c>
      <c r="B26">
        <v>3</v>
      </c>
      <c r="C26" t="s">
        <v>2577</v>
      </c>
      <c r="D26" s="84" t="s">
        <v>231</v>
      </c>
      <c r="E26" t="s">
        <v>48</v>
      </c>
      <c r="F26">
        <v>0.11395312500000365</v>
      </c>
      <c r="G26">
        <v>1.3692218749999974</v>
      </c>
      <c r="H26">
        <v>0.60418125000000877</v>
      </c>
      <c r="I26" s="132">
        <v>0.27618125000000937</v>
      </c>
      <c r="J26">
        <v>4.8768749999998917E-2</v>
      </c>
      <c r="K26">
        <v>0.34120624999999905</v>
      </c>
      <c r="L26">
        <v>0.8481593750000016</v>
      </c>
      <c r="M26">
        <v>1.1796500000000076</v>
      </c>
      <c r="N26">
        <v>-1.1978125000000617E-2</v>
      </c>
      <c r="O26">
        <v>0.24218940734863637</v>
      </c>
      <c r="P26">
        <v>-0.85742378234863648</v>
      </c>
      <c r="Q26">
        <v>-0.13086318969726563</v>
      </c>
      <c r="R26">
        <v>0.11523056030274148</v>
      </c>
      <c r="S26">
        <v>0.26367378234862571</v>
      </c>
      <c r="T26">
        <v>0.15234756469727273</v>
      </c>
      <c r="U26">
        <v>-0.20117378234862926</v>
      </c>
      <c r="V26">
        <v>-0.57031631469726563</v>
      </c>
      <c r="W26">
        <v>0.28124809265136719</v>
      </c>
      <c r="X26">
        <v>0.12814141656962708</v>
      </c>
      <c r="Y26">
        <v>0.21286502273338395</v>
      </c>
      <c r="Z26">
        <v>0.18690043870418727</v>
      </c>
      <c r="AA26">
        <v>0.12490882119237767</v>
      </c>
      <c r="AB26">
        <v>0.13560266566037704</v>
      </c>
      <c r="AC26">
        <v>5.24616261499311E-2</v>
      </c>
      <c r="AD26">
        <v>0.11650605291633198</v>
      </c>
      <c r="AE26">
        <v>0.1251256521747024</v>
      </c>
      <c r="AF26">
        <v>0.19092395516637328</v>
      </c>
      <c r="AG26">
        <v>0.38251250000001846</v>
      </c>
      <c r="AH26">
        <v>2.1536968749999996</v>
      </c>
      <c r="AI26">
        <v>0.89412187499999585</v>
      </c>
      <c r="AJ26">
        <v>0.4671437500000053</v>
      </c>
      <c r="AK26">
        <v>0.33721875000001234</v>
      </c>
      <c r="AL26">
        <v>1.3055875000000028</v>
      </c>
      <c r="AM26">
        <v>0.89726250000000007</v>
      </c>
      <c r="AN26">
        <v>1.4718343749999985</v>
      </c>
      <c r="AO26">
        <v>-0.30585625000000061</v>
      </c>
      <c r="AP26">
        <v>4.499062499999873E-2</v>
      </c>
      <c r="AQ26">
        <v>0.41568124999999734</v>
      </c>
      <c r="AR26">
        <v>0.12814141656962708</v>
      </c>
      <c r="AS26">
        <v>0</v>
      </c>
      <c r="AT26">
        <v>1.2552687499999937</v>
      </c>
      <c r="AU26">
        <v>0.49022812500000512</v>
      </c>
      <c r="AV26">
        <v>0.16222812500000572</v>
      </c>
      <c r="AW26">
        <v>-6.5184375000004735E-2</v>
      </c>
      <c r="AX26">
        <v>0.22725312499999539</v>
      </c>
      <c r="AY26">
        <v>0.73420624999999795</v>
      </c>
      <c r="AZ26">
        <v>1.065696875000004</v>
      </c>
      <c r="BA26">
        <v>-0.12593125000000427</v>
      </c>
      <c r="BB26">
        <v>0.26855937500002369</v>
      </c>
      <c r="BC26">
        <v>2.039743749999996</v>
      </c>
      <c r="BD26">
        <v>0.78016874999999208</v>
      </c>
      <c r="BE26">
        <v>0.35319062499999276</v>
      </c>
      <c r="BF26">
        <v>-0.22898437500000313</v>
      </c>
      <c r="BG26">
        <v>1.1916343749999991</v>
      </c>
      <c r="BH26">
        <v>0.78330937499999642</v>
      </c>
      <c r="BI26">
        <v>1.3578812499999948</v>
      </c>
      <c r="BJ26">
        <v>-0.41980937500000426</v>
      </c>
    </row>
    <row r="27" spans="1:62" x14ac:dyDescent="0.35">
      <c r="A27" t="s">
        <v>279</v>
      </c>
      <c r="B27">
        <v>3</v>
      </c>
      <c r="C27" t="s">
        <v>2578</v>
      </c>
      <c r="D27" s="84" t="s">
        <v>231</v>
      </c>
      <c r="E27" t="s">
        <v>48</v>
      </c>
      <c r="F27">
        <v>0.31862812500000004</v>
      </c>
      <c r="G27">
        <v>-0.43592187499999824</v>
      </c>
      <c r="H27">
        <v>0.25678750000000861</v>
      </c>
      <c r="I27" s="132">
        <v>0.47785937500000486</v>
      </c>
      <c r="J27">
        <v>0.59188125000000369</v>
      </c>
      <c r="K27">
        <v>0.46675312500000565</v>
      </c>
      <c r="L27">
        <v>0.31530937499999467</v>
      </c>
      <c r="M27">
        <v>0.32252187499999252</v>
      </c>
      <c r="N27">
        <v>0.36983437499999994</v>
      </c>
      <c r="O27">
        <v>0.11327743530273438</v>
      </c>
      <c r="P27">
        <v>0.8593769073486256</v>
      </c>
      <c r="Q27">
        <v>0.33789443969727273</v>
      </c>
      <c r="R27">
        <v>-7.8144073486363652E-3</v>
      </c>
      <c r="S27">
        <v>-7.616806030274148E-2</v>
      </c>
      <c r="T27">
        <v>0.13476943969726207</v>
      </c>
      <c r="U27">
        <v>0.30078506469726207</v>
      </c>
      <c r="V27">
        <v>0.33788681030273438</v>
      </c>
      <c r="W27">
        <v>1.3675689697265625E-2</v>
      </c>
      <c r="X27">
        <v>0.1294399091611087</v>
      </c>
      <c r="Y27">
        <v>6.9898157882812839E-2</v>
      </c>
      <c r="Z27">
        <v>0.10845770184973347</v>
      </c>
      <c r="AA27">
        <v>8.5418818300606603E-2</v>
      </c>
      <c r="AB27">
        <v>0.10280768780842388</v>
      </c>
      <c r="AC27">
        <v>6.0975017884872258E-2</v>
      </c>
      <c r="AD27">
        <v>0.11268083568649168</v>
      </c>
      <c r="AE27">
        <v>0.11616609621406758</v>
      </c>
      <c r="AF27">
        <v>0.18140764730848691</v>
      </c>
      <c r="AG27">
        <v>0.59054687499999758</v>
      </c>
      <c r="AH27">
        <v>-0.82897500000000302</v>
      </c>
      <c r="AI27">
        <v>0.58312812500000533</v>
      </c>
      <c r="AJ27">
        <v>0.62976249999998402</v>
      </c>
      <c r="AK27">
        <v>0.67581562500000469</v>
      </c>
      <c r="AL27">
        <v>0.53821562499999587</v>
      </c>
      <c r="AM27">
        <v>0.61072499999999863</v>
      </c>
      <c r="AN27">
        <v>0.61332187500001467</v>
      </c>
      <c r="AO27">
        <v>0.42949375000000956</v>
      </c>
      <c r="AP27">
        <v>0.1552687499999994</v>
      </c>
      <c r="AQ27">
        <v>0.4004812499999888</v>
      </c>
      <c r="AR27">
        <v>0.1552687499999994</v>
      </c>
      <c r="AS27">
        <v>0</v>
      </c>
      <c r="AT27">
        <v>-0.75454999999999828</v>
      </c>
      <c r="AU27">
        <v>-6.1840624999991434E-2</v>
      </c>
      <c r="AV27">
        <v>0.15923125000000482</v>
      </c>
      <c r="AW27">
        <v>0.27325312500000365</v>
      </c>
      <c r="AX27">
        <v>0.14812500000000561</v>
      </c>
      <c r="AY27">
        <v>-3.318750000005366E-3</v>
      </c>
      <c r="AZ27">
        <v>3.8937499999924796E-3</v>
      </c>
      <c r="BA27">
        <v>5.1206249999999898E-2</v>
      </c>
      <c r="BB27">
        <v>0.27191874999999754</v>
      </c>
      <c r="BC27">
        <v>-1.1476031250000029</v>
      </c>
      <c r="BD27">
        <v>0.26450000000000529</v>
      </c>
      <c r="BE27">
        <v>0.31113437499998398</v>
      </c>
      <c r="BF27">
        <v>0.35718750000000465</v>
      </c>
      <c r="BG27">
        <v>0.21958749999999583</v>
      </c>
      <c r="BH27">
        <v>0.29209687499999859</v>
      </c>
      <c r="BI27">
        <v>0.29469375000001463</v>
      </c>
      <c r="BJ27">
        <v>-0.2190093749999944</v>
      </c>
    </row>
    <row r="28" spans="1:62" x14ac:dyDescent="0.35">
      <c r="A28" t="s">
        <v>281</v>
      </c>
      <c r="B28">
        <v>3</v>
      </c>
      <c r="C28" t="s">
        <v>2578</v>
      </c>
      <c r="D28" s="84" t="s">
        <v>231</v>
      </c>
      <c r="E28" t="s">
        <v>48</v>
      </c>
      <c r="F28">
        <v>0.24800312500000921</v>
      </c>
      <c r="G28">
        <v>0.9364749999999944</v>
      </c>
      <c r="H28">
        <v>0.40992812499999864</v>
      </c>
      <c r="I28" s="132">
        <v>0.41115312500000556</v>
      </c>
      <c r="J28">
        <v>0.39852187500000191</v>
      </c>
      <c r="K28">
        <v>0.38883437500000007</v>
      </c>
      <c r="L28">
        <v>0.27057812499998946</v>
      </c>
      <c r="M28">
        <v>0.34955625000000268</v>
      </c>
      <c r="N28">
        <v>0.29406562500000177</v>
      </c>
      <c r="O28">
        <v>0.17968368530272727</v>
      </c>
      <c r="P28">
        <v>-0.18944931030272727</v>
      </c>
      <c r="Q28">
        <v>0.29297256469726918</v>
      </c>
      <c r="R28">
        <v>-5.2736282348639918E-2</v>
      </c>
      <c r="S28">
        <v>0.25195503234863637</v>
      </c>
      <c r="T28">
        <v>0.22656250000000711</v>
      </c>
      <c r="U28">
        <v>0.2734375</v>
      </c>
      <c r="V28">
        <v>0.22851181030272724</v>
      </c>
      <c r="W28">
        <v>0.25586318969725852</v>
      </c>
      <c r="X28">
        <v>0.11972772810570297</v>
      </c>
      <c r="Y28">
        <v>0.14970287010403371</v>
      </c>
      <c r="Z28">
        <v>0.1550536916202816</v>
      </c>
      <c r="AA28">
        <v>0.10770373371706832</v>
      </c>
      <c r="AB28">
        <v>8.4897171233211388E-2</v>
      </c>
      <c r="AC28">
        <v>6.7574534348540105E-2</v>
      </c>
      <c r="AD28">
        <v>0.10159436604761039</v>
      </c>
      <c r="AE28">
        <v>0.12940415055228804</v>
      </c>
      <c r="AF28">
        <v>0.12941246260806061</v>
      </c>
      <c r="AG28">
        <v>0.52629374999998646</v>
      </c>
      <c r="AH28">
        <v>0.9364749999999944</v>
      </c>
      <c r="AI28">
        <v>0.79420937500000122</v>
      </c>
      <c r="AJ28">
        <v>0.59279687500000122</v>
      </c>
      <c r="AK28">
        <v>0.58520937500000869</v>
      </c>
      <c r="AL28">
        <v>0.51721562500000928</v>
      </c>
      <c r="AM28">
        <v>0.55259062500001122</v>
      </c>
      <c r="AN28">
        <v>0.56535000000000224</v>
      </c>
      <c r="AO28">
        <v>0.45869375000000545</v>
      </c>
      <c r="AP28">
        <v>2.3121874999993963E-2</v>
      </c>
      <c r="AQ28">
        <v>0.19612187500000378</v>
      </c>
      <c r="AR28">
        <v>0.11972772810570297</v>
      </c>
      <c r="AS28">
        <v>0</v>
      </c>
      <c r="AT28">
        <v>0.68847187499998519</v>
      </c>
      <c r="AU28">
        <v>0.16192499999998944</v>
      </c>
      <c r="AV28">
        <v>0.16314999999999635</v>
      </c>
      <c r="AW28">
        <v>0.15051874999999271</v>
      </c>
      <c r="AX28">
        <v>0.14083124999999086</v>
      </c>
      <c r="AY28">
        <v>2.257499999998025E-2</v>
      </c>
      <c r="AZ28">
        <v>0.10155312499999347</v>
      </c>
      <c r="BA28">
        <v>4.6062499999992568E-2</v>
      </c>
      <c r="BB28">
        <v>0.27829062499996837</v>
      </c>
      <c r="BC28">
        <v>0.68847187499998519</v>
      </c>
      <c r="BD28">
        <v>0.54620625000000089</v>
      </c>
      <c r="BE28">
        <v>0.3447937500000009</v>
      </c>
      <c r="BF28">
        <v>0.3372062499999906</v>
      </c>
      <c r="BG28">
        <v>0.26921249999999119</v>
      </c>
      <c r="BH28">
        <v>0.30458749999999313</v>
      </c>
      <c r="BI28">
        <v>0.31734687500000192</v>
      </c>
      <c r="BJ28">
        <v>0.21069062500000513</v>
      </c>
    </row>
    <row r="29" spans="1:62" x14ac:dyDescent="0.35">
      <c r="A29" t="s">
        <v>283</v>
      </c>
      <c r="B29">
        <v>3</v>
      </c>
      <c r="C29" t="s">
        <v>2577</v>
      </c>
      <c r="D29" s="84" t="s">
        <v>231</v>
      </c>
      <c r="E29" t="s">
        <v>48</v>
      </c>
      <c r="F29">
        <v>0.25675312499999769</v>
      </c>
      <c r="G29">
        <v>0.38572500000000787</v>
      </c>
      <c r="H29">
        <v>0.28541249999999962</v>
      </c>
      <c r="I29" s="132">
        <v>0.34439374999999828</v>
      </c>
      <c r="J29">
        <v>0.36226874999999659</v>
      </c>
      <c r="K29">
        <v>0.37737812499999634</v>
      </c>
      <c r="L29">
        <v>0.43813749999999985</v>
      </c>
      <c r="M29">
        <v>0.52307812500000495</v>
      </c>
      <c r="N29">
        <v>0.17663125000000335</v>
      </c>
      <c r="O29">
        <v>0.26758003234863992</v>
      </c>
      <c r="P29">
        <v>0.65624618530273793</v>
      </c>
      <c r="Q29">
        <v>0.58594131469726918</v>
      </c>
      <c r="R29">
        <v>0.22656440734863278</v>
      </c>
      <c r="S29">
        <v>0.25781059265137074</v>
      </c>
      <c r="T29">
        <v>9.179496765137074E-2</v>
      </c>
      <c r="U29">
        <v>-0.17187500000000355</v>
      </c>
      <c r="V29">
        <v>-0.25195121765136719</v>
      </c>
      <c r="W29">
        <v>0.40234375000000711</v>
      </c>
      <c r="X29">
        <v>0.14830774919516676</v>
      </c>
      <c r="Y29">
        <v>0.2745605341665458</v>
      </c>
      <c r="Z29">
        <v>0.25466063477543877</v>
      </c>
      <c r="AA29">
        <v>0.1626499956320604</v>
      </c>
      <c r="AB29">
        <v>0.12350413103154434</v>
      </c>
      <c r="AC29">
        <v>0.10349911764967247</v>
      </c>
      <c r="AD29">
        <v>8.3854010323651806E-2</v>
      </c>
      <c r="AE29">
        <v>0.10996265843427722</v>
      </c>
      <c r="AF29">
        <v>0.10981403447605011</v>
      </c>
      <c r="AG29">
        <v>0.61317187500002035</v>
      </c>
      <c r="AH29">
        <v>1.1634031250000021</v>
      </c>
      <c r="AI29">
        <v>0.957603124999995</v>
      </c>
      <c r="AJ29">
        <v>0.76050625000000593</v>
      </c>
      <c r="AK29">
        <v>0.69884062499999899</v>
      </c>
      <c r="AL29">
        <v>0.56534687499999237</v>
      </c>
      <c r="AM29">
        <v>0.52367187499999801</v>
      </c>
      <c r="AN29">
        <v>0.68623750000000427</v>
      </c>
      <c r="AO29">
        <v>0.54964374999999066</v>
      </c>
      <c r="AP29">
        <v>8.6987500000001994E-2</v>
      </c>
      <c r="AQ29">
        <v>0.31192812500000722</v>
      </c>
      <c r="AR29">
        <v>0.14830774919516676</v>
      </c>
      <c r="AS29">
        <v>0</v>
      </c>
      <c r="AT29">
        <v>0.12897187500001017</v>
      </c>
      <c r="AU29">
        <v>2.865937500000193E-2</v>
      </c>
      <c r="AV29">
        <v>8.7640625000000583E-2</v>
      </c>
      <c r="AW29">
        <v>0.10551562499999889</v>
      </c>
      <c r="AX29">
        <v>0.12062499999999865</v>
      </c>
      <c r="AY29">
        <v>0.18138437500000215</v>
      </c>
      <c r="AZ29">
        <v>0.26632500000000725</v>
      </c>
      <c r="BA29">
        <v>-8.0121874999994347E-2</v>
      </c>
      <c r="BB29">
        <v>0.35641875000003154</v>
      </c>
      <c r="BC29">
        <v>0.90664999999999552</v>
      </c>
      <c r="BD29">
        <v>0.70084999999998843</v>
      </c>
      <c r="BE29">
        <v>0.50375312500001712</v>
      </c>
      <c r="BF29">
        <v>0.44208750000001018</v>
      </c>
      <c r="BG29">
        <v>0.30859374999998579</v>
      </c>
      <c r="BH29">
        <v>0.26691875000000032</v>
      </c>
      <c r="BI29">
        <v>0.42948437500000658</v>
      </c>
      <c r="BJ29">
        <v>0.29289062500000185</v>
      </c>
    </row>
    <row r="30" spans="1:62" x14ac:dyDescent="0.35">
      <c r="A30" t="s">
        <v>285</v>
      </c>
      <c r="B30">
        <v>3</v>
      </c>
      <c r="C30" t="s">
        <v>2578</v>
      </c>
      <c r="D30" s="84" t="s">
        <v>231</v>
      </c>
      <c r="E30" t="s">
        <v>48</v>
      </c>
      <c r="F30">
        <v>0.14977499999999644</v>
      </c>
      <c r="G30">
        <v>0.36942187500000223</v>
      </c>
      <c r="H30">
        <v>0.2682218749999965</v>
      </c>
      <c r="I30" s="132">
        <v>0.28760624999999429</v>
      </c>
      <c r="J30">
        <v>0.17181250000000148</v>
      </c>
      <c r="K30">
        <v>0.16013749999999938</v>
      </c>
      <c r="L30">
        <v>0.26416249999999586</v>
      </c>
      <c r="M30">
        <v>0.25629687499999498</v>
      </c>
      <c r="N30">
        <v>2.198749999999805E-2</v>
      </c>
      <c r="O30">
        <v>8.593368530274148E-2</v>
      </c>
      <c r="P30">
        <v>0.24804878234863992</v>
      </c>
      <c r="Q30">
        <v>0.23047256469727273</v>
      </c>
      <c r="R30">
        <v>0.13866806030273793</v>
      </c>
      <c r="S30">
        <v>0.11328506469727273</v>
      </c>
      <c r="T30">
        <v>3.9058685302730822E-2</v>
      </c>
      <c r="U30">
        <v>5.8589935302730822E-2</v>
      </c>
      <c r="V30">
        <v>7.8125E-2</v>
      </c>
      <c r="W30">
        <v>0.2207069396972727</v>
      </c>
      <c r="X30">
        <v>0.14059019458815492</v>
      </c>
      <c r="Y30">
        <v>0.12732870744960323</v>
      </c>
      <c r="Z30">
        <v>9.9631338829730964E-2</v>
      </c>
      <c r="AA30">
        <v>5.4257510546085186E-2</v>
      </c>
      <c r="AB30">
        <v>0.1264217659854916</v>
      </c>
      <c r="AC30">
        <v>0.12169623021321742</v>
      </c>
      <c r="AD30">
        <v>0.1568828604120398</v>
      </c>
      <c r="AE30">
        <v>6.8507932665262672E-2</v>
      </c>
      <c r="AF30">
        <v>5.7209353059612937E-2</v>
      </c>
      <c r="AG30">
        <v>0.23901874999999961</v>
      </c>
      <c r="AH30">
        <v>0.58501250000000837</v>
      </c>
      <c r="AI30">
        <v>0.45864687499998169</v>
      </c>
      <c r="AJ30">
        <v>0.37138750000000442</v>
      </c>
      <c r="AK30">
        <v>0.37778437500000095</v>
      </c>
      <c r="AL30">
        <v>0.3891250000000035</v>
      </c>
      <c r="AM30">
        <v>0.36106874999999761</v>
      </c>
      <c r="AN30">
        <v>0.39342187499999071</v>
      </c>
      <c r="AO30">
        <v>0.16889062499998886</v>
      </c>
      <c r="AP30">
        <v>8.2234374999998749E-2</v>
      </c>
      <c r="AQ30">
        <v>0.33901562499999871</v>
      </c>
      <c r="AR30">
        <v>0.14059019458815492</v>
      </c>
      <c r="AS30">
        <v>0</v>
      </c>
      <c r="AT30">
        <v>0.21964687500000579</v>
      </c>
      <c r="AU30">
        <v>0.11844687500000006</v>
      </c>
      <c r="AV30">
        <v>0.13783124999999785</v>
      </c>
      <c r="AW30">
        <v>2.2037500000005039E-2</v>
      </c>
      <c r="AX30">
        <v>1.0362500000002939E-2</v>
      </c>
      <c r="AY30">
        <v>0.11438749999999942</v>
      </c>
      <c r="AZ30">
        <v>0.10652187499999854</v>
      </c>
      <c r="BA30">
        <v>-0.12778749999999839</v>
      </c>
      <c r="BB30">
        <v>-0.2004062499999959</v>
      </c>
      <c r="BC30">
        <v>0.43523750000002082</v>
      </c>
      <c r="BD30">
        <v>0.30887187499997637</v>
      </c>
      <c r="BE30">
        <v>0.22161250000001687</v>
      </c>
      <c r="BF30">
        <v>0.22800937500001339</v>
      </c>
      <c r="BG30">
        <v>0.23934999999999818</v>
      </c>
      <c r="BH30">
        <v>0.21129375000001005</v>
      </c>
      <c r="BI30">
        <v>0.24364687499998539</v>
      </c>
      <c r="BJ30">
        <v>-0.24790937500000165</v>
      </c>
    </row>
    <row r="31" spans="1:62" x14ac:dyDescent="0.35">
      <c r="A31" t="s">
        <v>287</v>
      </c>
      <c r="B31">
        <v>3</v>
      </c>
      <c r="C31" t="s">
        <v>2577</v>
      </c>
      <c r="D31" s="84" t="s">
        <v>231</v>
      </c>
      <c r="E31" t="s">
        <v>48</v>
      </c>
      <c r="F31">
        <v>0.2451281249999937</v>
      </c>
      <c r="G31">
        <v>0.9337781249999999</v>
      </c>
      <c r="H31">
        <v>0.68443437499999149</v>
      </c>
      <c r="I31" s="132">
        <v>0.47731562500000102</v>
      </c>
      <c r="J31">
        <v>0.32105000000000494</v>
      </c>
      <c r="K31">
        <v>0.11446249999999658</v>
      </c>
      <c r="L31">
        <v>0.14367812499999744</v>
      </c>
      <c r="M31">
        <v>0.162346874999999</v>
      </c>
      <c r="N31">
        <v>3.2209375000009643E-2</v>
      </c>
      <c r="O31">
        <v>0.16210937500000355</v>
      </c>
      <c r="P31">
        <v>7.8125E-2</v>
      </c>
      <c r="Q31">
        <v>9.7618103027308223E-3</v>
      </c>
      <c r="R31">
        <v>5.6636810302741473E-2</v>
      </c>
      <c r="S31">
        <v>0.15820121765136363</v>
      </c>
      <c r="T31">
        <v>0.16210746765136008</v>
      </c>
      <c r="U31">
        <v>0.19140815734862926</v>
      </c>
      <c r="V31">
        <v>0.26952743530273438</v>
      </c>
      <c r="W31">
        <v>0.33593749999999645</v>
      </c>
      <c r="X31">
        <v>0.11219105456520494</v>
      </c>
      <c r="Y31">
        <v>0.24032172782440853</v>
      </c>
      <c r="Z31">
        <v>0.1934390156877086</v>
      </c>
      <c r="AA31">
        <v>0.12840692720166302</v>
      </c>
      <c r="AB31">
        <v>9.583007294329704E-2</v>
      </c>
      <c r="AC31">
        <v>0.14218984902177656</v>
      </c>
      <c r="AD31">
        <v>0.12619102513950597</v>
      </c>
      <c r="AE31">
        <v>0.17932696507914514</v>
      </c>
      <c r="AF31">
        <v>8.6382659138131146E-2</v>
      </c>
      <c r="AG31">
        <v>0.33902812499999158</v>
      </c>
      <c r="AH31">
        <v>0.97614374999999143</v>
      </c>
      <c r="AI31">
        <v>0.71410937500001381</v>
      </c>
      <c r="AJ31">
        <v>0.58597187499998427</v>
      </c>
      <c r="AK31">
        <v>0.41911562499999278</v>
      </c>
      <c r="AL31">
        <v>0.34376875000001306</v>
      </c>
      <c r="AM31">
        <v>0.41737499999999983</v>
      </c>
      <c r="AN31">
        <v>0.61317812499998681</v>
      </c>
      <c r="AO31">
        <v>0.26215937500001729</v>
      </c>
      <c r="AP31">
        <v>7.8571874999999736E-2</v>
      </c>
      <c r="AQ31">
        <v>0.2888406249999953</v>
      </c>
      <c r="AR31">
        <v>0.11219105456520494</v>
      </c>
      <c r="AS31">
        <v>0</v>
      </c>
      <c r="AT31">
        <v>0.6886500000000062</v>
      </c>
      <c r="AU31">
        <v>0.43930624999999779</v>
      </c>
      <c r="AV31">
        <v>0.23218750000000732</v>
      </c>
      <c r="AW31">
        <v>7.5921875000011241E-2</v>
      </c>
      <c r="AX31">
        <v>-0.13066562499999712</v>
      </c>
      <c r="AY31">
        <v>-0.10144999999999627</v>
      </c>
      <c r="AZ31">
        <v>-8.2781249999994699E-2</v>
      </c>
      <c r="BA31">
        <v>-0.21291874999998406</v>
      </c>
      <c r="BB31">
        <v>-0.23515937499999362</v>
      </c>
      <c r="BC31">
        <v>0.73101562499999773</v>
      </c>
      <c r="BD31">
        <v>0.46898125000002011</v>
      </c>
      <c r="BE31">
        <v>0.34084374999999056</v>
      </c>
      <c r="BF31">
        <v>0.17398749999999907</v>
      </c>
      <c r="BG31">
        <v>-0.27417812499999084</v>
      </c>
      <c r="BH31">
        <v>-0.18574999999999342</v>
      </c>
      <c r="BI31">
        <v>0.3680499999999931</v>
      </c>
      <c r="BJ31">
        <v>-0.37543749999999543</v>
      </c>
    </row>
    <row r="32" spans="1:62" x14ac:dyDescent="0.35">
      <c r="A32" t="s">
        <v>289</v>
      </c>
      <c r="B32">
        <v>3</v>
      </c>
      <c r="C32" t="s">
        <v>2578</v>
      </c>
      <c r="D32" s="84" t="s">
        <v>231</v>
      </c>
      <c r="E32" t="s">
        <v>48</v>
      </c>
      <c r="F32">
        <v>0.20717499999999944</v>
      </c>
      <c r="G32">
        <v>-0.18963125000000858</v>
      </c>
      <c r="H32">
        <v>0.3433906250000085</v>
      </c>
      <c r="I32" s="132">
        <v>0.48587812500000105</v>
      </c>
      <c r="J32">
        <v>0.51491562499999866</v>
      </c>
      <c r="K32">
        <v>0.29464374999999876</v>
      </c>
      <c r="L32">
        <v>8.6440625000001603E-2</v>
      </c>
      <c r="M32">
        <v>-2.8909375000001347E-2</v>
      </c>
      <c r="N32">
        <v>0.22677187500000251</v>
      </c>
      <c r="O32">
        <v>0.17383193969726207</v>
      </c>
      <c r="P32">
        <v>0.84179496765136363</v>
      </c>
      <c r="Q32">
        <v>0.15039062499999645</v>
      </c>
      <c r="R32">
        <v>6.0544967651363635E-2</v>
      </c>
      <c r="S32">
        <v>2.343368530272727E-2</v>
      </c>
      <c r="T32">
        <v>0.19726371765136363</v>
      </c>
      <c r="U32">
        <v>0.390625</v>
      </c>
      <c r="V32">
        <v>0.57226181030273438</v>
      </c>
      <c r="W32">
        <v>0.18163681030273438</v>
      </c>
      <c r="X32">
        <v>0.14655641637350669</v>
      </c>
      <c r="Y32">
        <v>0.19544517362305669</v>
      </c>
      <c r="Z32">
        <v>8.9643321202865778E-2</v>
      </c>
      <c r="AA32">
        <v>0.10385256331550963</v>
      </c>
      <c r="AB32">
        <v>8.2964516756620643E-2</v>
      </c>
      <c r="AC32">
        <v>8.3462261073479205E-2</v>
      </c>
      <c r="AD32">
        <v>9.7178029586038051E-2</v>
      </c>
      <c r="AE32">
        <v>0.12667577354934512</v>
      </c>
      <c r="AF32">
        <v>0.1496431430973022</v>
      </c>
      <c r="AG32">
        <v>0.52421874999998508</v>
      </c>
      <c r="AH32">
        <v>0.54275624999998939</v>
      </c>
      <c r="AI32">
        <v>0.55816249999999457</v>
      </c>
      <c r="AJ32">
        <v>0.65295937500000178</v>
      </c>
      <c r="AK32">
        <v>0.64534062499999933</v>
      </c>
      <c r="AL32">
        <v>0.47656249999999289</v>
      </c>
      <c r="AM32">
        <v>0.32105312500000593</v>
      </c>
      <c r="AN32">
        <v>-0.32115937499999525</v>
      </c>
      <c r="AO32">
        <v>0.50775312499999004</v>
      </c>
      <c r="AP32">
        <v>9.1343749999996948E-2</v>
      </c>
      <c r="AQ32">
        <v>0.36929687500000252</v>
      </c>
      <c r="AR32">
        <v>0.14655641637350669</v>
      </c>
      <c r="AS32">
        <v>0</v>
      </c>
      <c r="AT32">
        <v>-0.39680625000000802</v>
      </c>
      <c r="AU32">
        <v>0.13621562500000906</v>
      </c>
      <c r="AV32">
        <v>0.27870312500000161</v>
      </c>
      <c r="AW32">
        <v>0.30774062499999921</v>
      </c>
      <c r="AX32">
        <v>8.7468749999999318E-2</v>
      </c>
      <c r="AY32">
        <v>-0.12073437499999784</v>
      </c>
      <c r="AZ32">
        <v>-0.23608437500000079</v>
      </c>
      <c r="BA32">
        <v>1.9596875000003067E-2</v>
      </c>
      <c r="BB32">
        <v>0.31704374999998564</v>
      </c>
      <c r="BC32">
        <v>-0.55217500000000141</v>
      </c>
      <c r="BD32">
        <v>0.35098749999999512</v>
      </c>
      <c r="BE32">
        <v>0.44578437500000234</v>
      </c>
      <c r="BF32">
        <v>0.43816562499999989</v>
      </c>
      <c r="BG32">
        <v>0.26938749999999345</v>
      </c>
      <c r="BH32">
        <v>-0.31970937499999907</v>
      </c>
      <c r="BI32">
        <v>-0.52833437499999469</v>
      </c>
      <c r="BJ32">
        <v>0.30057812499999059</v>
      </c>
    </row>
    <row r="33" spans="1:62" x14ac:dyDescent="0.35">
      <c r="A33" t="s">
        <v>291</v>
      </c>
      <c r="B33">
        <v>3</v>
      </c>
      <c r="C33" t="s">
        <v>2578</v>
      </c>
      <c r="D33" s="84" t="s">
        <v>231</v>
      </c>
      <c r="E33" t="s">
        <v>48</v>
      </c>
      <c r="F33">
        <v>0.33503124999999301</v>
      </c>
      <c r="G33">
        <v>-0.47942500000000443</v>
      </c>
      <c r="H33">
        <v>0.21037812500000364</v>
      </c>
      <c r="I33" s="132">
        <v>0.44350312499999767</v>
      </c>
      <c r="J33">
        <v>0.43509374999999295</v>
      </c>
      <c r="K33">
        <v>0.29765000000000263</v>
      </c>
      <c r="L33">
        <v>7.8725000000003931E-2</v>
      </c>
      <c r="M33">
        <v>0.12469062500000128</v>
      </c>
      <c r="N33">
        <v>0.19616562500000434</v>
      </c>
      <c r="O33">
        <v>1.7578124999992895E-2</v>
      </c>
      <c r="P33">
        <v>0.78515624999999645</v>
      </c>
      <c r="Q33">
        <v>-8.7894439697269178E-2</v>
      </c>
      <c r="R33">
        <v>7.4214935302734375E-2</v>
      </c>
      <c r="S33">
        <v>-9.7654342651374293E-2</v>
      </c>
      <c r="T33">
        <v>0.22460746765137429</v>
      </c>
      <c r="U33">
        <v>0.34960746765136719</v>
      </c>
      <c r="V33">
        <v>0.4941406250000035</v>
      </c>
      <c r="W33">
        <v>0.20312881469726207</v>
      </c>
      <c r="X33">
        <v>0.14209380017334183</v>
      </c>
      <c r="Y33">
        <v>0.16117956353209451</v>
      </c>
      <c r="Z33">
        <v>9.0456729566650296E-2</v>
      </c>
      <c r="AA33">
        <v>5.5591687239058281E-2</v>
      </c>
      <c r="AB33">
        <v>6.552863030043099E-2</v>
      </c>
      <c r="AC33">
        <v>5.4149708175472704E-2</v>
      </c>
      <c r="AD33">
        <v>0.12169491856632852</v>
      </c>
      <c r="AE33">
        <v>9.9938721583936463E-2</v>
      </c>
      <c r="AF33">
        <v>7.5319195779584014E-2</v>
      </c>
      <c r="AG33">
        <v>0.54675937499998994</v>
      </c>
      <c r="AH33">
        <v>-0.66015312500000256</v>
      </c>
      <c r="AI33">
        <v>0.40333750000000057</v>
      </c>
      <c r="AJ33">
        <v>0.51184687499999271</v>
      </c>
      <c r="AK33">
        <v>0.59140312500000292</v>
      </c>
      <c r="AL33">
        <v>0.47736249999999814</v>
      </c>
      <c r="AM33">
        <v>0.43939999999999202</v>
      </c>
      <c r="AN33">
        <v>0.52129374999999811</v>
      </c>
      <c r="AO33">
        <v>0.33993750000000489</v>
      </c>
      <c r="AP33">
        <v>6.290624999999217E-2</v>
      </c>
      <c r="AQ33">
        <v>0.44387500000000024</v>
      </c>
      <c r="AR33">
        <v>0.14209380017334183</v>
      </c>
      <c r="AS33">
        <v>0</v>
      </c>
      <c r="AT33">
        <v>-0.81445624999999744</v>
      </c>
      <c r="AU33">
        <v>-0.12465312499998937</v>
      </c>
      <c r="AV33">
        <v>0.10847187500000466</v>
      </c>
      <c r="AW33">
        <v>0.10006249999999994</v>
      </c>
      <c r="AX33">
        <v>-3.7381249999990374E-2</v>
      </c>
      <c r="AY33">
        <v>-0.25630624999998908</v>
      </c>
      <c r="AZ33">
        <v>-0.21034062499999173</v>
      </c>
      <c r="BA33">
        <v>-0.13886562499998867</v>
      </c>
      <c r="BB33">
        <v>0.21172812499999694</v>
      </c>
      <c r="BC33">
        <v>-0.99518437499999557</v>
      </c>
      <c r="BD33">
        <v>-0.12465312499998937</v>
      </c>
      <c r="BE33">
        <v>0.1768156249999997</v>
      </c>
      <c r="BF33">
        <v>0.25637187500000991</v>
      </c>
      <c r="BG33">
        <v>0.14233125000000513</v>
      </c>
      <c r="BH33">
        <v>-0.28061562499999138</v>
      </c>
      <c r="BI33">
        <v>-0.34662187499999053</v>
      </c>
      <c r="BJ33">
        <v>-0.25684374999999093</v>
      </c>
    </row>
    <row r="34" spans="1:62" x14ac:dyDescent="0.35">
      <c r="A34" t="s">
        <v>293</v>
      </c>
      <c r="B34">
        <v>3</v>
      </c>
      <c r="C34" t="s">
        <v>2577</v>
      </c>
      <c r="D34" s="84" t="s">
        <v>231</v>
      </c>
      <c r="E34" t="s">
        <v>48</v>
      </c>
      <c r="F34">
        <v>-0.73522812500000256</v>
      </c>
      <c r="G34">
        <v>0.2309125000000023</v>
      </c>
      <c r="H34">
        <v>-0.24535937499999605</v>
      </c>
      <c r="I34" s="132">
        <v>-0.37189687499999735</v>
      </c>
      <c r="J34">
        <v>-0.91706874999999854</v>
      </c>
      <c r="K34">
        <v>-1.0416874999999948</v>
      </c>
      <c r="L34">
        <v>1.0550000000000281E-2</v>
      </c>
      <c r="M34">
        <v>0.38480625000000046</v>
      </c>
      <c r="N34">
        <v>1.1635656250000004</v>
      </c>
      <c r="O34">
        <v>6.2498092651370733E-2</v>
      </c>
      <c r="P34">
        <v>0.24609565734863281</v>
      </c>
      <c r="Q34">
        <v>5.8589935302730822E-2</v>
      </c>
      <c r="R34">
        <v>0.14453506469726207</v>
      </c>
      <c r="S34">
        <v>0.20312118530274151</v>
      </c>
      <c r="T34">
        <v>1.9527435302730822E-2</v>
      </c>
      <c r="U34">
        <v>-3.910064697265625E-3</v>
      </c>
      <c r="V34">
        <v>0.12890243530273793</v>
      </c>
      <c r="W34">
        <v>0.33202934265137429</v>
      </c>
      <c r="X34">
        <v>0.10016414134879525</v>
      </c>
      <c r="Y34">
        <v>0.13842513107523047</v>
      </c>
      <c r="Z34">
        <v>0.12255744612710728</v>
      </c>
      <c r="AA34">
        <v>9.1376278679220491E-2</v>
      </c>
      <c r="AB34">
        <v>0.10702324907667204</v>
      </c>
      <c r="AC34">
        <v>8.9095146128452818E-2</v>
      </c>
      <c r="AD34">
        <v>0.30156898007281718</v>
      </c>
      <c r="AE34">
        <v>0.10148041849778355</v>
      </c>
      <c r="AF34">
        <v>0.16278969947425725</v>
      </c>
      <c r="AG34">
        <v>-0.88537500000000158</v>
      </c>
      <c r="AH34">
        <v>0.37463125000000375</v>
      </c>
      <c r="AI34">
        <v>-0.35155625000000246</v>
      </c>
      <c r="AJ34">
        <v>-0.55824375000000259</v>
      </c>
      <c r="AK34">
        <v>-0.91706874999999854</v>
      </c>
      <c r="AL34">
        <v>-1.0416874999999948</v>
      </c>
      <c r="AM34">
        <v>-0.47522812500000011</v>
      </c>
      <c r="AN34">
        <v>0.57748124999998041</v>
      </c>
      <c r="AO34">
        <v>1.3063000000000002</v>
      </c>
      <c r="AP34">
        <v>0.15014687499999901</v>
      </c>
      <c r="AQ34">
        <v>2.0806343749999989</v>
      </c>
      <c r="AR34">
        <v>0.15014687499999901</v>
      </c>
      <c r="AS34">
        <v>0</v>
      </c>
      <c r="AT34">
        <v>0.96614062500000486</v>
      </c>
      <c r="AU34">
        <v>0.48986875000000651</v>
      </c>
      <c r="AV34">
        <v>0.36333125000000521</v>
      </c>
      <c r="AW34">
        <v>-0.18184062499999598</v>
      </c>
      <c r="AX34">
        <v>-0.30645937499999221</v>
      </c>
      <c r="AY34">
        <v>0.74577812500000285</v>
      </c>
      <c r="AZ34">
        <v>1.120034375000003</v>
      </c>
      <c r="BA34">
        <v>1.8987937500000029</v>
      </c>
      <c r="BB34">
        <v>0.1533968750000092</v>
      </c>
      <c r="BC34">
        <v>1.1098593750000063</v>
      </c>
      <c r="BD34">
        <v>0.7020906250000003</v>
      </c>
      <c r="BE34">
        <v>0.43703125000000398</v>
      </c>
      <c r="BF34">
        <v>-0.18184062499999598</v>
      </c>
      <c r="BG34">
        <v>-0.30645937499999221</v>
      </c>
      <c r="BH34">
        <v>0.74577812500000285</v>
      </c>
      <c r="BI34">
        <v>1.312709374999983</v>
      </c>
      <c r="BJ34">
        <v>2.0415281250000028</v>
      </c>
    </row>
    <row r="35" spans="1:62" x14ac:dyDescent="0.35">
      <c r="A35" t="s">
        <v>295</v>
      </c>
      <c r="B35">
        <v>3</v>
      </c>
      <c r="C35" t="s">
        <v>2578</v>
      </c>
      <c r="D35" s="84" t="s">
        <v>231</v>
      </c>
      <c r="E35" t="s">
        <v>48</v>
      </c>
      <c r="F35">
        <v>7.9128124999998661E-2</v>
      </c>
      <c r="G35">
        <v>3.8987500000002839E-2</v>
      </c>
      <c r="H35">
        <v>0.15396875000000421</v>
      </c>
      <c r="I35" s="132">
        <v>0.20573749999999613</v>
      </c>
      <c r="J35">
        <v>0.19585312499999397</v>
      </c>
      <c r="K35">
        <v>0.24076875000000442</v>
      </c>
      <c r="L35">
        <v>0.23233750000000164</v>
      </c>
      <c r="M35">
        <v>0.2975718749999956</v>
      </c>
      <c r="N35">
        <v>8.4640624999998693E-2</v>
      </c>
      <c r="O35">
        <v>0.42187309265136363</v>
      </c>
      <c r="P35">
        <v>0.73437118530273793</v>
      </c>
      <c r="Q35">
        <v>0.33983993530274148</v>
      </c>
      <c r="R35">
        <v>0.23046875000000355</v>
      </c>
      <c r="S35">
        <v>0.12499618530274147</v>
      </c>
      <c r="T35">
        <v>0.15819931030273793</v>
      </c>
      <c r="U35">
        <v>0.15038681030272727</v>
      </c>
      <c r="V35">
        <v>0.13866806030273793</v>
      </c>
      <c r="W35">
        <v>0.30469131469725852</v>
      </c>
      <c r="X35">
        <v>0.11517653963794672</v>
      </c>
      <c r="Y35">
        <v>9.7705890020360897E-2</v>
      </c>
      <c r="Z35">
        <v>0.15777674488066218</v>
      </c>
      <c r="AA35">
        <v>0.11833475729678522</v>
      </c>
      <c r="AB35">
        <v>0.10937426960669684</v>
      </c>
      <c r="AC35">
        <v>7.2911135562279128E-2</v>
      </c>
      <c r="AD35">
        <v>9.4559228915023219E-2</v>
      </c>
      <c r="AE35">
        <v>7.6386196172877341E-2</v>
      </c>
      <c r="AF35">
        <v>0.1961009549206594</v>
      </c>
      <c r="AG35">
        <v>0.48181249999998954</v>
      </c>
      <c r="AH35">
        <v>0.52047187499999481</v>
      </c>
      <c r="AI35">
        <v>0.59928125000000776</v>
      </c>
      <c r="AJ35">
        <v>0.48981250000000642</v>
      </c>
      <c r="AK35">
        <v>0.44515312499999737</v>
      </c>
      <c r="AL35">
        <v>0.40457812500001467</v>
      </c>
      <c r="AM35">
        <v>0.43804687499999773</v>
      </c>
      <c r="AN35">
        <v>0.46875937500001186</v>
      </c>
      <c r="AO35">
        <v>0.4442593749999979</v>
      </c>
      <c r="AP35">
        <v>0.13631250000000206</v>
      </c>
      <c r="AQ35">
        <v>0.31369375000000144</v>
      </c>
      <c r="AR35">
        <v>0.13631250000000206</v>
      </c>
      <c r="AS35">
        <v>0</v>
      </c>
      <c r="AT35">
        <v>-4.0140624999995822E-2</v>
      </c>
      <c r="AU35">
        <v>7.4840625000005545E-2</v>
      </c>
      <c r="AV35">
        <v>0.12660937499999747</v>
      </c>
      <c r="AW35">
        <v>0.1167249999999953</v>
      </c>
      <c r="AX35">
        <v>0.16164062500000576</v>
      </c>
      <c r="AY35">
        <v>0.15320937500000298</v>
      </c>
      <c r="AZ35">
        <v>0.21844374999999694</v>
      </c>
      <c r="BA35">
        <v>5.5125000000000313E-3</v>
      </c>
      <c r="BB35">
        <v>0.40268437499999976</v>
      </c>
      <c r="BC35">
        <v>0.44134374999998727</v>
      </c>
      <c r="BD35">
        <v>0.52015312500000022</v>
      </c>
      <c r="BE35">
        <v>0.41068437500001664</v>
      </c>
      <c r="BF35">
        <v>0.36602500000000759</v>
      </c>
      <c r="BG35">
        <v>0.32545000000002489</v>
      </c>
      <c r="BH35">
        <v>0.35891874999999018</v>
      </c>
      <c r="BI35">
        <v>0.38963125000000431</v>
      </c>
      <c r="BJ35">
        <v>0.36513124999999036</v>
      </c>
    </row>
    <row r="36" spans="1:62" x14ac:dyDescent="0.35">
      <c r="A36" t="s">
        <v>296</v>
      </c>
      <c r="B36">
        <v>3</v>
      </c>
      <c r="C36" t="s">
        <v>2578</v>
      </c>
      <c r="D36" s="84" t="s">
        <v>231</v>
      </c>
      <c r="E36" t="s">
        <v>48</v>
      </c>
      <c r="F36">
        <v>5.6793750000005971E-2</v>
      </c>
      <c r="G36">
        <v>0.2709093749999969</v>
      </c>
      <c r="H36">
        <v>0.24766249999999879</v>
      </c>
      <c r="I36" s="132">
        <v>0.24029062499999476</v>
      </c>
      <c r="J36">
        <v>0.2272437500000013</v>
      </c>
      <c r="K36">
        <v>0.17111250000000133</v>
      </c>
      <c r="L36">
        <v>0.14063437499999942</v>
      </c>
      <c r="M36">
        <v>0.13145937500000038</v>
      </c>
      <c r="N36">
        <v>-3.90625E-2</v>
      </c>
      <c r="O36">
        <v>0.13867568969725852</v>
      </c>
      <c r="P36">
        <v>0.30077743530274148</v>
      </c>
      <c r="Q36">
        <v>0.15234756469727273</v>
      </c>
      <c r="R36">
        <v>-1.7578124999992895E-2</v>
      </c>
      <c r="S36">
        <v>8.9845657348632813E-2</v>
      </c>
      <c r="T36">
        <v>0.13086318969726563</v>
      </c>
      <c r="U36">
        <v>0.24609565734863281</v>
      </c>
      <c r="V36">
        <v>0.26171493530274148</v>
      </c>
      <c r="W36">
        <v>0.18945693969726563</v>
      </c>
      <c r="X36">
        <v>0.12923467932364874</v>
      </c>
      <c r="Y36">
        <v>0.1363537778824675</v>
      </c>
      <c r="Z36">
        <v>0.10867940241655161</v>
      </c>
      <c r="AA36">
        <v>0.12828306575705994</v>
      </c>
      <c r="AB36">
        <v>0.10392090714497204</v>
      </c>
      <c r="AC36">
        <v>9.3014412430316717E-2</v>
      </c>
      <c r="AD36">
        <v>9.7908381011562184E-2</v>
      </c>
      <c r="AE36">
        <v>7.0584461857454706E-2</v>
      </c>
      <c r="AF36">
        <v>0.16755955641761577</v>
      </c>
      <c r="AG36">
        <v>0.31234062499999382</v>
      </c>
      <c r="AH36">
        <v>0.49017499999999714</v>
      </c>
      <c r="AI36">
        <v>0.50117187499999716</v>
      </c>
      <c r="AJ36">
        <v>0.42116874999999609</v>
      </c>
      <c r="AK36">
        <v>0.35016562500000958</v>
      </c>
      <c r="AL36">
        <v>0.37092499999998196</v>
      </c>
      <c r="AM36">
        <v>0.36718125000000157</v>
      </c>
      <c r="AN36">
        <v>0.31807500000001099</v>
      </c>
      <c r="AO36">
        <v>0.25691249999999499</v>
      </c>
      <c r="AP36">
        <v>0.12384687500000213</v>
      </c>
      <c r="AQ36">
        <v>0.28442812499999359</v>
      </c>
      <c r="AR36">
        <v>0.12923467932364874</v>
      </c>
      <c r="AS36">
        <v>0</v>
      </c>
      <c r="AT36">
        <v>0.21411562499999093</v>
      </c>
      <c r="AU36">
        <v>0.19086874999999281</v>
      </c>
      <c r="AV36">
        <v>0.18349687499998879</v>
      </c>
      <c r="AW36">
        <v>0.17044999999999533</v>
      </c>
      <c r="AX36">
        <v>0.11431874999999536</v>
      </c>
      <c r="AY36">
        <v>8.3840624999993452E-2</v>
      </c>
      <c r="AZ36">
        <v>7.4665624999994407E-2</v>
      </c>
      <c r="BA36">
        <v>-9.5856250000005971E-2</v>
      </c>
      <c r="BB36">
        <v>0.25554687499997897</v>
      </c>
      <c r="BC36">
        <v>0.43338124999998229</v>
      </c>
      <c r="BD36">
        <v>0.4443781249999823</v>
      </c>
      <c r="BE36">
        <v>0.36437499999999901</v>
      </c>
      <c r="BF36">
        <v>0.29337187500001249</v>
      </c>
      <c r="BG36">
        <v>0.31413124999998487</v>
      </c>
      <c r="BH36">
        <v>0.31038750000000448</v>
      </c>
      <c r="BI36">
        <v>0.26128124999999613</v>
      </c>
      <c r="BJ36">
        <v>-0.22894062500000256</v>
      </c>
    </row>
    <row r="37" spans="1:62" x14ac:dyDescent="0.35">
      <c r="A37" t="s">
        <v>298</v>
      </c>
      <c r="B37">
        <v>3</v>
      </c>
      <c r="C37" t="s">
        <v>124</v>
      </c>
      <c r="D37" s="84" t="s">
        <v>231</v>
      </c>
      <c r="E37" t="s">
        <v>48</v>
      </c>
      <c r="F37">
        <v>-0.11778749999999505</v>
      </c>
      <c r="G37">
        <v>3.7981125000000033</v>
      </c>
      <c r="H37">
        <v>1.088859375000002</v>
      </c>
      <c r="I37" s="132">
        <v>0.20092187500000414</v>
      </c>
      <c r="J37">
        <v>-0.31327500000000619</v>
      </c>
      <c r="K37">
        <v>0.14762812500000777</v>
      </c>
      <c r="L37">
        <v>0.84957500000000685</v>
      </c>
      <c r="M37">
        <v>1.5077593749999973</v>
      </c>
      <c r="N37">
        <v>-0.22015937499999971</v>
      </c>
      <c r="O37">
        <v>0.42577934265136008</v>
      </c>
      <c r="P37">
        <v>-54.580078125</v>
      </c>
      <c r="Q37">
        <v>-0.39257812500000705</v>
      </c>
      <c r="R37">
        <v>0.14062690734863992</v>
      </c>
      <c r="S37">
        <v>0.59766006469725852</v>
      </c>
      <c r="T37">
        <v>0.17383003234863637</v>
      </c>
      <c r="U37">
        <v>-0.50195503234863992</v>
      </c>
      <c r="V37">
        <v>-0.97460937499999289</v>
      </c>
      <c r="W37">
        <v>0.56640243530273082</v>
      </c>
      <c r="X37">
        <v>9.1096830696528741E-2</v>
      </c>
      <c r="Y37">
        <v>21.107955093174446</v>
      </c>
      <c r="Z37">
        <v>0.1085747357560507</v>
      </c>
      <c r="AA37">
        <v>0.13534122438059626</v>
      </c>
      <c r="AB37">
        <v>0.10655146582834174</v>
      </c>
      <c r="AC37">
        <v>8.0888387358974967E-2</v>
      </c>
      <c r="AD37">
        <v>0.16568046232189104</v>
      </c>
      <c r="AE37">
        <v>0.1391836506700761</v>
      </c>
      <c r="AF37">
        <v>7.2361464980024159E-2</v>
      </c>
      <c r="AG37">
        <v>-0.38346875000000002</v>
      </c>
      <c r="AH37">
        <v>-49.99560000000001</v>
      </c>
      <c r="AI37">
        <v>1.1500468750000015</v>
      </c>
      <c r="AJ37">
        <v>0.3518125000000083</v>
      </c>
      <c r="AK37">
        <v>-0.58318437500000098</v>
      </c>
      <c r="AL37">
        <v>0.36563125000000696</v>
      </c>
      <c r="AM37">
        <v>1.3903187500000036</v>
      </c>
      <c r="AN37">
        <v>2.1887374999999998</v>
      </c>
      <c r="AO37">
        <v>-0.51331562500000372</v>
      </c>
      <c r="AP37">
        <v>5.6490625000000794E-2</v>
      </c>
      <c r="AQ37">
        <v>0.26848124999999889</v>
      </c>
      <c r="AR37">
        <v>9.1096830696528741E-2</v>
      </c>
      <c r="AS37">
        <v>0</v>
      </c>
      <c r="AT37">
        <v>3.9158999999999993</v>
      </c>
      <c r="AU37">
        <v>1.206646874999997</v>
      </c>
      <c r="AV37">
        <v>0.31870937499999918</v>
      </c>
      <c r="AW37">
        <v>-0.19548750000001114</v>
      </c>
      <c r="AX37">
        <v>0.26541562500000282</v>
      </c>
      <c r="AY37">
        <v>0.9673625000000019</v>
      </c>
      <c r="AZ37">
        <v>1.6255468749999924</v>
      </c>
      <c r="BA37">
        <v>-0.10237187500000466</v>
      </c>
      <c r="BB37">
        <v>-0.26568125000000498</v>
      </c>
      <c r="BC37">
        <v>-49.877812500000012</v>
      </c>
      <c r="BD37">
        <v>1.2678343749999965</v>
      </c>
      <c r="BE37">
        <v>0.46960000000000335</v>
      </c>
      <c r="BF37">
        <v>-0.46539687500000593</v>
      </c>
      <c r="BG37">
        <v>0.48341875000000201</v>
      </c>
      <c r="BH37">
        <v>1.5081062499999986</v>
      </c>
      <c r="BI37">
        <v>2.3065249999999948</v>
      </c>
      <c r="BJ37">
        <v>-0.39552812500000867</v>
      </c>
    </row>
    <row r="38" spans="1:62" x14ac:dyDescent="0.35">
      <c r="A38" t="s">
        <v>300</v>
      </c>
      <c r="B38">
        <v>3</v>
      </c>
      <c r="C38" t="s">
        <v>2578</v>
      </c>
      <c r="D38" s="84" t="s">
        <v>231</v>
      </c>
      <c r="E38" t="s">
        <v>48</v>
      </c>
      <c r="F38">
        <v>2.9043749999999591E-2</v>
      </c>
      <c r="G38">
        <v>0.42006250000000023</v>
      </c>
      <c r="H38">
        <v>0.1799093750000047</v>
      </c>
      <c r="I38" s="132">
        <v>0.12780312500000335</v>
      </c>
      <c r="J38">
        <v>0.16695000000000348</v>
      </c>
      <c r="K38">
        <v>0.18308437499999997</v>
      </c>
      <c r="L38">
        <v>0.21896874999999483</v>
      </c>
      <c r="M38">
        <v>0.30869374999999977</v>
      </c>
      <c r="N38">
        <v>-6.6187499999958987E-3</v>
      </c>
      <c r="O38">
        <v>0.13476181030274148</v>
      </c>
      <c r="P38">
        <v>6.0548782348632813E-2</v>
      </c>
      <c r="Q38">
        <v>-9.3746185302734375E-2</v>
      </c>
      <c r="R38">
        <v>9.7637176513742929E-3</v>
      </c>
      <c r="S38">
        <v>0.17969131469726563</v>
      </c>
      <c r="T38">
        <v>0.31444931030273793</v>
      </c>
      <c r="U38">
        <v>0.30859565734862926</v>
      </c>
      <c r="V38">
        <v>0.28125381469726207</v>
      </c>
      <c r="W38">
        <v>0.28124809265136719</v>
      </c>
      <c r="X38">
        <v>9.3019508860736622E-2</v>
      </c>
      <c r="Y38">
        <v>6.841009471287407E-2</v>
      </c>
      <c r="Z38">
        <v>0.16835423397801641</v>
      </c>
      <c r="AA38">
        <v>0.10479510087433529</v>
      </c>
      <c r="AB38">
        <v>0.1392540517336327</v>
      </c>
      <c r="AC38">
        <v>9.5792662184344124E-2</v>
      </c>
      <c r="AD38">
        <v>7.3635563606870846E-2</v>
      </c>
      <c r="AE38">
        <v>7.8233441621669009E-2</v>
      </c>
      <c r="AF38">
        <v>9.7128144354190482E-2</v>
      </c>
      <c r="AG38">
        <v>0.23706875000000238</v>
      </c>
      <c r="AH38">
        <v>0.519578125000002</v>
      </c>
      <c r="AI38">
        <v>0.4113718749999995</v>
      </c>
      <c r="AJ38">
        <v>0.34595625000001462</v>
      </c>
      <c r="AK38">
        <v>0.41426250000000664</v>
      </c>
      <c r="AL38">
        <v>0.43793749999998965</v>
      </c>
      <c r="AM38">
        <v>0.44107187500001643</v>
      </c>
      <c r="AN38">
        <v>0.52819999999998757</v>
      </c>
      <c r="AO38">
        <v>0.25125312499998387</v>
      </c>
      <c r="AP38">
        <v>2.8953125000004132E-2</v>
      </c>
      <c r="AQ38">
        <v>0.25757187500000223</v>
      </c>
      <c r="AR38">
        <v>9.3019508860736622E-2</v>
      </c>
      <c r="AS38">
        <v>0</v>
      </c>
      <c r="AT38">
        <v>0.39101875000000064</v>
      </c>
      <c r="AU38">
        <v>0.15086562500000511</v>
      </c>
      <c r="AV38">
        <v>9.8759375000003757E-2</v>
      </c>
      <c r="AW38">
        <v>0.13790625000000389</v>
      </c>
      <c r="AX38">
        <v>0.15404062500000038</v>
      </c>
      <c r="AY38">
        <v>0.18992499999999524</v>
      </c>
      <c r="AZ38">
        <v>0.27965000000000018</v>
      </c>
      <c r="BA38">
        <v>-3.5662499999995489E-2</v>
      </c>
      <c r="BB38">
        <v>0.20802500000000279</v>
      </c>
      <c r="BC38">
        <v>0.49053437500000241</v>
      </c>
      <c r="BD38">
        <v>0.38232812499999991</v>
      </c>
      <c r="BE38">
        <v>0.31691250000001503</v>
      </c>
      <c r="BF38">
        <v>0.38521875000000705</v>
      </c>
      <c r="BG38">
        <v>0.40889374999999006</v>
      </c>
      <c r="BH38">
        <v>0.41202812500001684</v>
      </c>
      <c r="BI38">
        <v>0.49915624999998798</v>
      </c>
      <c r="BJ38">
        <v>0.22220937499998428</v>
      </c>
    </row>
    <row r="39" spans="1:62" x14ac:dyDescent="0.35">
      <c r="A39" t="s">
        <v>302</v>
      </c>
      <c r="B39">
        <v>3</v>
      </c>
      <c r="C39" t="s">
        <v>124</v>
      </c>
      <c r="D39" s="84" t="s">
        <v>231</v>
      </c>
      <c r="E39" t="s">
        <v>48</v>
      </c>
      <c r="F39">
        <v>5.9468750000046811E-3</v>
      </c>
      <c r="G39">
        <v>2.9646874999995632E-2</v>
      </c>
      <c r="H39">
        <v>1.5496875000007293E-2</v>
      </c>
      <c r="I39" s="132">
        <v>-2.5531249999932726E-3</v>
      </c>
      <c r="J39">
        <v>3.3468750000054115E-3</v>
      </c>
      <c r="K39">
        <v>4.2468749999979849E-3</v>
      </c>
      <c r="L39">
        <v>1.7546875000000739E-2</v>
      </c>
      <c r="M39">
        <v>-5.0531249999963279E-3</v>
      </c>
      <c r="N39">
        <v>2.6968750000033737E-3</v>
      </c>
      <c r="O39">
        <v>-100.00000190734863</v>
      </c>
      <c r="P39">
        <v>-100.00000190734863</v>
      </c>
      <c r="Q39">
        <v>-100.00000190734863</v>
      </c>
      <c r="R39">
        <v>-100.00000190734863</v>
      </c>
      <c r="S39">
        <v>-100.00000190734863</v>
      </c>
      <c r="T39">
        <v>-100.00000190734863</v>
      </c>
      <c r="U39">
        <v>-100.00000190734863</v>
      </c>
      <c r="V39">
        <v>-100.00000190734863</v>
      </c>
      <c r="W39">
        <v>-100.00000190734863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50.008596875000002</v>
      </c>
      <c r="AH39">
        <v>50.002046875000005</v>
      </c>
      <c r="AI39">
        <v>-49.988753125000002</v>
      </c>
      <c r="AJ39">
        <v>50.006046874999996</v>
      </c>
      <c r="AK39">
        <v>-50.002703125000025</v>
      </c>
      <c r="AL39">
        <v>-50.00355312500001</v>
      </c>
      <c r="AM39">
        <v>-50.006453125000007</v>
      </c>
      <c r="AN39">
        <v>-50.004303124999993</v>
      </c>
      <c r="AO39">
        <v>50.006146875000006</v>
      </c>
      <c r="AP39">
        <v>1.2449999999994077E-2</v>
      </c>
      <c r="AQ39">
        <v>2.0299999999991769E-2</v>
      </c>
      <c r="AR39">
        <v>1.2449999999994077E-2</v>
      </c>
      <c r="AS39">
        <v>0</v>
      </c>
      <c r="AT39">
        <v>2.3699999999990951E-2</v>
      </c>
      <c r="AU39">
        <v>9.550000000002612E-3</v>
      </c>
      <c r="AV39">
        <v>-8.4999999999979536E-3</v>
      </c>
      <c r="AW39">
        <v>-2.5999999999992696E-3</v>
      </c>
      <c r="AX39">
        <v>-1.7000000000066962E-3</v>
      </c>
      <c r="AY39">
        <v>1.1599999999996058E-2</v>
      </c>
      <c r="AZ39">
        <v>-1.1000000000001009E-2</v>
      </c>
      <c r="BA39">
        <v>-3.2500000000013074E-3</v>
      </c>
      <c r="BB39">
        <v>50.002650000000003</v>
      </c>
      <c r="BC39">
        <v>-50.001649999999991</v>
      </c>
      <c r="BD39">
        <v>-49.994700000000009</v>
      </c>
      <c r="BE39">
        <v>50.000099999999996</v>
      </c>
      <c r="BF39">
        <v>-50.008650000000031</v>
      </c>
      <c r="BG39">
        <v>-50.009500000000017</v>
      </c>
      <c r="BH39">
        <v>-50.012400000000007</v>
      </c>
      <c r="BI39">
        <v>-50.010249999999999</v>
      </c>
      <c r="BJ39">
        <v>-50.011800000000015</v>
      </c>
    </row>
    <row r="40" spans="1:62" x14ac:dyDescent="0.35">
      <c r="A40" t="s">
        <v>304</v>
      </c>
      <c r="B40">
        <v>3</v>
      </c>
      <c r="C40" t="s">
        <v>124</v>
      </c>
      <c r="D40" s="84" t="s">
        <v>231</v>
      </c>
      <c r="E40" t="s">
        <v>48</v>
      </c>
      <c r="F40">
        <v>-0.11330625000000261</v>
      </c>
      <c r="G40">
        <v>2.1493750000001199E-2</v>
      </c>
      <c r="H40">
        <v>0.18271874999999937</v>
      </c>
      <c r="I40" s="132">
        <v>1.8328125000000028E-2</v>
      </c>
      <c r="J40">
        <v>6.5203125000001805E-2</v>
      </c>
      <c r="K40">
        <v>6.2949999999997175E-2</v>
      </c>
      <c r="L40">
        <v>-6.2228124999998968E-2</v>
      </c>
      <c r="M40">
        <v>-0.1254531250000035</v>
      </c>
      <c r="N40">
        <v>-0.16581562499999869</v>
      </c>
      <c r="O40">
        <v>0.16797256469725852</v>
      </c>
      <c r="P40">
        <v>0.13672256469726918</v>
      </c>
      <c r="Q40">
        <v>-0.13281631469727273</v>
      </c>
      <c r="R40">
        <v>-0.17968940734863992</v>
      </c>
      <c r="S40">
        <v>7.8144073486363652E-3</v>
      </c>
      <c r="T40">
        <v>0.16406249999999289</v>
      </c>
      <c r="U40">
        <v>0.32031440734863637</v>
      </c>
      <c r="V40">
        <v>0.39258003234863281</v>
      </c>
      <c r="W40">
        <v>5.078506469725852E-2</v>
      </c>
      <c r="X40">
        <v>0.14734317959013588</v>
      </c>
      <c r="Y40">
        <v>0.16884906114122966</v>
      </c>
      <c r="Z40">
        <v>0.12369381091141385</v>
      </c>
      <c r="AA40">
        <v>0.16936785397422049</v>
      </c>
      <c r="AB40">
        <v>0.16167763296685234</v>
      </c>
      <c r="AC40">
        <v>0.12727114507510962</v>
      </c>
      <c r="AD40">
        <v>5.9299686896778787E-2</v>
      </c>
      <c r="AE40">
        <v>6.1695264403387469E-2</v>
      </c>
      <c r="AF40">
        <v>0.12263384360977625</v>
      </c>
      <c r="AG40">
        <v>50.013199999999998</v>
      </c>
      <c r="AH40">
        <v>0.27152812499998902</v>
      </c>
      <c r="AI40">
        <v>0.38469374999999806</v>
      </c>
      <c r="AJ40">
        <v>0.40709062500000393</v>
      </c>
      <c r="AK40">
        <v>0.33775000000002109</v>
      </c>
      <c r="AL40">
        <v>0.19216249999999491</v>
      </c>
      <c r="AM40">
        <v>-0.21789062499999901</v>
      </c>
      <c r="AN40">
        <v>-0.33424062499999962</v>
      </c>
      <c r="AO40">
        <v>-0.22525312500000894</v>
      </c>
      <c r="AP40">
        <v>49.974734374999997</v>
      </c>
      <c r="AQ40">
        <v>50.144206249999996</v>
      </c>
      <c r="AR40">
        <v>49.974734374999997</v>
      </c>
      <c r="AS40">
        <v>0</v>
      </c>
      <c r="AT40">
        <v>0.13480000000000381</v>
      </c>
      <c r="AU40">
        <v>0.29602500000000198</v>
      </c>
      <c r="AV40">
        <v>0.13163437500000263</v>
      </c>
      <c r="AW40">
        <v>0.17850937500000441</v>
      </c>
      <c r="AX40">
        <v>0.17625624999999978</v>
      </c>
      <c r="AY40">
        <v>5.1078125000003638E-2</v>
      </c>
      <c r="AZ40">
        <v>-1.214687500000089E-2</v>
      </c>
      <c r="BA40">
        <v>-5.2509374999996083E-2</v>
      </c>
      <c r="BB40">
        <v>50.126506250000013</v>
      </c>
      <c r="BC40">
        <v>0.38483437500000051</v>
      </c>
      <c r="BD40">
        <v>0.49800000000000066</v>
      </c>
      <c r="BE40">
        <v>0.52039687500000653</v>
      </c>
      <c r="BF40">
        <v>0.45105625000001481</v>
      </c>
      <c r="BG40">
        <v>0.30546874999998863</v>
      </c>
      <c r="BH40">
        <v>0.24436250000000825</v>
      </c>
      <c r="BI40">
        <v>-0.22093437499999702</v>
      </c>
      <c r="BJ40">
        <v>0.205649999999995</v>
      </c>
    </row>
    <row r="41" spans="1:62" x14ac:dyDescent="0.35">
      <c r="A41" t="s">
        <v>306</v>
      </c>
      <c r="B41">
        <v>3</v>
      </c>
      <c r="C41" t="s">
        <v>124</v>
      </c>
      <c r="D41" s="84" t="s">
        <v>231</v>
      </c>
      <c r="E41" t="s">
        <v>48</v>
      </c>
      <c r="F41">
        <v>1.7696875000003942E-2</v>
      </c>
      <c r="G41">
        <v>1.4796874999998266E-2</v>
      </c>
      <c r="H41">
        <v>1.0996875000000017E-2</v>
      </c>
      <c r="I41" s="132">
        <v>3.1968750000022084E-3</v>
      </c>
      <c r="J41">
        <v>4.6875000005996981E-5</v>
      </c>
      <c r="K41">
        <v>-4.7531249999988034E-3</v>
      </c>
      <c r="L41">
        <v>1.3696875000004383E-2</v>
      </c>
      <c r="M41">
        <v>3.8968750000023533E-3</v>
      </c>
      <c r="N41">
        <v>-2.4531249999970584E-3</v>
      </c>
      <c r="O41">
        <v>-100.00000190734863</v>
      </c>
      <c r="P41">
        <v>-100.00000190734863</v>
      </c>
      <c r="Q41">
        <v>-100.00000190734863</v>
      </c>
      <c r="R41">
        <v>-100.00000190734863</v>
      </c>
      <c r="S41">
        <v>-100.00000190734863</v>
      </c>
      <c r="T41">
        <v>-100.00000190734863</v>
      </c>
      <c r="U41">
        <v>-100.00000190734863</v>
      </c>
      <c r="V41">
        <v>-100.00000190734863</v>
      </c>
      <c r="W41">
        <v>-100.00000190734863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50.010896875</v>
      </c>
      <c r="AH41">
        <v>50.002946875000006</v>
      </c>
      <c r="AI41">
        <v>50.011646875000004</v>
      </c>
      <c r="AJ41">
        <v>50.004696874999993</v>
      </c>
      <c r="AK41">
        <v>-50.011703124999983</v>
      </c>
      <c r="AL41">
        <v>-50.004103124999986</v>
      </c>
      <c r="AM41">
        <v>49.995896875000007</v>
      </c>
      <c r="AN41">
        <v>-50.006453125000007</v>
      </c>
      <c r="AO41">
        <v>50.009696874999996</v>
      </c>
      <c r="AP41">
        <v>1.5150000000003772E-2</v>
      </c>
      <c r="AQ41">
        <v>2.0150000000001E-2</v>
      </c>
      <c r="AR41">
        <v>1.5150000000003772E-2</v>
      </c>
      <c r="AS41">
        <v>0</v>
      </c>
      <c r="AT41">
        <v>-2.9000000000056758E-3</v>
      </c>
      <c r="AU41">
        <v>-6.700000000003925E-3</v>
      </c>
      <c r="AV41">
        <v>-1.4500000000001734E-2</v>
      </c>
      <c r="AW41">
        <v>-1.7649999999997945E-2</v>
      </c>
      <c r="AX41">
        <v>-2.2450000000002746E-2</v>
      </c>
      <c r="AY41">
        <v>-3.9999999999995595E-3</v>
      </c>
      <c r="AZ41">
        <v>-1.3800000000001589E-2</v>
      </c>
      <c r="BA41">
        <v>-2.0150000000001E-2</v>
      </c>
      <c r="BB41">
        <v>-50.019750000000016</v>
      </c>
      <c r="BC41">
        <v>-50.019000000000013</v>
      </c>
      <c r="BD41">
        <v>-50.010600000000004</v>
      </c>
      <c r="BE41">
        <v>-49.989849999999997</v>
      </c>
      <c r="BF41">
        <v>-50.029399999999988</v>
      </c>
      <c r="BG41">
        <v>-50.021799999999992</v>
      </c>
      <c r="BH41">
        <v>-50.011200000000002</v>
      </c>
      <c r="BI41">
        <v>-50.024150000000006</v>
      </c>
      <c r="BJ41">
        <v>-50.02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F8D2B-11E2-401A-A874-1CBED319BA79}">
  <sheetPr codeName="Sheet5"/>
  <dimension ref="A1:H361"/>
  <sheetViews>
    <sheetView workbookViewId="0">
      <selection activeCell="I5" sqref="I5"/>
    </sheetView>
  </sheetViews>
  <sheetFormatPr defaultRowHeight="14.5" x14ac:dyDescent="0.35"/>
  <sheetData>
    <row r="1" spans="1:8" ht="39.5" thickBot="1" x14ac:dyDescent="0.4">
      <c r="A1" s="85" t="s">
        <v>64</v>
      </c>
      <c r="B1" s="85" t="s">
        <v>159</v>
      </c>
      <c r="C1" s="85" t="s">
        <v>160</v>
      </c>
      <c r="D1" s="85" t="s">
        <v>161</v>
      </c>
      <c r="E1" s="85" t="s">
        <v>162</v>
      </c>
      <c r="F1" s="85" t="s">
        <v>163</v>
      </c>
      <c r="G1" s="85" t="s">
        <v>164</v>
      </c>
      <c r="H1" s="85" t="s">
        <v>165</v>
      </c>
    </row>
    <row r="2" spans="1:8" x14ac:dyDescent="0.35">
      <c r="A2" t="s">
        <v>230</v>
      </c>
      <c r="B2">
        <v>1.3999999999994017E-2</v>
      </c>
      <c r="C2">
        <v>-100</v>
      </c>
      <c r="D2">
        <v>50.001050000000006</v>
      </c>
      <c r="E2">
        <v>0</v>
      </c>
      <c r="F2">
        <v>25</v>
      </c>
      <c r="G2">
        <v>0</v>
      </c>
      <c r="H2">
        <v>-50.003899999999987</v>
      </c>
    </row>
    <row r="3" spans="1:8" x14ac:dyDescent="0.35">
      <c r="A3" t="s">
        <v>230</v>
      </c>
      <c r="B3">
        <v>-2.0350000000002311E-2</v>
      </c>
      <c r="C3">
        <v>-129.78515625</v>
      </c>
      <c r="D3">
        <v>79.783806249999998</v>
      </c>
      <c r="E3">
        <v>11.914125230689638</v>
      </c>
      <c r="F3">
        <v>-20</v>
      </c>
      <c r="G3">
        <v>-3.4349999999996328E-2</v>
      </c>
      <c r="H3">
        <v>79.769806250000002</v>
      </c>
    </row>
    <row r="4" spans="1:8" x14ac:dyDescent="0.35">
      <c r="A4" t="s">
        <v>230</v>
      </c>
      <c r="B4">
        <v>29.790906249999995</v>
      </c>
      <c r="C4">
        <v>-100</v>
      </c>
      <c r="D4">
        <v>79.777606249999991</v>
      </c>
      <c r="E4">
        <v>0</v>
      </c>
      <c r="F4">
        <v>0</v>
      </c>
      <c r="G4">
        <v>29.776906249999989</v>
      </c>
      <c r="H4">
        <v>79.763606249999995</v>
      </c>
    </row>
    <row r="5" spans="1:8" x14ac:dyDescent="0.35">
      <c r="A5" t="s">
        <v>230</v>
      </c>
      <c r="B5">
        <v>8.5468750000039506E-3</v>
      </c>
      <c r="C5">
        <v>-129.78711128234863</v>
      </c>
      <c r="D5">
        <v>79.803056250000012</v>
      </c>
      <c r="E5">
        <v>17.871644430860385</v>
      </c>
      <c r="F5">
        <v>10</v>
      </c>
      <c r="G5">
        <v>-5.4531249999900666E-3</v>
      </c>
      <c r="H5">
        <v>79.789056250000002</v>
      </c>
    </row>
    <row r="6" spans="1:8" x14ac:dyDescent="0.35">
      <c r="A6" t="s">
        <v>230</v>
      </c>
      <c r="B6">
        <v>-1.3953124999996902E-2</v>
      </c>
      <c r="C6">
        <v>-159.57226753234863</v>
      </c>
      <c r="D6">
        <v>109.57606250000001</v>
      </c>
      <c r="E6">
        <v>58.048498888250798</v>
      </c>
      <c r="F6">
        <v>25</v>
      </c>
      <c r="G6">
        <v>-2.7953124999990919E-2</v>
      </c>
      <c r="H6">
        <v>109.5620625</v>
      </c>
    </row>
    <row r="7" spans="1:8" x14ac:dyDescent="0.35">
      <c r="A7" t="s">
        <v>230</v>
      </c>
      <c r="B7">
        <v>1.0496875000001182E-2</v>
      </c>
      <c r="C7">
        <v>-100.00000190734863</v>
      </c>
      <c r="D7">
        <v>-49.996753124999998</v>
      </c>
      <c r="E7">
        <v>0</v>
      </c>
      <c r="F7">
        <v>50</v>
      </c>
      <c r="G7">
        <v>-3.5031249999928349E-3</v>
      </c>
      <c r="H7">
        <v>-50.010753124999994</v>
      </c>
    </row>
    <row r="8" spans="1:8" x14ac:dyDescent="0.35">
      <c r="A8" t="s">
        <v>230</v>
      </c>
      <c r="B8">
        <v>3.4468750000016257E-3</v>
      </c>
      <c r="C8">
        <v>-100.00000190734863</v>
      </c>
      <c r="D8">
        <v>-50.020553125000006</v>
      </c>
      <c r="E8">
        <v>0</v>
      </c>
      <c r="F8">
        <v>70</v>
      </c>
      <c r="G8">
        <v>-1.0553124999992392E-2</v>
      </c>
      <c r="H8">
        <v>-50.034553124999995</v>
      </c>
    </row>
    <row r="9" spans="1:8" x14ac:dyDescent="0.35">
      <c r="A9" t="s">
        <v>230</v>
      </c>
      <c r="B9">
        <v>8.6468750000001648E-3</v>
      </c>
      <c r="C9">
        <v>-100.00000190734863</v>
      </c>
      <c r="D9">
        <v>50.010996875000004</v>
      </c>
      <c r="E9">
        <v>0</v>
      </c>
      <c r="F9">
        <v>85</v>
      </c>
      <c r="G9">
        <v>-5.3531249999938524E-3</v>
      </c>
      <c r="H9">
        <v>-50.004253125000005</v>
      </c>
    </row>
    <row r="10" spans="1:8" x14ac:dyDescent="0.35">
      <c r="A10" t="s">
        <v>230</v>
      </c>
      <c r="B10">
        <v>-1.3000000000040757E-3</v>
      </c>
      <c r="C10">
        <v>-100</v>
      </c>
      <c r="D10">
        <v>49.997000000000007</v>
      </c>
      <c r="E10">
        <v>0</v>
      </c>
      <c r="F10">
        <v>25</v>
      </c>
      <c r="G10">
        <v>-1.5299999999998093E-2</v>
      </c>
      <c r="H10">
        <v>-50.009100000000004</v>
      </c>
    </row>
    <row r="11" spans="1:8" x14ac:dyDescent="0.35">
      <c r="A11" t="s">
        <v>233</v>
      </c>
      <c r="B11">
        <v>0.24366875000000121</v>
      </c>
      <c r="C11">
        <v>0.10546493530274148</v>
      </c>
      <c r="D11">
        <v>0.43848125000000238</v>
      </c>
      <c r="E11">
        <v>0.14870714733837609</v>
      </c>
      <c r="F11">
        <v>25</v>
      </c>
      <c r="G11">
        <v>0</v>
      </c>
      <c r="H11">
        <v>0.19481250000000117</v>
      </c>
    </row>
    <row r="12" spans="1:8" x14ac:dyDescent="0.35">
      <c r="A12" t="s">
        <v>233</v>
      </c>
      <c r="B12">
        <v>0.72620937499999094</v>
      </c>
      <c r="C12">
        <v>-0.41796874999999289</v>
      </c>
      <c r="D12">
        <v>1.1637187500000001</v>
      </c>
      <c r="E12">
        <v>0.16730382709035041</v>
      </c>
      <c r="F12">
        <v>-20</v>
      </c>
      <c r="G12">
        <v>0.48254062499998973</v>
      </c>
      <c r="H12">
        <v>0.92004999999999892</v>
      </c>
    </row>
    <row r="13" spans="1:8" x14ac:dyDescent="0.35">
      <c r="A13" t="s">
        <v>233</v>
      </c>
      <c r="B13">
        <v>0.41305624999999679</v>
      </c>
      <c r="C13">
        <v>1.3669967651370742E-2</v>
      </c>
      <c r="D13">
        <v>0.65926249999999964</v>
      </c>
      <c r="E13">
        <v>0.13264375358541081</v>
      </c>
      <c r="F13">
        <v>0</v>
      </c>
      <c r="G13">
        <v>0.16938749999999558</v>
      </c>
      <c r="H13">
        <v>0.41559374999999843</v>
      </c>
    </row>
    <row r="14" spans="1:8" x14ac:dyDescent="0.35">
      <c r="A14" t="s">
        <v>233</v>
      </c>
      <c r="B14">
        <v>0.35355000000000025</v>
      </c>
      <c r="C14">
        <v>-8.7894439697269178E-2</v>
      </c>
      <c r="D14">
        <v>0.56752500000000206</v>
      </c>
      <c r="E14">
        <v>0.11130874655497446</v>
      </c>
      <c r="F14">
        <v>10</v>
      </c>
      <c r="G14">
        <v>0.10988124999999904</v>
      </c>
      <c r="H14">
        <v>0.32385625000000084</v>
      </c>
    </row>
    <row r="15" spans="1:8" x14ac:dyDescent="0.35">
      <c r="A15" t="s">
        <v>233</v>
      </c>
      <c r="B15">
        <v>0.22924062500000453</v>
      </c>
      <c r="C15">
        <v>-1.1718750000007105E-2</v>
      </c>
      <c r="D15">
        <v>0.44482187499999881</v>
      </c>
      <c r="E15">
        <v>0.13304910444535523</v>
      </c>
      <c r="F15">
        <v>25</v>
      </c>
      <c r="G15">
        <v>-1.4428124999996683E-2</v>
      </c>
      <c r="H15">
        <v>0.2011531249999976</v>
      </c>
    </row>
    <row r="16" spans="1:8" x14ac:dyDescent="0.35">
      <c r="A16" t="s">
        <v>233</v>
      </c>
      <c r="B16">
        <v>0.36425937499999783</v>
      </c>
      <c r="C16">
        <v>0.20312881469726207</v>
      </c>
      <c r="D16">
        <v>0.51571875000000489</v>
      </c>
      <c r="E16">
        <v>8.1918821741284731E-2</v>
      </c>
      <c r="F16">
        <v>50</v>
      </c>
      <c r="G16">
        <v>0.12059062499999662</v>
      </c>
      <c r="H16">
        <v>0.27205000000000368</v>
      </c>
    </row>
    <row r="17" spans="1:8" x14ac:dyDescent="0.35">
      <c r="A17" t="s">
        <v>233</v>
      </c>
      <c r="B17">
        <v>0.41912187499999476</v>
      </c>
      <c r="C17">
        <v>0.23437309265137429</v>
      </c>
      <c r="D17">
        <v>0.57666562499999685</v>
      </c>
      <c r="E17">
        <v>0.17077822025363787</v>
      </c>
      <c r="F17">
        <v>70</v>
      </c>
      <c r="G17">
        <v>0.17545312499999355</v>
      </c>
      <c r="H17">
        <v>0.33299687499999564</v>
      </c>
    </row>
    <row r="18" spans="1:8" x14ac:dyDescent="0.35">
      <c r="A18" t="s">
        <v>233</v>
      </c>
      <c r="B18">
        <v>0.46488124999999769</v>
      </c>
      <c r="C18">
        <v>0.24413681030273082</v>
      </c>
      <c r="D18">
        <v>0.66575000000000273</v>
      </c>
      <c r="E18">
        <v>7.1120295207176554E-2</v>
      </c>
      <c r="F18">
        <v>85</v>
      </c>
      <c r="G18">
        <v>0.22121249999999648</v>
      </c>
      <c r="H18">
        <v>0.42208125000000152</v>
      </c>
    </row>
    <row r="19" spans="1:8" x14ac:dyDescent="0.35">
      <c r="A19" t="s">
        <v>233</v>
      </c>
      <c r="B19">
        <v>0.17388125000000088</v>
      </c>
      <c r="C19">
        <v>-0.86914443969726918</v>
      </c>
      <c r="D19">
        <v>1.297887499999999</v>
      </c>
      <c r="E19">
        <v>0.56661068230171363</v>
      </c>
      <c r="F19">
        <v>25</v>
      </c>
      <c r="G19">
        <v>-6.9787500000000335E-2</v>
      </c>
      <c r="H19">
        <v>1.0542187499999978</v>
      </c>
    </row>
    <row r="20" spans="1:8" x14ac:dyDescent="0.35">
      <c r="A20" t="s">
        <v>235</v>
      </c>
      <c r="B20">
        <v>0.29054687500000398</v>
      </c>
      <c r="C20">
        <v>6.2499999999996447E-2</v>
      </c>
      <c r="D20">
        <v>0.40534375000000011</v>
      </c>
      <c r="E20">
        <v>0.22217721804183463</v>
      </c>
      <c r="F20">
        <v>25</v>
      </c>
      <c r="G20">
        <v>0</v>
      </c>
      <c r="H20">
        <v>-0.30847500000000583</v>
      </c>
    </row>
    <row r="21" spans="1:8" x14ac:dyDescent="0.35">
      <c r="A21" t="s">
        <v>235</v>
      </c>
      <c r="B21">
        <v>0.58683749999999257</v>
      </c>
      <c r="C21">
        <v>4.2972564697265625E-2</v>
      </c>
      <c r="D21">
        <v>0.6770406249999894</v>
      </c>
      <c r="E21">
        <v>5.1455593399438726E-2</v>
      </c>
      <c r="F21">
        <v>-20</v>
      </c>
      <c r="G21">
        <v>0.29629062499998859</v>
      </c>
      <c r="H21">
        <v>0.38649374999998543</v>
      </c>
    </row>
    <row r="22" spans="1:8" x14ac:dyDescent="0.35">
      <c r="A22" t="s">
        <v>235</v>
      </c>
      <c r="B22">
        <v>0.48126250000000148</v>
      </c>
      <c r="C22">
        <v>0.12500190734863637</v>
      </c>
      <c r="D22">
        <v>0.65671874999999602</v>
      </c>
      <c r="E22">
        <v>6.0227502382268483E-2</v>
      </c>
      <c r="F22">
        <v>0</v>
      </c>
      <c r="G22">
        <v>0.1907156249999975</v>
      </c>
      <c r="H22">
        <v>0.36617187499999204</v>
      </c>
    </row>
    <row r="23" spans="1:8" x14ac:dyDescent="0.35">
      <c r="A23" t="s">
        <v>235</v>
      </c>
      <c r="B23">
        <v>0.44599999999999973</v>
      </c>
      <c r="C23">
        <v>6.0544967651363635E-2</v>
      </c>
      <c r="D23">
        <v>0.59381874999999695</v>
      </c>
      <c r="E23">
        <v>9.1812531909023498E-2</v>
      </c>
      <c r="F23">
        <v>10</v>
      </c>
      <c r="G23">
        <v>0.15545312499999575</v>
      </c>
      <c r="H23">
        <v>0.30327187499999297</v>
      </c>
    </row>
    <row r="24" spans="1:8" x14ac:dyDescent="0.35">
      <c r="A24" t="s">
        <v>235</v>
      </c>
      <c r="B24">
        <v>0.28968749999999766</v>
      </c>
      <c r="C24">
        <v>7.4218750000003553E-2</v>
      </c>
      <c r="D24">
        <v>0.48805937500000951</v>
      </c>
      <c r="E24">
        <v>0.10144596848386199</v>
      </c>
      <c r="F24">
        <v>25</v>
      </c>
      <c r="G24">
        <v>-8.5937500000632383E-4</v>
      </c>
      <c r="H24">
        <v>0.19751250000000553</v>
      </c>
    </row>
    <row r="25" spans="1:8" x14ac:dyDescent="0.35">
      <c r="A25" t="s">
        <v>235</v>
      </c>
      <c r="B25">
        <v>0.25383750000000482</v>
      </c>
      <c r="C25">
        <v>0.12500381469726207</v>
      </c>
      <c r="D25">
        <v>0.48834375000000207</v>
      </c>
      <c r="E25">
        <v>0.15658016172863221</v>
      </c>
      <c r="F25">
        <v>50</v>
      </c>
      <c r="G25">
        <v>-3.6709374999999156E-2</v>
      </c>
      <c r="H25">
        <v>-0.20225000000000382</v>
      </c>
    </row>
    <row r="26" spans="1:8" x14ac:dyDescent="0.35">
      <c r="A26" t="s">
        <v>235</v>
      </c>
      <c r="B26">
        <v>0.21791249999999707</v>
      </c>
      <c r="C26">
        <v>0.13866806030273793</v>
      </c>
      <c r="D26">
        <v>0.4699499999999901</v>
      </c>
      <c r="E26">
        <v>0.14538329319417898</v>
      </c>
      <c r="F26">
        <v>70</v>
      </c>
      <c r="G26">
        <v>-7.2634375000006912E-2</v>
      </c>
      <c r="H26">
        <v>0.17940312499998612</v>
      </c>
    </row>
    <row r="27" spans="1:8" x14ac:dyDescent="0.35">
      <c r="A27" t="s">
        <v>235</v>
      </c>
      <c r="B27">
        <v>0.29801562500000323</v>
      </c>
      <c r="C27">
        <v>0.30859184265136008</v>
      </c>
      <c r="D27">
        <v>0.59984999999999289</v>
      </c>
      <c r="E27">
        <v>7.9987837045081278E-2</v>
      </c>
      <c r="F27">
        <v>85</v>
      </c>
      <c r="G27">
        <v>7.4687499999992468E-3</v>
      </c>
      <c r="H27">
        <v>0.30930312499998891</v>
      </c>
    </row>
    <row r="28" spans="1:8" x14ac:dyDescent="0.35">
      <c r="A28" t="s">
        <v>235</v>
      </c>
      <c r="B28">
        <v>0.1824468750000019</v>
      </c>
      <c r="C28">
        <v>0.12304878234862926</v>
      </c>
      <c r="D28">
        <v>0.39364687500000883</v>
      </c>
      <c r="E28">
        <v>0.1104889200969783</v>
      </c>
      <c r="F28">
        <v>25</v>
      </c>
      <c r="G28">
        <v>-0.10810000000000208</v>
      </c>
      <c r="H28">
        <v>-0.24259687500000293</v>
      </c>
    </row>
    <row r="29" spans="1:8" x14ac:dyDescent="0.35">
      <c r="A29" t="s">
        <v>237</v>
      </c>
      <c r="B29">
        <v>3.4487499999995563E-2</v>
      </c>
      <c r="C29">
        <v>0.39843368530274148</v>
      </c>
      <c r="D29">
        <v>0.41373437500000776</v>
      </c>
      <c r="E29">
        <v>0.11957806917622937</v>
      </c>
      <c r="F29">
        <v>25</v>
      </c>
      <c r="G29">
        <v>0</v>
      </c>
      <c r="H29">
        <v>0.37924687500002108</v>
      </c>
    </row>
    <row r="30" spans="1:8" x14ac:dyDescent="0.35">
      <c r="A30" t="s">
        <v>237</v>
      </c>
      <c r="B30">
        <v>0.42987812499999833</v>
      </c>
      <c r="C30">
        <v>0.66210746765136719</v>
      </c>
      <c r="D30">
        <v>0.91021562499998154</v>
      </c>
      <c r="E30">
        <v>9.5006452066872527E-2</v>
      </c>
      <c r="F30">
        <v>-20</v>
      </c>
      <c r="G30">
        <v>0.39539062500000277</v>
      </c>
      <c r="H30">
        <v>0.8757281249999771</v>
      </c>
    </row>
    <row r="31" spans="1:8" x14ac:dyDescent="0.35">
      <c r="A31" t="s">
        <v>237</v>
      </c>
      <c r="B31">
        <v>0.33175937500000252</v>
      </c>
      <c r="C31">
        <v>0.60742568969725852</v>
      </c>
      <c r="D31">
        <v>0.80007187499999688</v>
      </c>
      <c r="E31">
        <v>0.11273753635367534</v>
      </c>
      <c r="F31">
        <v>0</v>
      </c>
      <c r="G31">
        <v>0.29727187500000696</v>
      </c>
      <c r="H31">
        <v>0.7655843750000102</v>
      </c>
    </row>
    <row r="32" spans="1:8" x14ac:dyDescent="0.35">
      <c r="A32" t="s">
        <v>237</v>
      </c>
      <c r="B32">
        <v>0.23361249999999778</v>
      </c>
      <c r="C32">
        <v>0.44336318969726563</v>
      </c>
      <c r="D32">
        <v>0.53172499999998735</v>
      </c>
      <c r="E32">
        <v>0.10299216250583497</v>
      </c>
      <c r="F32">
        <v>10</v>
      </c>
      <c r="G32">
        <v>0.19912500000000222</v>
      </c>
      <c r="H32">
        <v>0.4972374999999829</v>
      </c>
    </row>
    <row r="33" spans="1:8" x14ac:dyDescent="0.35">
      <c r="A33" t="s">
        <v>237</v>
      </c>
      <c r="B33">
        <v>6.8225000000001756E-2</v>
      </c>
      <c r="C33">
        <v>0.33398056030273793</v>
      </c>
      <c r="D33">
        <v>0.42563437500000134</v>
      </c>
      <c r="E33">
        <v>0.11464837163496001</v>
      </c>
      <c r="F33">
        <v>25</v>
      </c>
      <c r="G33">
        <v>3.3737500000006193E-2</v>
      </c>
      <c r="H33">
        <v>0.39114687500001466</v>
      </c>
    </row>
    <row r="34" spans="1:8" x14ac:dyDescent="0.35">
      <c r="A34" t="s">
        <v>237</v>
      </c>
      <c r="B34">
        <v>6.8246874999999818E-2</v>
      </c>
      <c r="C34">
        <v>0.20117568969727273</v>
      </c>
      <c r="D34">
        <v>0.29355937500000095</v>
      </c>
      <c r="E34">
        <v>0.16413925771557203</v>
      </c>
      <c r="F34">
        <v>50</v>
      </c>
      <c r="G34">
        <v>3.3759375000004255E-2</v>
      </c>
      <c r="H34">
        <v>0.25907187500001427</v>
      </c>
    </row>
    <row r="35" spans="1:8" x14ac:dyDescent="0.35">
      <c r="A35" t="s">
        <v>237</v>
      </c>
      <c r="B35">
        <v>-3.8700000000000401E-2</v>
      </c>
      <c r="C35">
        <v>-3.7107467651367188E-2</v>
      </c>
      <c r="D35">
        <v>0.14753437500001354</v>
      </c>
      <c r="E35">
        <v>0.13016949636184272</v>
      </c>
      <c r="F35">
        <v>70</v>
      </c>
      <c r="G35">
        <v>-7.3187499999995964E-2</v>
      </c>
      <c r="H35">
        <v>-0.16463749999999333</v>
      </c>
    </row>
    <row r="36" spans="1:8" x14ac:dyDescent="0.35">
      <c r="A36" t="s">
        <v>237</v>
      </c>
      <c r="B36">
        <v>-1.1275000000008362E-2</v>
      </c>
      <c r="C36">
        <v>-9.7618103027308223E-3</v>
      </c>
      <c r="D36">
        <v>0.13539999999999885</v>
      </c>
      <c r="E36">
        <v>9.0520266518576697E-2</v>
      </c>
      <c r="F36">
        <v>85</v>
      </c>
      <c r="G36">
        <v>-4.5762500000003925E-2</v>
      </c>
      <c r="H36">
        <v>0.10091250000000329</v>
      </c>
    </row>
    <row r="37" spans="1:8" x14ac:dyDescent="0.35">
      <c r="A37" t="s">
        <v>237</v>
      </c>
      <c r="B37">
        <v>-3.3746875000000287E-2</v>
      </c>
      <c r="C37">
        <v>0.56054496765137074</v>
      </c>
      <c r="D37">
        <v>-0.40007187500000096</v>
      </c>
      <c r="E37">
        <v>0.18474841519553031</v>
      </c>
      <c r="F37">
        <v>25</v>
      </c>
      <c r="G37">
        <v>-6.823437499999585E-2</v>
      </c>
      <c r="H37">
        <v>-0.43455937499999653</v>
      </c>
    </row>
    <row r="38" spans="1:8" x14ac:dyDescent="0.35">
      <c r="A38" t="s">
        <v>239</v>
      </c>
      <c r="B38">
        <v>0.3413281250000022</v>
      </c>
      <c r="C38">
        <v>0.26172065734863637</v>
      </c>
      <c r="D38">
        <v>0.64235312500001029</v>
      </c>
      <c r="E38">
        <v>0.10383837236465077</v>
      </c>
      <c r="F38">
        <v>25</v>
      </c>
      <c r="G38">
        <v>0</v>
      </c>
      <c r="H38">
        <v>0.30102499999999921</v>
      </c>
    </row>
    <row r="39" spans="1:8" x14ac:dyDescent="0.35">
      <c r="A39" t="s">
        <v>239</v>
      </c>
      <c r="B39">
        <v>0.82254687499999868</v>
      </c>
      <c r="C39">
        <v>-0.29687118530272727</v>
      </c>
      <c r="D39">
        <v>1.3626843749999984</v>
      </c>
      <c r="E39">
        <v>0.23411847507899705</v>
      </c>
      <c r="F39">
        <v>-20</v>
      </c>
      <c r="G39">
        <v>0.48121874999999648</v>
      </c>
      <c r="H39">
        <v>1.0213562499999962</v>
      </c>
    </row>
    <row r="40" spans="1:8" x14ac:dyDescent="0.35">
      <c r="A40" t="s">
        <v>239</v>
      </c>
      <c r="B40">
        <v>0.39204687499999835</v>
      </c>
      <c r="C40">
        <v>0.18555068969726918</v>
      </c>
      <c r="D40">
        <v>0.72622812500000578</v>
      </c>
      <c r="E40">
        <v>0.14442494082174573</v>
      </c>
      <c r="F40">
        <v>0</v>
      </c>
      <c r="G40">
        <v>5.0718749999996149E-2</v>
      </c>
      <c r="H40">
        <v>0.38490000000001245</v>
      </c>
    </row>
    <row r="41" spans="1:8" x14ac:dyDescent="0.35">
      <c r="A41" t="s">
        <v>239</v>
      </c>
      <c r="B41">
        <v>0.22154687499999604</v>
      </c>
      <c r="C41">
        <v>0.22265434265136716</v>
      </c>
      <c r="D41">
        <v>0.54694062499997642</v>
      </c>
      <c r="E41">
        <v>0.12341233598085921</v>
      </c>
      <c r="F41">
        <v>10</v>
      </c>
      <c r="G41">
        <v>-0.11978125000000617</v>
      </c>
      <c r="H41">
        <v>0.20561249999996534</v>
      </c>
    </row>
    <row r="42" spans="1:8" x14ac:dyDescent="0.35">
      <c r="A42" t="s">
        <v>239</v>
      </c>
      <c r="B42">
        <v>0.2180499999999963</v>
      </c>
      <c r="C42">
        <v>0.18945503234863992</v>
      </c>
      <c r="D42">
        <v>0.66202499999999276</v>
      </c>
      <c r="E42">
        <v>0.20257927991214505</v>
      </c>
      <c r="F42">
        <v>25</v>
      </c>
      <c r="G42">
        <v>-0.1232781250000059</v>
      </c>
      <c r="H42">
        <v>0.32069687499999944</v>
      </c>
    </row>
    <row r="43" spans="1:8" x14ac:dyDescent="0.35">
      <c r="A43" t="s">
        <v>239</v>
      </c>
      <c r="B43">
        <v>3.3892124999999935</v>
      </c>
      <c r="C43">
        <v>0.41406440734863992</v>
      </c>
      <c r="D43">
        <v>3.5795718750000027</v>
      </c>
      <c r="E43">
        <v>0.11733648017554719</v>
      </c>
      <c r="F43">
        <v>50</v>
      </c>
      <c r="G43">
        <v>3.0478843749999918</v>
      </c>
      <c r="H43">
        <v>3.2382437499999916</v>
      </c>
    </row>
    <row r="44" spans="1:8" x14ac:dyDescent="0.35">
      <c r="A44" t="s">
        <v>239</v>
      </c>
      <c r="B44">
        <v>13.684549999999998</v>
      </c>
      <c r="C44">
        <v>-7.8123092651374293E-2</v>
      </c>
      <c r="D44">
        <v>13.684549999999998</v>
      </c>
      <c r="E44">
        <v>0.26705006202925929</v>
      </c>
      <c r="F44">
        <v>70</v>
      </c>
      <c r="G44">
        <v>13.343221874999998</v>
      </c>
      <c r="H44">
        <v>13.343221874999998</v>
      </c>
    </row>
    <row r="45" spans="1:8" x14ac:dyDescent="0.35">
      <c r="A45" t="s">
        <v>239</v>
      </c>
      <c r="B45">
        <v>23.347749999999998</v>
      </c>
      <c r="C45">
        <v>-9.3144493103027415</v>
      </c>
      <c r="D45">
        <v>23.347749999999998</v>
      </c>
      <c r="E45">
        <v>3.6104780137046251</v>
      </c>
      <c r="F45">
        <v>85</v>
      </c>
      <c r="G45">
        <v>23.006421875000004</v>
      </c>
      <c r="H45">
        <v>23.006421875000004</v>
      </c>
    </row>
    <row r="46" spans="1:8" x14ac:dyDescent="0.35">
      <c r="A46" t="s">
        <v>239</v>
      </c>
      <c r="B46">
        <v>0.10382187499999418</v>
      </c>
      <c r="C46">
        <v>0.27343368530273082</v>
      </c>
      <c r="D46">
        <v>0.41441562499999307</v>
      </c>
      <c r="E46">
        <v>0.16178953178296318</v>
      </c>
      <c r="F46">
        <v>25</v>
      </c>
      <c r="G46">
        <v>-0.23750625000000802</v>
      </c>
      <c r="H46">
        <v>-0.43833125000000805</v>
      </c>
    </row>
    <row r="47" spans="1:8" x14ac:dyDescent="0.35">
      <c r="A47" t="s">
        <v>241</v>
      </c>
      <c r="B47">
        <v>0.18061874999999894</v>
      </c>
      <c r="C47">
        <v>0.31054878234863637</v>
      </c>
      <c r="D47">
        <v>0.43112500000001219</v>
      </c>
      <c r="E47">
        <v>7.6778456171906484E-2</v>
      </c>
      <c r="F47">
        <v>25</v>
      </c>
      <c r="G47">
        <v>0</v>
      </c>
      <c r="H47">
        <v>0.25050625000000437</v>
      </c>
    </row>
    <row r="48" spans="1:8" x14ac:dyDescent="0.35">
      <c r="A48" t="s">
        <v>241</v>
      </c>
      <c r="B48">
        <v>0.22557500000000452</v>
      </c>
      <c r="C48">
        <v>0.21288681030274145</v>
      </c>
      <c r="D48">
        <v>0.63375625000000824</v>
      </c>
      <c r="E48">
        <v>0.20285544144954315</v>
      </c>
      <c r="F48">
        <v>-20</v>
      </c>
      <c r="G48">
        <v>4.4956250000005582E-2</v>
      </c>
      <c r="H48">
        <v>0.45313750000001818</v>
      </c>
    </row>
    <row r="49" spans="1:8" x14ac:dyDescent="0.35">
      <c r="A49" t="s">
        <v>241</v>
      </c>
      <c r="B49">
        <v>0.44653437500000059</v>
      </c>
      <c r="C49">
        <v>0.14062690734863992</v>
      </c>
      <c r="D49">
        <v>0.59310312499999185</v>
      </c>
      <c r="E49">
        <v>0.10972646688815145</v>
      </c>
      <c r="F49">
        <v>0</v>
      </c>
      <c r="G49">
        <v>0.26591562500000165</v>
      </c>
      <c r="H49">
        <v>0.41248437499998403</v>
      </c>
    </row>
    <row r="50" spans="1:8" x14ac:dyDescent="0.35">
      <c r="A50" t="s">
        <v>241</v>
      </c>
      <c r="B50">
        <v>0.35240625000000136</v>
      </c>
      <c r="C50">
        <v>4.101943969725852E-2</v>
      </c>
      <c r="D50">
        <v>0.46116875000000945</v>
      </c>
      <c r="E50">
        <v>6.9511544376510415E-2</v>
      </c>
      <c r="F50">
        <v>10</v>
      </c>
      <c r="G50">
        <v>0.17178750000000242</v>
      </c>
      <c r="H50">
        <v>0.28055000000000163</v>
      </c>
    </row>
    <row r="51" spans="1:8" x14ac:dyDescent="0.35">
      <c r="A51" t="s">
        <v>241</v>
      </c>
      <c r="B51">
        <v>0.26696249999999644</v>
      </c>
      <c r="C51">
        <v>0.10937118530273793</v>
      </c>
      <c r="D51">
        <v>0.50598749999998915</v>
      </c>
      <c r="E51">
        <v>0.10618844858502284</v>
      </c>
      <c r="F51">
        <v>25</v>
      </c>
      <c r="G51">
        <v>8.6343749999997499E-2</v>
      </c>
      <c r="H51">
        <v>0.3253687499999991</v>
      </c>
    </row>
    <row r="52" spans="1:8" x14ac:dyDescent="0.35">
      <c r="A52" t="s">
        <v>241</v>
      </c>
      <c r="B52">
        <v>0.30443437499999781</v>
      </c>
      <c r="C52">
        <v>0.12109184265137074</v>
      </c>
      <c r="D52">
        <v>0.43053437499999347</v>
      </c>
      <c r="E52">
        <v>0.12641555970409613</v>
      </c>
      <c r="F52">
        <v>50</v>
      </c>
      <c r="G52">
        <v>0.12381562499999887</v>
      </c>
      <c r="H52">
        <v>0.24991562499998565</v>
      </c>
    </row>
    <row r="53" spans="1:8" x14ac:dyDescent="0.35">
      <c r="A53" t="s">
        <v>241</v>
      </c>
      <c r="B53">
        <v>0.30643750000000303</v>
      </c>
      <c r="C53">
        <v>8.9839935302737928E-2</v>
      </c>
      <c r="D53">
        <v>0.47515937500000049</v>
      </c>
      <c r="E53">
        <v>7.7803929885424949E-2</v>
      </c>
      <c r="F53">
        <v>70</v>
      </c>
      <c r="G53">
        <v>0.12581875000000409</v>
      </c>
      <c r="H53">
        <v>0.29454062500001044</v>
      </c>
    </row>
    <row r="54" spans="1:8" x14ac:dyDescent="0.35">
      <c r="A54" t="s">
        <v>241</v>
      </c>
      <c r="B54">
        <v>0.34469062500000369</v>
      </c>
      <c r="C54">
        <v>0.27539062500000711</v>
      </c>
      <c r="D54">
        <v>0.70042499999999563</v>
      </c>
      <c r="E54">
        <v>0.13273835536725676</v>
      </c>
      <c r="F54">
        <v>85</v>
      </c>
      <c r="G54">
        <v>0.16407187500000475</v>
      </c>
      <c r="H54">
        <v>0.51980624999998781</v>
      </c>
    </row>
    <row r="55" spans="1:8" x14ac:dyDescent="0.35">
      <c r="A55" t="s">
        <v>241</v>
      </c>
      <c r="B55">
        <v>0.12365625000000158</v>
      </c>
      <c r="C55">
        <v>0.25000381469727273</v>
      </c>
      <c r="D55">
        <v>0.26137812500000024</v>
      </c>
      <c r="E55">
        <v>0.11827858619331889</v>
      </c>
      <c r="F55">
        <v>25</v>
      </c>
      <c r="G55">
        <v>-5.6962499999997362E-2</v>
      </c>
      <c r="H55">
        <v>-0.29802812500000275</v>
      </c>
    </row>
    <row r="56" spans="1:8" x14ac:dyDescent="0.35">
      <c r="A56" t="s">
        <v>243</v>
      </c>
      <c r="B56">
        <v>0.1932906250000066</v>
      </c>
      <c r="C56">
        <v>0.23046493530273438</v>
      </c>
      <c r="D56">
        <v>0.34755624999998957</v>
      </c>
      <c r="E56">
        <v>3.9078984756759638E-2</v>
      </c>
      <c r="F56">
        <v>25</v>
      </c>
      <c r="G56">
        <v>0</v>
      </c>
      <c r="H56">
        <v>0.15426562499998298</v>
      </c>
    </row>
    <row r="57" spans="1:8" x14ac:dyDescent="0.35">
      <c r="A57" t="s">
        <v>243</v>
      </c>
      <c r="B57">
        <v>0.3669656249999953</v>
      </c>
      <c r="C57">
        <v>0.21680068969725852</v>
      </c>
      <c r="D57">
        <v>0.59634687500000894</v>
      </c>
      <c r="E57">
        <v>0.10804834507869288</v>
      </c>
      <c r="F57">
        <v>-20</v>
      </c>
      <c r="G57">
        <v>0.1736749999999887</v>
      </c>
      <c r="H57">
        <v>0.40305625000000234</v>
      </c>
    </row>
    <row r="58" spans="1:8" x14ac:dyDescent="0.35">
      <c r="A58" t="s">
        <v>243</v>
      </c>
      <c r="B58">
        <v>0.37668124999999719</v>
      </c>
      <c r="C58">
        <v>0.10742187500000001</v>
      </c>
      <c r="D58">
        <v>0.51994062500000382</v>
      </c>
      <c r="E58">
        <v>0.12951132577063262</v>
      </c>
      <c r="F58">
        <v>0</v>
      </c>
      <c r="G58">
        <v>0.18339062499999059</v>
      </c>
      <c r="H58">
        <v>0.32664999999999722</v>
      </c>
    </row>
    <row r="59" spans="1:8" x14ac:dyDescent="0.35">
      <c r="A59" t="s">
        <v>243</v>
      </c>
      <c r="B59">
        <v>0.28224687500000734</v>
      </c>
      <c r="C59">
        <v>1.7576217651367188E-2</v>
      </c>
      <c r="D59">
        <v>0.44945937499999644</v>
      </c>
      <c r="E59">
        <v>0.13657534033502117</v>
      </c>
      <c r="F59">
        <v>10</v>
      </c>
      <c r="G59">
        <v>8.8956250000000736E-2</v>
      </c>
      <c r="H59">
        <v>0.25616874999998984</v>
      </c>
    </row>
    <row r="60" spans="1:8" x14ac:dyDescent="0.35">
      <c r="A60" t="s">
        <v>243</v>
      </c>
      <c r="B60">
        <v>0.16939687499999856</v>
      </c>
      <c r="C60">
        <v>0.14648056030273082</v>
      </c>
      <c r="D60">
        <v>0.40248749999999944</v>
      </c>
      <c r="E60">
        <v>9.7065046112856379E-2</v>
      </c>
      <c r="F60">
        <v>25</v>
      </c>
      <c r="G60">
        <v>-2.3893750000008041E-2</v>
      </c>
      <c r="H60">
        <v>0.20919687499999284</v>
      </c>
    </row>
    <row r="61" spans="1:8" x14ac:dyDescent="0.35">
      <c r="A61" t="s">
        <v>243</v>
      </c>
      <c r="B61">
        <v>0.13241562500000192</v>
      </c>
      <c r="C61">
        <v>8.3984375000003553E-2</v>
      </c>
      <c r="D61">
        <v>0.24934062499999854</v>
      </c>
      <c r="E61">
        <v>6.9437544610453372E-2</v>
      </c>
      <c r="F61">
        <v>50</v>
      </c>
      <c r="G61">
        <v>-6.0875000000004675E-2</v>
      </c>
      <c r="H61">
        <v>-0.13641562500001037</v>
      </c>
    </row>
    <row r="62" spans="1:8" x14ac:dyDescent="0.35">
      <c r="A62" t="s">
        <v>243</v>
      </c>
      <c r="B62">
        <v>-0.15105000000000146</v>
      </c>
      <c r="C62">
        <v>0.16601753234862571</v>
      </c>
      <c r="D62">
        <v>-0.1761968749999987</v>
      </c>
      <c r="E62">
        <v>7.4152720629685476E-2</v>
      </c>
      <c r="F62">
        <v>70</v>
      </c>
      <c r="G62">
        <v>-0.34434062500000806</v>
      </c>
      <c r="H62">
        <v>-0.3694875000000053</v>
      </c>
    </row>
    <row r="63" spans="1:8" x14ac:dyDescent="0.35">
      <c r="A63" t="s">
        <v>243</v>
      </c>
      <c r="B63">
        <v>-0.53862500000000146</v>
      </c>
      <c r="C63">
        <v>0.25781059265137074</v>
      </c>
      <c r="D63">
        <v>-0.59860312500000123</v>
      </c>
      <c r="E63">
        <v>0.13162668637122454</v>
      </c>
      <c r="F63">
        <v>85</v>
      </c>
      <c r="G63">
        <v>-0.73191562500000806</v>
      </c>
      <c r="H63">
        <v>-0.79189375000000783</v>
      </c>
    </row>
    <row r="64" spans="1:8" x14ac:dyDescent="0.35">
      <c r="A64" t="s">
        <v>243</v>
      </c>
      <c r="B64">
        <v>3.5515624999993278E-2</v>
      </c>
      <c r="C64">
        <v>0.27929687500000355</v>
      </c>
      <c r="D64">
        <v>0.23455624999998648</v>
      </c>
      <c r="E64">
        <v>8.0052139031643321E-2</v>
      </c>
      <c r="F64">
        <v>25</v>
      </c>
      <c r="G64">
        <v>-0.15777500000001332</v>
      </c>
      <c r="H64">
        <v>-0.28820000000000512</v>
      </c>
    </row>
    <row r="65" spans="1:8" x14ac:dyDescent="0.35">
      <c r="A65" t="s">
        <v>245</v>
      </c>
      <c r="B65">
        <v>-63.993000000000009</v>
      </c>
      <c r="C65">
        <v>-84.728516101837158</v>
      </c>
      <c r="D65">
        <v>-98.734865624999983</v>
      </c>
      <c r="E65">
        <v>6.1091444734663369</v>
      </c>
      <c r="F65">
        <v>25</v>
      </c>
      <c r="G65">
        <v>0</v>
      </c>
      <c r="H65">
        <v>49.995599999999996</v>
      </c>
    </row>
    <row r="66" spans="1:8" x14ac:dyDescent="0.35">
      <c r="A66" t="s">
        <v>245</v>
      </c>
      <c r="B66">
        <v>64.028346874999997</v>
      </c>
      <c r="C66">
        <v>-99.999996185302734</v>
      </c>
      <c r="D66">
        <v>114.011296875</v>
      </c>
      <c r="E66">
        <v>0</v>
      </c>
      <c r="F66">
        <v>-20</v>
      </c>
      <c r="G66">
        <v>128.02134687499998</v>
      </c>
      <c r="H66">
        <v>178.00429687499999</v>
      </c>
    </row>
    <row r="67" spans="1:8" x14ac:dyDescent="0.35">
      <c r="A67" t="s">
        <v>245</v>
      </c>
      <c r="B67">
        <v>64.006396874999993</v>
      </c>
      <c r="C67">
        <v>-99.999996185302734</v>
      </c>
      <c r="D67">
        <v>114.01339687500001</v>
      </c>
      <c r="E67">
        <v>0</v>
      </c>
      <c r="F67">
        <v>0</v>
      </c>
      <c r="G67">
        <v>127.99939687499997</v>
      </c>
      <c r="H67">
        <v>178.00639687500001</v>
      </c>
    </row>
    <row r="68" spans="1:8" x14ac:dyDescent="0.35">
      <c r="A68" t="s">
        <v>245</v>
      </c>
      <c r="B68">
        <v>64.003496874999996</v>
      </c>
      <c r="C68">
        <v>-99.999996185302734</v>
      </c>
      <c r="D68">
        <v>114.00569687499998</v>
      </c>
      <c r="E68">
        <v>0</v>
      </c>
      <c r="F68">
        <v>10</v>
      </c>
      <c r="G68">
        <v>127.99649687499998</v>
      </c>
      <c r="H68">
        <v>177.99869687500001</v>
      </c>
    </row>
    <row r="69" spans="1:8" x14ac:dyDescent="0.35">
      <c r="A69" t="s">
        <v>245</v>
      </c>
      <c r="B69">
        <v>-63.981350000000006</v>
      </c>
      <c r="C69">
        <v>-100.00000005960463</v>
      </c>
      <c r="D69">
        <v>-113.98925</v>
      </c>
      <c r="E69">
        <v>0</v>
      </c>
      <c r="F69">
        <v>25</v>
      </c>
      <c r="G69">
        <v>1.1649999999994165E-2</v>
      </c>
      <c r="H69">
        <v>49.996399999999994</v>
      </c>
    </row>
    <row r="70" spans="1:8" x14ac:dyDescent="0.35">
      <c r="A70" t="s">
        <v>245</v>
      </c>
      <c r="B70">
        <v>-64.001949999999994</v>
      </c>
      <c r="C70">
        <v>-100.00000005960463</v>
      </c>
      <c r="D70">
        <v>-113.99275</v>
      </c>
      <c r="E70">
        <v>0</v>
      </c>
      <c r="F70">
        <v>50</v>
      </c>
      <c r="G70">
        <v>-8.9499999999986812E-3</v>
      </c>
      <c r="H70">
        <v>50.013750000000002</v>
      </c>
    </row>
    <row r="71" spans="1:8" x14ac:dyDescent="0.35">
      <c r="A71" t="s">
        <v>245</v>
      </c>
      <c r="B71">
        <v>-63.992850000000011</v>
      </c>
      <c r="C71">
        <v>-100.00000005960463</v>
      </c>
      <c r="D71">
        <v>-113.96869999999998</v>
      </c>
      <c r="E71">
        <v>0</v>
      </c>
      <c r="F71">
        <v>70</v>
      </c>
      <c r="G71">
        <v>1.4999999999432134E-4</v>
      </c>
      <c r="H71">
        <v>50.002650000000003</v>
      </c>
    </row>
    <row r="72" spans="1:8" x14ac:dyDescent="0.35">
      <c r="A72" t="s">
        <v>245</v>
      </c>
      <c r="B72">
        <v>-63.991000000000007</v>
      </c>
      <c r="C72">
        <v>-100.00000005960463</v>
      </c>
      <c r="D72">
        <v>-114.00345</v>
      </c>
      <c r="E72">
        <v>0</v>
      </c>
      <c r="F72">
        <v>85</v>
      </c>
      <c r="G72">
        <v>1.9999999999953388E-3</v>
      </c>
      <c r="H72">
        <v>-50.010449999999999</v>
      </c>
    </row>
    <row r="73" spans="1:8" x14ac:dyDescent="0.35">
      <c r="A73" t="s">
        <v>245</v>
      </c>
      <c r="B73">
        <v>63.994146874999991</v>
      </c>
      <c r="C73">
        <v>-99.999996185302734</v>
      </c>
      <c r="D73">
        <v>114.00734687500001</v>
      </c>
      <c r="E73">
        <v>0</v>
      </c>
      <c r="F73">
        <v>25</v>
      </c>
      <c r="G73">
        <v>127.98714687499998</v>
      </c>
      <c r="H73">
        <v>178.00034687499999</v>
      </c>
    </row>
    <row r="74" spans="1:8" x14ac:dyDescent="0.35">
      <c r="A74" t="s">
        <v>247</v>
      </c>
      <c r="B74">
        <v>9.8446875000002265E-2</v>
      </c>
      <c r="C74">
        <v>0.27148056030274148</v>
      </c>
      <c r="D74">
        <v>0.42804687500000327</v>
      </c>
      <c r="E74">
        <v>0.11439991577831377</v>
      </c>
      <c r="F74">
        <v>25</v>
      </c>
      <c r="G74">
        <v>0</v>
      </c>
      <c r="H74">
        <v>0.32959999999999212</v>
      </c>
    </row>
    <row r="75" spans="1:8" x14ac:dyDescent="0.35">
      <c r="A75" t="s">
        <v>247</v>
      </c>
      <c r="B75">
        <v>0.93558437499999592</v>
      </c>
      <c r="C75">
        <v>0.24999809265136008</v>
      </c>
      <c r="D75">
        <v>1.246946874999999</v>
      </c>
      <c r="E75">
        <v>0.14649990899490151</v>
      </c>
      <c r="F75">
        <v>-20</v>
      </c>
      <c r="G75">
        <v>0.83713749999999365</v>
      </c>
      <c r="H75">
        <v>1.1485000000000056</v>
      </c>
    </row>
    <row r="76" spans="1:8" x14ac:dyDescent="0.35">
      <c r="A76" t="s">
        <v>247</v>
      </c>
      <c r="B76">
        <v>0.43974999999999653</v>
      </c>
      <c r="C76">
        <v>0.20898246765137077</v>
      </c>
      <c r="D76">
        <v>0.73053437499998708</v>
      </c>
      <c r="E76">
        <v>0.12628996980745821</v>
      </c>
      <c r="F76">
        <v>0</v>
      </c>
      <c r="G76">
        <v>0.34130312499999427</v>
      </c>
      <c r="H76">
        <v>0.6320874999999937</v>
      </c>
    </row>
    <row r="77" spans="1:8" x14ac:dyDescent="0.35">
      <c r="A77" t="s">
        <v>247</v>
      </c>
      <c r="B77">
        <v>0.24167499999999897</v>
      </c>
      <c r="C77">
        <v>0.20508003234862571</v>
      </c>
      <c r="D77">
        <v>0.69093125000001976</v>
      </c>
      <c r="E77">
        <v>0.21223415155041228</v>
      </c>
      <c r="F77">
        <v>10</v>
      </c>
      <c r="G77">
        <v>0.14322812499999671</v>
      </c>
      <c r="H77">
        <v>0.59248437500002638</v>
      </c>
    </row>
    <row r="78" spans="1:8" x14ac:dyDescent="0.35">
      <c r="A78" t="s">
        <v>247</v>
      </c>
      <c r="B78">
        <v>0.21255937500000321</v>
      </c>
      <c r="C78">
        <v>0.33593368530272727</v>
      </c>
      <c r="D78">
        <v>0.47749375000000427</v>
      </c>
      <c r="E78">
        <v>6.7063468498054224E-2</v>
      </c>
      <c r="F78">
        <v>25</v>
      </c>
      <c r="G78">
        <v>0.11411250000000095</v>
      </c>
      <c r="H78">
        <v>0.37904687499999312</v>
      </c>
    </row>
    <row r="79" spans="1:8" x14ac:dyDescent="0.35">
      <c r="A79" t="s">
        <v>247</v>
      </c>
      <c r="B79">
        <v>0.17172500000000923</v>
      </c>
      <c r="C79">
        <v>0.19335556030274148</v>
      </c>
      <c r="D79">
        <v>0.41100000000000136</v>
      </c>
      <c r="E79">
        <v>8.6891386684102567E-2</v>
      </c>
      <c r="F79">
        <v>50</v>
      </c>
      <c r="G79">
        <v>7.3278125000006966E-2</v>
      </c>
      <c r="H79">
        <v>0.31255312499999022</v>
      </c>
    </row>
    <row r="80" spans="1:8" x14ac:dyDescent="0.35">
      <c r="A80" t="s">
        <v>247</v>
      </c>
      <c r="B80">
        <v>0.25289687499999935</v>
      </c>
      <c r="C80">
        <v>3.7107467651367188E-2</v>
      </c>
      <c r="D80">
        <v>0.3931093749999981</v>
      </c>
      <c r="E80">
        <v>6.798168756573908E-2</v>
      </c>
      <c r="F80">
        <v>70</v>
      </c>
      <c r="G80">
        <v>0.15444999999999709</v>
      </c>
      <c r="H80">
        <v>0.29466250000000471</v>
      </c>
    </row>
    <row r="81" spans="1:8" x14ac:dyDescent="0.35">
      <c r="A81" t="s">
        <v>247</v>
      </c>
      <c r="B81">
        <v>0.32099687500000584</v>
      </c>
      <c r="C81">
        <v>-0.21289062499999289</v>
      </c>
      <c r="D81">
        <v>0.56324687500000081</v>
      </c>
      <c r="E81">
        <v>0.13569159436115363</v>
      </c>
      <c r="F81">
        <v>85</v>
      </c>
      <c r="G81">
        <v>0.22255000000000358</v>
      </c>
      <c r="H81">
        <v>0.46479999999999855</v>
      </c>
    </row>
    <row r="82" spans="1:8" x14ac:dyDescent="0.35">
      <c r="A82" t="s">
        <v>247</v>
      </c>
      <c r="B82">
        <v>-5.3031249999957453E-3</v>
      </c>
      <c r="C82">
        <v>0.50390434265136008</v>
      </c>
      <c r="D82">
        <v>0.33192812499997615</v>
      </c>
      <c r="E82">
        <v>8.2138965306839395E-2</v>
      </c>
      <c r="F82">
        <v>25</v>
      </c>
      <c r="G82">
        <v>-0.10374999999999801</v>
      </c>
      <c r="H82">
        <v>-0.27867500000000378</v>
      </c>
    </row>
    <row r="83" spans="1:8" x14ac:dyDescent="0.35">
      <c r="A83" t="s">
        <v>249</v>
      </c>
      <c r="B83">
        <v>0.17156562500000305</v>
      </c>
      <c r="C83">
        <v>0.28711318969726563</v>
      </c>
      <c r="D83">
        <v>0.28335937500001407</v>
      </c>
      <c r="E83">
        <v>0.10509315375473172</v>
      </c>
      <c r="F83">
        <v>25</v>
      </c>
      <c r="G83">
        <v>0</v>
      </c>
      <c r="H83">
        <v>-0.2408562500000011</v>
      </c>
    </row>
    <row r="84" spans="1:8" x14ac:dyDescent="0.35">
      <c r="A84" t="s">
        <v>249</v>
      </c>
      <c r="B84">
        <v>0.41495312500000381</v>
      </c>
      <c r="C84">
        <v>0.30273246765137429</v>
      </c>
      <c r="D84">
        <v>0.98102499999999537</v>
      </c>
      <c r="E84">
        <v>0.23608894692092042</v>
      </c>
      <c r="F84">
        <v>-20</v>
      </c>
      <c r="G84">
        <v>0.24338750000000076</v>
      </c>
      <c r="H84">
        <v>0.80945937499999232</v>
      </c>
    </row>
    <row r="85" spans="1:8" x14ac:dyDescent="0.35">
      <c r="A85" t="s">
        <v>249</v>
      </c>
      <c r="B85">
        <v>0.22741250000000157</v>
      </c>
      <c r="C85">
        <v>0.31054496765136719</v>
      </c>
      <c r="D85">
        <v>0.6701749999999862</v>
      </c>
      <c r="E85">
        <v>0.18799239018015612</v>
      </c>
      <c r="F85">
        <v>0</v>
      </c>
      <c r="G85">
        <v>5.5846874999998519E-2</v>
      </c>
      <c r="H85">
        <v>0.49860937499998315</v>
      </c>
    </row>
    <row r="86" spans="1:8" x14ac:dyDescent="0.35">
      <c r="A86" t="s">
        <v>249</v>
      </c>
      <c r="B86">
        <v>0.22369687499999458</v>
      </c>
      <c r="C86">
        <v>7.226181030272727E-2</v>
      </c>
      <c r="D86">
        <v>0.51775625000001213</v>
      </c>
      <c r="E86">
        <v>0.2390887311276213</v>
      </c>
      <c r="F86">
        <v>10</v>
      </c>
      <c r="G86">
        <v>5.2131249999991525E-2</v>
      </c>
      <c r="H86">
        <v>0.34619062500000908</v>
      </c>
    </row>
    <row r="87" spans="1:8" x14ac:dyDescent="0.35">
      <c r="A87" t="s">
        <v>249</v>
      </c>
      <c r="B87">
        <v>0.13765000000000249</v>
      </c>
      <c r="C87">
        <v>0.46874618530273082</v>
      </c>
      <c r="D87">
        <v>0.49852500000000077</v>
      </c>
      <c r="E87">
        <v>8.5474502302207434E-2</v>
      </c>
      <c r="F87">
        <v>25</v>
      </c>
      <c r="G87">
        <v>-3.391562500000056E-2</v>
      </c>
      <c r="H87">
        <v>0.32695937499999772</v>
      </c>
    </row>
    <row r="88" spans="1:8" x14ac:dyDescent="0.35">
      <c r="A88" t="s">
        <v>249</v>
      </c>
      <c r="B88">
        <v>0.15915312499999779</v>
      </c>
      <c r="C88">
        <v>0.18164062500000355</v>
      </c>
      <c r="D88">
        <v>0.28395312499998937</v>
      </c>
      <c r="E88">
        <v>6.7963164237423435E-2</v>
      </c>
      <c r="F88">
        <v>50</v>
      </c>
      <c r="G88">
        <v>-1.2412500000005267E-2</v>
      </c>
      <c r="H88">
        <v>-0.12809687500000333</v>
      </c>
    </row>
    <row r="89" spans="1:8" x14ac:dyDescent="0.35">
      <c r="A89" t="s">
        <v>249</v>
      </c>
      <c r="B89">
        <v>0.30974375000000443</v>
      </c>
      <c r="C89">
        <v>-0.17773628234863281</v>
      </c>
      <c r="D89">
        <v>0.35290937499999453</v>
      </c>
      <c r="E89">
        <v>5.4359601014475345E-2</v>
      </c>
      <c r="F89">
        <v>70</v>
      </c>
      <c r="G89">
        <v>0.13817812500000137</v>
      </c>
      <c r="H89">
        <v>0.18134374999999148</v>
      </c>
    </row>
    <row r="90" spans="1:8" x14ac:dyDescent="0.35">
      <c r="A90" t="s">
        <v>249</v>
      </c>
      <c r="B90">
        <v>0.46257812500000384</v>
      </c>
      <c r="C90">
        <v>-0.44530868530273432</v>
      </c>
      <c r="D90">
        <v>0.6534062499999993</v>
      </c>
      <c r="E90">
        <v>0.1142276574667811</v>
      </c>
      <c r="F90">
        <v>85</v>
      </c>
      <c r="G90">
        <v>0.29101250000000078</v>
      </c>
      <c r="H90">
        <v>0.48184062499999625</v>
      </c>
    </row>
    <row r="91" spans="1:8" x14ac:dyDescent="0.35">
      <c r="A91" t="s">
        <v>249</v>
      </c>
      <c r="B91">
        <v>-3.9499999999925706E-3</v>
      </c>
      <c r="C91">
        <v>0.61914062499999645</v>
      </c>
      <c r="D91">
        <v>0.39737499999999315</v>
      </c>
      <c r="E91">
        <v>9.8413078037591362E-2</v>
      </c>
      <c r="F91">
        <v>25</v>
      </c>
      <c r="G91">
        <v>-0.17551562499999562</v>
      </c>
      <c r="H91">
        <v>-0.40326250000000563</v>
      </c>
    </row>
    <row r="92" spans="1:8" x14ac:dyDescent="0.35">
      <c r="A92" t="s">
        <v>251</v>
      </c>
      <c r="B92">
        <v>9.8909374999998079E-2</v>
      </c>
      <c r="C92">
        <v>0.15820503234863281</v>
      </c>
      <c r="D92">
        <v>0.21242499999999609</v>
      </c>
      <c r="E92">
        <v>7.0721638272246423E-2</v>
      </c>
      <c r="F92">
        <v>25</v>
      </c>
      <c r="G92">
        <v>0</v>
      </c>
      <c r="H92">
        <v>-0.11934062499999509</v>
      </c>
    </row>
    <row r="93" spans="1:8" x14ac:dyDescent="0.35">
      <c r="A93" t="s">
        <v>251</v>
      </c>
      <c r="B93">
        <v>0.23412187499999959</v>
      </c>
      <c r="C93">
        <v>0.58593368530273082</v>
      </c>
      <c r="D93">
        <v>0.53445312500000952</v>
      </c>
      <c r="E93">
        <v>0.23716150886409437</v>
      </c>
      <c r="F93">
        <v>-20</v>
      </c>
      <c r="G93">
        <v>0.13521250000000151</v>
      </c>
      <c r="H93">
        <v>-0.449171874999994</v>
      </c>
    </row>
    <row r="94" spans="1:8" x14ac:dyDescent="0.35">
      <c r="A94" t="s">
        <v>251</v>
      </c>
      <c r="B94">
        <v>0.18458437500000535</v>
      </c>
      <c r="C94">
        <v>0.25195693969726207</v>
      </c>
      <c r="D94">
        <v>0.45269999999998589</v>
      </c>
      <c r="E94">
        <v>0.16671103508663521</v>
      </c>
      <c r="F94">
        <v>0</v>
      </c>
      <c r="G94">
        <v>8.5675000000007273E-2</v>
      </c>
      <c r="H94">
        <v>0.35379062499998781</v>
      </c>
    </row>
    <row r="95" spans="1:8" x14ac:dyDescent="0.35">
      <c r="A95" t="s">
        <v>251</v>
      </c>
      <c r="B95">
        <v>0.25514687499999411</v>
      </c>
      <c r="C95">
        <v>0.19336128234863637</v>
      </c>
      <c r="D95">
        <v>0.3738406249999926</v>
      </c>
      <c r="E95">
        <v>6.4465460953204712E-2</v>
      </c>
      <c r="F95">
        <v>10</v>
      </c>
      <c r="G95">
        <v>0.15623749999999603</v>
      </c>
      <c r="H95">
        <v>0.27493124999999452</v>
      </c>
    </row>
    <row r="96" spans="1:8" x14ac:dyDescent="0.35">
      <c r="A96" t="s">
        <v>251</v>
      </c>
      <c r="B96">
        <v>0.22209999999999397</v>
      </c>
      <c r="C96">
        <v>0.22461128234862573</v>
      </c>
      <c r="D96">
        <v>0.36988125000000593</v>
      </c>
      <c r="E96">
        <v>4.2397246516752141E-2</v>
      </c>
      <c r="F96">
        <v>25</v>
      </c>
      <c r="G96">
        <v>0.12319062499999589</v>
      </c>
      <c r="H96">
        <v>0.27097187500000786</v>
      </c>
    </row>
    <row r="97" spans="1:8" x14ac:dyDescent="0.35">
      <c r="A97" t="s">
        <v>251</v>
      </c>
      <c r="B97">
        <v>7.1965624999998923E-2</v>
      </c>
      <c r="C97">
        <v>0.23632621765136363</v>
      </c>
      <c r="D97">
        <v>0.29708125000000862</v>
      </c>
      <c r="E97">
        <v>8.315298214478517E-2</v>
      </c>
      <c r="F97">
        <v>50</v>
      </c>
      <c r="G97">
        <v>-2.6943749999999156E-2</v>
      </c>
      <c r="H97">
        <v>0.19817187500001054</v>
      </c>
    </row>
    <row r="98" spans="1:8" x14ac:dyDescent="0.35">
      <c r="A98" t="s">
        <v>251</v>
      </c>
      <c r="B98">
        <v>-1.1915624999998542E-2</v>
      </c>
      <c r="C98">
        <v>0.27734756469726563</v>
      </c>
      <c r="D98">
        <v>0.31075937499998929</v>
      </c>
      <c r="E98">
        <v>0.13224118738823343</v>
      </c>
      <c r="F98">
        <v>70</v>
      </c>
      <c r="G98">
        <v>-0.11082499999999662</v>
      </c>
      <c r="H98">
        <v>-0.24080000000000101</v>
      </c>
    </row>
    <row r="99" spans="1:8" x14ac:dyDescent="0.35">
      <c r="A99" t="s">
        <v>251</v>
      </c>
      <c r="B99">
        <v>-4.3325000000002944E-2</v>
      </c>
      <c r="C99">
        <v>0.30859184265136008</v>
      </c>
      <c r="D99">
        <v>0.29826562499998488</v>
      </c>
      <c r="E99">
        <v>0.13232098867068887</v>
      </c>
      <c r="F99">
        <v>85</v>
      </c>
      <c r="G99">
        <v>-0.14223437500000102</v>
      </c>
      <c r="H99">
        <v>-0.27044687499999664</v>
      </c>
    </row>
    <row r="100" spans="1:8" x14ac:dyDescent="0.35">
      <c r="A100" t="s">
        <v>251</v>
      </c>
      <c r="B100">
        <v>-2.3537500000001543E-2</v>
      </c>
      <c r="C100">
        <v>0.35546874999999645</v>
      </c>
      <c r="D100">
        <v>0.23326562499999426</v>
      </c>
      <c r="E100">
        <v>8.4947593469175686E-2</v>
      </c>
      <c r="F100">
        <v>25</v>
      </c>
      <c r="G100">
        <v>-0.12244687499999962</v>
      </c>
      <c r="H100">
        <v>-0.20181875000000016</v>
      </c>
    </row>
    <row r="101" spans="1:8" x14ac:dyDescent="0.35">
      <c r="A101" t="s">
        <v>252</v>
      </c>
      <c r="B101">
        <v>-64.003250000000008</v>
      </c>
      <c r="C101">
        <v>-82.212890148162842</v>
      </c>
      <c r="D101">
        <v>-96.189340624999986</v>
      </c>
      <c r="E101">
        <v>7.1156326759914155</v>
      </c>
      <c r="F101">
        <v>25</v>
      </c>
      <c r="G101">
        <v>0</v>
      </c>
      <c r="H101">
        <v>50.006249999999994</v>
      </c>
    </row>
    <row r="102" spans="1:8" x14ac:dyDescent="0.35">
      <c r="A102" t="s">
        <v>252</v>
      </c>
      <c r="B102">
        <v>64.031596874999991</v>
      </c>
      <c r="C102">
        <v>-99.999996185302734</v>
      </c>
      <c r="D102">
        <v>114.01839687500001</v>
      </c>
      <c r="E102">
        <v>0</v>
      </c>
      <c r="F102">
        <v>-20</v>
      </c>
      <c r="G102">
        <v>128.034846875</v>
      </c>
      <c r="H102">
        <v>178.02164687499999</v>
      </c>
    </row>
    <row r="103" spans="1:8" x14ac:dyDescent="0.35">
      <c r="A103" t="s">
        <v>252</v>
      </c>
      <c r="B103">
        <v>64.012546874999998</v>
      </c>
      <c r="C103">
        <v>-99.999996185302734</v>
      </c>
      <c r="D103">
        <v>114.007446875</v>
      </c>
      <c r="E103">
        <v>0</v>
      </c>
      <c r="F103">
        <v>0</v>
      </c>
      <c r="G103">
        <v>128.01579687500001</v>
      </c>
      <c r="H103">
        <v>178.01069687500001</v>
      </c>
    </row>
    <row r="104" spans="1:8" x14ac:dyDescent="0.35">
      <c r="A104" t="s">
        <v>252</v>
      </c>
      <c r="B104">
        <v>64.004096874999988</v>
      </c>
      <c r="C104">
        <v>-99.999996185302734</v>
      </c>
      <c r="D104">
        <v>113.98714687500001</v>
      </c>
      <c r="E104">
        <v>0</v>
      </c>
      <c r="F104">
        <v>10</v>
      </c>
      <c r="G104">
        <v>128.007346875</v>
      </c>
      <c r="H104">
        <v>177.99039687499999</v>
      </c>
    </row>
    <row r="105" spans="1:8" x14ac:dyDescent="0.35">
      <c r="A105" t="s">
        <v>252</v>
      </c>
      <c r="B105">
        <v>-64.001949999999994</v>
      </c>
      <c r="C105">
        <v>-100.00000005960463</v>
      </c>
      <c r="D105">
        <v>-114.00250000000001</v>
      </c>
      <c r="E105">
        <v>0</v>
      </c>
      <c r="F105">
        <v>25</v>
      </c>
      <c r="G105">
        <v>1.3000000000040757E-3</v>
      </c>
      <c r="H105">
        <v>50.005649999999996</v>
      </c>
    </row>
    <row r="106" spans="1:8" x14ac:dyDescent="0.35">
      <c r="A106" t="s">
        <v>252</v>
      </c>
      <c r="B106">
        <v>-64.000750000000011</v>
      </c>
      <c r="C106">
        <v>-100.00000005960463</v>
      </c>
      <c r="D106">
        <v>-114.00409999999999</v>
      </c>
      <c r="E106">
        <v>0</v>
      </c>
      <c r="F106">
        <v>50</v>
      </c>
      <c r="G106">
        <v>2.4999999999941735E-3</v>
      </c>
      <c r="H106">
        <v>50.010199999999998</v>
      </c>
    </row>
    <row r="107" spans="1:8" x14ac:dyDescent="0.35">
      <c r="A107" t="s">
        <v>252</v>
      </c>
      <c r="B107">
        <v>-64.004350000000002</v>
      </c>
      <c r="C107">
        <v>-100.00000005960463</v>
      </c>
      <c r="D107">
        <v>-113.97940000000001</v>
      </c>
      <c r="E107">
        <v>0</v>
      </c>
      <c r="F107">
        <v>70</v>
      </c>
      <c r="G107">
        <v>-1.0999999999938836E-3</v>
      </c>
      <c r="H107">
        <v>50.016700000000007</v>
      </c>
    </row>
    <row r="108" spans="1:8" x14ac:dyDescent="0.35">
      <c r="A108" t="s">
        <v>252</v>
      </c>
      <c r="B108">
        <v>-63.999400000000001</v>
      </c>
      <c r="C108">
        <v>-100.00000005960463</v>
      </c>
      <c r="D108">
        <v>-113.99445</v>
      </c>
      <c r="E108">
        <v>0</v>
      </c>
      <c r="F108">
        <v>85</v>
      </c>
      <c r="G108">
        <v>3.8500000000052381E-3</v>
      </c>
      <c r="H108">
        <v>50.005649999999996</v>
      </c>
    </row>
    <row r="109" spans="1:8" x14ac:dyDescent="0.35">
      <c r="A109" t="s">
        <v>252</v>
      </c>
      <c r="B109">
        <v>64.004146874999989</v>
      </c>
      <c r="C109">
        <v>-99.999996185302734</v>
      </c>
      <c r="D109">
        <v>114.03144687499999</v>
      </c>
      <c r="E109">
        <v>0</v>
      </c>
      <c r="F109">
        <v>25</v>
      </c>
      <c r="G109">
        <v>128.00739687499998</v>
      </c>
      <c r="H109">
        <v>178.03469687499998</v>
      </c>
    </row>
    <row r="110" spans="1:8" x14ac:dyDescent="0.35">
      <c r="A110" t="s">
        <v>254</v>
      </c>
      <c r="B110">
        <v>0.33489374999999377</v>
      </c>
      <c r="C110">
        <v>-0.13281059265136008</v>
      </c>
      <c r="D110">
        <v>0.58778437499999781</v>
      </c>
      <c r="E110">
        <v>0.15751694280167428</v>
      </c>
      <c r="F110">
        <v>25</v>
      </c>
      <c r="G110">
        <v>0</v>
      </c>
      <c r="H110">
        <v>0.25289062500000403</v>
      </c>
    </row>
    <row r="111" spans="1:8" x14ac:dyDescent="0.35">
      <c r="A111" t="s">
        <v>254</v>
      </c>
      <c r="B111">
        <v>-0.27764062499999298</v>
      </c>
      <c r="C111">
        <v>0.302734375</v>
      </c>
      <c r="D111">
        <v>-0.37744374999999941</v>
      </c>
      <c r="E111">
        <v>0.226332961075002</v>
      </c>
      <c r="F111">
        <v>-20</v>
      </c>
      <c r="G111">
        <v>-0.61253437499998675</v>
      </c>
      <c r="H111">
        <v>-0.71233749999999318</v>
      </c>
    </row>
    <row r="112" spans="1:8" x14ac:dyDescent="0.35">
      <c r="A112" t="s">
        <v>254</v>
      </c>
      <c r="B112">
        <v>0.26294062499999882</v>
      </c>
      <c r="C112">
        <v>-0.13085556030272727</v>
      </c>
      <c r="D112">
        <v>0.64942812500000224</v>
      </c>
      <c r="E112">
        <v>0.19754454271684097</v>
      </c>
      <c r="F112">
        <v>0</v>
      </c>
      <c r="G112">
        <v>-7.1953124999994955E-2</v>
      </c>
      <c r="H112">
        <v>0.31453437500000847</v>
      </c>
    </row>
    <row r="113" spans="1:8" x14ac:dyDescent="0.35">
      <c r="A113" t="s">
        <v>254</v>
      </c>
      <c r="B113">
        <v>0.42121875000000308</v>
      </c>
      <c r="C113">
        <v>-0.33984756469726207</v>
      </c>
      <c r="D113">
        <v>0.77320625000000032</v>
      </c>
      <c r="E113">
        <v>0.13473018348980847</v>
      </c>
      <c r="F113">
        <v>10</v>
      </c>
      <c r="G113">
        <v>8.6325000000009311E-2</v>
      </c>
      <c r="H113">
        <v>0.43831250000000654</v>
      </c>
    </row>
    <row r="114" spans="1:8" x14ac:dyDescent="0.35">
      <c r="A114" t="s">
        <v>254</v>
      </c>
      <c r="B114">
        <v>0.45297500000000213</v>
      </c>
      <c r="C114">
        <v>-0.21093559265136008</v>
      </c>
      <c r="D114">
        <v>0.81094374999999486</v>
      </c>
      <c r="E114">
        <v>0.1486455346280624</v>
      </c>
      <c r="F114">
        <v>25</v>
      </c>
      <c r="G114">
        <v>0.11808125000000835</v>
      </c>
      <c r="H114">
        <v>0.47605000000000119</v>
      </c>
    </row>
    <row r="115" spans="1:8" x14ac:dyDescent="0.35">
      <c r="A115" t="s">
        <v>254</v>
      </c>
      <c r="B115">
        <v>0.322265625</v>
      </c>
      <c r="C115">
        <v>0.24414253234862571</v>
      </c>
      <c r="D115">
        <v>0.52279687500000449</v>
      </c>
      <c r="E115">
        <v>5.9168357940446732E-2</v>
      </c>
      <c r="F115">
        <v>50</v>
      </c>
      <c r="G115">
        <v>-1.2628124999993773E-2</v>
      </c>
      <c r="H115">
        <v>0.1879031250000196</v>
      </c>
    </row>
    <row r="116" spans="1:8" x14ac:dyDescent="0.35">
      <c r="A116" t="s">
        <v>254</v>
      </c>
      <c r="B116">
        <v>0.19873437499999369</v>
      </c>
      <c r="C116">
        <v>0.41406440734863992</v>
      </c>
      <c r="D116">
        <v>0.52791562500001277</v>
      </c>
      <c r="E116">
        <v>0.11377451617052615</v>
      </c>
      <c r="F116">
        <v>70</v>
      </c>
      <c r="G116">
        <v>-0.13615937500000008</v>
      </c>
      <c r="H116">
        <v>-0.32273749999999435</v>
      </c>
    </row>
    <row r="117" spans="1:8" x14ac:dyDescent="0.35">
      <c r="A117" t="s">
        <v>254</v>
      </c>
      <c r="B117">
        <v>0.18374687500000597</v>
      </c>
      <c r="C117">
        <v>0.62694931030273793</v>
      </c>
      <c r="D117">
        <v>0.54286874999998957</v>
      </c>
      <c r="E117">
        <v>0.10114403171214814</v>
      </c>
      <c r="F117">
        <v>85</v>
      </c>
      <c r="G117">
        <v>-0.1511468749999878</v>
      </c>
      <c r="H117">
        <v>-0.50242499999999302</v>
      </c>
    </row>
    <row r="118" spans="1:8" x14ac:dyDescent="0.35">
      <c r="A118" t="s">
        <v>254</v>
      </c>
      <c r="B118">
        <v>0.32805937500000937</v>
      </c>
      <c r="C118">
        <v>3.3203124999996447E-2</v>
      </c>
      <c r="D118">
        <v>0.51687187500000231</v>
      </c>
      <c r="E118">
        <v>0.10140663303559894</v>
      </c>
      <c r="F118">
        <v>25</v>
      </c>
      <c r="G118">
        <v>-6.834374999984405E-3</v>
      </c>
      <c r="H118">
        <v>0.18197812500000854</v>
      </c>
    </row>
    <row r="119" spans="1:8" x14ac:dyDescent="0.35">
      <c r="A119" t="s">
        <v>256</v>
      </c>
      <c r="B119">
        <v>0.14935000000000365</v>
      </c>
      <c r="C119">
        <v>0.26562881469725852</v>
      </c>
      <c r="D119">
        <v>0.43420937500000534</v>
      </c>
      <c r="E119">
        <v>9.6303255975360713E-2</v>
      </c>
      <c r="F119">
        <v>25</v>
      </c>
      <c r="G119">
        <v>0</v>
      </c>
      <c r="H119">
        <v>0.28485937499999281</v>
      </c>
    </row>
    <row r="120" spans="1:8" x14ac:dyDescent="0.35">
      <c r="A120" t="s">
        <v>256</v>
      </c>
      <c r="B120">
        <v>0.55013750000000528</v>
      </c>
      <c r="C120">
        <v>2.5388717651360082E-2</v>
      </c>
      <c r="D120">
        <v>0.68029062499999071</v>
      </c>
      <c r="E120">
        <v>0.13352967811510297</v>
      </c>
      <c r="F120">
        <v>-20</v>
      </c>
      <c r="G120">
        <v>0.40078750000000163</v>
      </c>
      <c r="H120">
        <v>0.53094062499997818</v>
      </c>
    </row>
    <row r="121" spans="1:8" x14ac:dyDescent="0.35">
      <c r="A121" t="s">
        <v>256</v>
      </c>
      <c r="B121">
        <v>0.46506250000000193</v>
      </c>
      <c r="C121">
        <v>0.10742568969726919</v>
      </c>
      <c r="D121">
        <v>0.54840000000000444</v>
      </c>
      <c r="E121">
        <v>7.2490335418073926E-2</v>
      </c>
      <c r="F121">
        <v>0</v>
      </c>
      <c r="G121">
        <v>0.31571249999999829</v>
      </c>
      <c r="H121">
        <v>0.39905000000000967</v>
      </c>
    </row>
    <row r="122" spans="1:8" x14ac:dyDescent="0.35">
      <c r="A122" t="s">
        <v>256</v>
      </c>
      <c r="B122">
        <v>0.2716781250000011</v>
      </c>
      <c r="C122">
        <v>0.20703315734863281</v>
      </c>
      <c r="D122">
        <v>0.49471875000000054</v>
      </c>
      <c r="E122">
        <v>7.5500506289269964E-2</v>
      </c>
      <c r="F122">
        <v>10</v>
      </c>
      <c r="G122">
        <v>0.12232812499999746</v>
      </c>
      <c r="H122">
        <v>0.34536874999998801</v>
      </c>
    </row>
    <row r="123" spans="1:8" x14ac:dyDescent="0.35">
      <c r="A123" t="s">
        <v>256</v>
      </c>
      <c r="B123">
        <v>0.26156249999999659</v>
      </c>
      <c r="C123">
        <v>0.15039443969726563</v>
      </c>
      <c r="D123">
        <v>0.44064999999999799</v>
      </c>
      <c r="E123">
        <v>7.4461620795123196E-2</v>
      </c>
      <c r="F123">
        <v>25</v>
      </c>
      <c r="G123">
        <v>0.11221249999999294</v>
      </c>
      <c r="H123">
        <v>0.29129999999998546</v>
      </c>
    </row>
    <row r="124" spans="1:8" x14ac:dyDescent="0.35">
      <c r="A124" t="s">
        <v>256</v>
      </c>
      <c r="B124">
        <v>0.26487812499999208</v>
      </c>
      <c r="C124">
        <v>0.27539062500000711</v>
      </c>
      <c r="D124">
        <v>0.45889999999999986</v>
      </c>
      <c r="E124">
        <v>7.0041233510775847E-2</v>
      </c>
      <c r="F124">
        <v>50</v>
      </c>
      <c r="G124">
        <v>0.11552812499998844</v>
      </c>
      <c r="H124">
        <v>0.30954999999998734</v>
      </c>
    </row>
    <row r="125" spans="1:8" x14ac:dyDescent="0.35">
      <c r="A125" t="s">
        <v>256</v>
      </c>
      <c r="B125">
        <v>0.25983749999999972</v>
      </c>
      <c r="C125">
        <v>0.31054496765136719</v>
      </c>
      <c r="D125">
        <v>0.63639687500000264</v>
      </c>
      <c r="E125">
        <v>0.13518738086010451</v>
      </c>
      <c r="F125">
        <v>70</v>
      </c>
      <c r="G125">
        <v>0.11048749999999607</v>
      </c>
      <c r="H125">
        <v>0.48704687499999011</v>
      </c>
    </row>
    <row r="126" spans="1:8" x14ac:dyDescent="0.35">
      <c r="A126" t="s">
        <v>256</v>
      </c>
      <c r="B126">
        <v>0.27734687500000632</v>
      </c>
      <c r="C126">
        <v>0.26367568969726918</v>
      </c>
      <c r="D126">
        <v>0.64993125000000873</v>
      </c>
      <c r="E126">
        <v>0.15083549479356861</v>
      </c>
      <c r="F126">
        <v>85</v>
      </c>
      <c r="G126">
        <v>0.12799687500000267</v>
      </c>
      <c r="H126">
        <v>0.5005812499999962</v>
      </c>
    </row>
    <row r="127" spans="1:8" x14ac:dyDescent="0.35">
      <c r="A127" t="s">
        <v>256</v>
      </c>
      <c r="B127">
        <v>8.6475000000003632E-2</v>
      </c>
      <c r="C127">
        <v>0.29101181030274148</v>
      </c>
      <c r="D127">
        <v>0.35527187500001389</v>
      </c>
      <c r="E127">
        <v>8.4222746443713969E-2</v>
      </c>
      <c r="F127">
        <v>25</v>
      </c>
      <c r="G127">
        <v>-6.2875000000000014E-2</v>
      </c>
      <c r="H127">
        <v>0.20592187500001913</v>
      </c>
    </row>
    <row r="128" spans="1:8" x14ac:dyDescent="0.35">
      <c r="A128" t="s">
        <v>258</v>
      </c>
      <c r="B128">
        <v>0.11995624999999954</v>
      </c>
      <c r="C128">
        <v>0.17773628234863281</v>
      </c>
      <c r="D128">
        <v>0.48153750000000883</v>
      </c>
      <c r="E128">
        <v>0.17654268764817793</v>
      </c>
      <c r="F128">
        <v>25</v>
      </c>
      <c r="G128">
        <v>0</v>
      </c>
      <c r="H128">
        <v>0.36158125000000041</v>
      </c>
    </row>
    <row r="129" spans="1:8" x14ac:dyDescent="0.35">
      <c r="A129" t="s">
        <v>258</v>
      </c>
      <c r="B129">
        <v>0.46545312500000158</v>
      </c>
      <c r="C129">
        <v>0.10351562500000357</v>
      </c>
      <c r="D129">
        <v>0.84792812499999926</v>
      </c>
      <c r="E129">
        <v>0.19563174807245787</v>
      </c>
      <c r="F129">
        <v>-20</v>
      </c>
      <c r="G129">
        <v>0.34549687500000203</v>
      </c>
      <c r="H129">
        <v>0.72797187499999083</v>
      </c>
    </row>
    <row r="130" spans="1:8" x14ac:dyDescent="0.35">
      <c r="A130" t="s">
        <v>258</v>
      </c>
      <c r="B130">
        <v>0.44143749999999926</v>
      </c>
      <c r="C130">
        <v>8.3982467651360082E-2</v>
      </c>
      <c r="D130">
        <v>0.6614812499999978</v>
      </c>
      <c r="E130">
        <v>9.1222199480809341E-2</v>
      </c>
      <c r="F130">
        <v>0</v>
      </c>
      <c r="G130">
        <v>0.32148124999999972</v>
      </c>
      <c r="H130">
        <v>0.54152499999998938</v>
      </c>
    </row>
    <row r="131" spans="1:8" x14ac:dyDescent="0.35">
      <c r="A131" t="s">
        <v>258</v>
      </c>
      <c r="B131">
        <v>0.41400312500000425</v>
      </c>
      <c r="C131">
        <v>0.23047256469727273</v>
      </c>
      <c r="D131">
        <v>0.65267187499999935</v>
      </c>
      <c r="E131">
        <v>0.10281258587856001</v>
      </c>
      <c r="F131">
        <v>10</v>
      </c>
      <c r="G131">
        <v>0.2940468750000047</v>
      </c>
      <c r="H131">
        <v>0.53271562500000869</v>
      </c>
    </row>
    <row r="132" spans="1:8" x14ac:dyDescent="0.35">
      <c r="A132" t="s">
        <v>258</v>
      </c>
      <c r="B132">
        <v>0.33322500000000588</v>
      </c>
      <c r="C132">
        <v>0.19922065734863992</v>
      </c>
      <c r="D132">
        <v>0.51066562500000856</v>
      </c>
      <c r="E132">
        <v>9.2090963437723161E-2</v>
      </c>
      <c r="F132">
        <v>25</v>
      </c>
      <c r="G132">
        <v>0.21326875000000634</v>
      </c>
      <c r="H132">
        <v>0.39070937500000014</v>
      </c>
    </row>
    <row r="133" spans="1:8" x14ac:dyDescent="0.35">
      <c r="A133" t="s">
        <v>258</v>
      </c>
      <c r="B133">
        <v>0.34005625000000705</v>
      </c>
      <c r="C133">
        <v>0.13867568969725852</v>
      </c>
      <c r="D133">
        <v>0.47556249999999523</v>
      </c>
      <c r="E133">
        <v>8.4638096830005338E-2</v>
      </c>
      <c r="F133">
        <v>50</v>
      </c>
      <c r="G133">
        <v>0.22010000000000751</v>
      </c>
      <c r="H133">
        <v>0.3556062499999868</v>
      </c>
    </row>
    <row r="134" spans="1:8" x14ac:dyDescent="0.35">
      <c r="A134" t="s">
        <v>258</v>
      </c>
      <c r="B134">
        <v>0.37927812499999547</v>
      </c>
      <c r="C134">
        <v>7.031631469725852E-2</v>
      </c>
      <c r="D134">
        <v>0.55052500000000393</v>
      </c>
      <c r="E134">
        <v>8.3307857317003187E-2</v>
      </c>
      <c r="F134">
        <v>70</v>
      </c>
      <c r="G134">
        <v>0.25932187499999593</v>
      </c>
      <c r="H134">
        <v>0.4305687499999955</v>
      </c>
    </row>
    <row r="135" spans="1:8" x14ac:dyDescent="0.35">
      <c r="A135" t="s">
        <v>258</v>
      </c>
      <c r="B135">
        <v>0.53901562499999223</v>
      </c>
      <c r="C135">
        <v>4.687118530274148E-2</v>
      </c>
      <c r="D135">
        <v>0.58268124999999671</v>
      </c>
      <c r="E135">
        <v>2.6150049920996565E-2</v>
      </c>
      <c r="F135">
        <v>85</v>
      </c>
      <c r="G135">
        <v>0.41905937499999268</v>
      </c>
      <c r="H135">
        <v>0.46272500000000605</v>
      </c>
    </row>
    <row r="136" spans="1:8" x14ac:dyDescent="0.35">
      <c r="A136" t="s">
        <v>258</v>
      </c>
      <c r="B136">
        <v>0.10931249999999615</v>
      </c>
      <c r="C136">
        <v>0.29687499999999645</v>
      </c>
      <c r="D136">
        <v>0.42943750000000946</v>
      </c>
      <c r="E136">
        <v>0.1054215166035366</v>
      </c>
      <c r="F136">
        <v>25</v>
      </c>
      <c r="G136">
        <v>-1.0643750000003394E-2</v>
      </c>
      <c r="H136">
        <v>0.30948125000000104</v>
      </c>
    </row>
    <row r="137" spans="1:8" x14ac:dyDescent="0.35">
      <c r="A137" t="s">
        <v>260</v>
      </c>
      <c r="B137">
        <v>0.22992499999999971</v>
      </c>
      <c r="C137">
        <v>0.34374809265136363</v>
      </c>
      <c r="D137">
        <v>0.45726562499998735</v>
      </c>
      <c r="E137">
        <v>5.4735685725191274E-2</v>
      </c>
      <c r="F137">
        <v>25</v>
      </c>
      <c r="G137">
        <v>0</v>
      </c>
      <c r="H137">
        <v>0.22734062499997876</v>
      </c>
    </row>
    <row r="138" spans="1:8" x14ac:dyDescent="0.35">
      <c r="A138" t="s">
        <v>260</v>
      </c>
      <c r="B138">
        <v>-0.17581562499999315</v>
      </c>
      <c r="C138">
        <v>0.79687881469727262</v>
      </c>
      <c r="D138">
        <v>-0.66583124999999743</v>
      </c>
      <c r="E138">
        <v>8.8733056780609942E-2</v>
      </c>
      <c r="F138">
        <v>-20</v>
      </c>
      <c r="G138">
        <v>-0.40574062499999286</v>
      </c>
      <c r="H138">
        <v>-0.89575624999999715</v>
      </c>
    </row>
    <row r="139" spans="1:8" x14ac:dyDescent="0.35">
      <c r="A139" t="s">
        <v>260</v>
      </c>
      <c r="B139">
        <v>0.31639687500000235</v>
      </c>
      <c r="C139">
        <v>9.1798782348639918E-2</v>
      </c>
      <c r="D139">
        <v>0.50093125000000072</v>
      </c>
      <c r="E139">
        <v>9.263591649483871E-2</v>
      </c>
      <c r="F139">
        <v>0</v>
      </c>
      <c r="G139">
        <v>8.647187500000264E-2</v>
      </c>
      <c r="H139">
        <v>0.27100624999999212</v>
      </c>
    </row>
    <row r="140" spans="1:8" x14ac:dyDescent="0.35">
      <c r="A140" t="s">
        <v>260</v>
      </c>
      <c r="B140">
        <v>0.33538124999999752</v>
      </c>
      <c r="C140">
        <v>1.9550323486328125E-3</v>
      </c>
      <c r="D140">
        <v>0.50500624999999744</v>
      </c>
      <c r="E140">
        <v>8.9372317220579589E-2</v>
      </c>
      <c r="F140">
        <v>10</v>
      </c>
      <c r="G140">
        <v>0.10545624999999781</v>
      </c>
      <c r="H140">
        <v>0.27508125000000661</v>
      </c>
    </row>
    <row r="141" spans="1:8" x14ac:dyDescent="0.35">
      <c r="A141" t="s">
        <v>260</v>
      </c>
      <c r="B141">
        <v>0.31965624999999775</v>
      </c>
      <c r="C141">
        <v>1.9493103027379275E-3</v>
      </c>
      <c r="D141">
        <v>0.47501249999999828</v>
      </c>
      <c r="E141">
        <v>0.12266621506169528</v>
      </c>
      <c r="F141">
        <v>25</v>
      </c>
      <c r="G141">
        <v>8.9731249999998042E-2</v>
      </c>
      <c r="H141">
        <v>0.24508749999998969</v>
      </c>
    </row>
    <row r="142" spans="1:8" x14ac:dyDescent="0.35">
      <c r="A142" t="s">
        <v>260</v>
      </c>
      <c r="B142">
        <v>0.18080312499999529</v>
      </c>
      <c r="C142">
        <v>0.20898437499999645</v>
      </c>
      <c r="D142">
        <v>0.39494062499999316</v>
      </c>
      <c r="E142">
        <v>8.5309223059994999E-2</v>
      </c>
      <c r="F142">
        <v>50</v>
      </c>
      <c r="G142">
        <v>-4.9121875000004422E-2</v>
      </c>
      <c r="H142">
        <v>0.16501562499998457</v>
      </c>
    </row>
    <row r="143" spans="1:8" x14ac:dyDescent="0.35">
      <c r="A143" t="s">
        <v>260</v>
      </c>
      <c r="B143">
        <v>0.16106875000000187</v>
      </c>
      <c r="C143">
        <v>0.34960937499999289</v>
      </c>
      <c r="D143">
        <v>0.53545937499999141</v>
      </c>
      <c r="E143">
        <v>0.11102977971714444</v>
      </c>
      <c r="F143">
        <v>70</v>
      </c>
      <c r="G143">
        <v>-6.8856249999997843E-2</v>
      </c>
      <c r="H143">
        <v>0.30553437499998282</v>
      </c>
    </row>
    <row r="144" spans="1:8" x14ac:dyDescent="0.35">
      <c r="A144" t="s">
        <v>260</v>
      </c>
      <c r="B144">
        <v>0.19516562499998891</v>
      </c>
      <c r="C144">
        <v>0.40234184265136358</v>
      </c>
      <c r="D144">
        <v>0.63687812499999552</v>
      </c>
      <c r="E144">
        <v>0.13425873278413825</v>
      </c>
      <c r="F144">
        <v>85</v>
      </c>
      <c r="G144">
        <v>-3.4759375000010806E-2</v>
      </c>
      <c r="H144">
        <v>0.40695312499998693</v>
      </c>
    </row>
    <row r="145" spans="1:8" x14ac:dyDescent="0.35">
      <c r="A145" t="s">
        <v>260</v>
      </c>
      <c r="B145">
        <v>0.21503124999999734</v>
      </c>
      <c r="C145">
        <v>0.24414443969726918</v>
      </c>
      <c r="D145">
        <v>0.30824062500000693</v>
      </c>
      <c r="E145">
        <v>0.12352991578028494</v>
      </c>
      <c r="F145">
        <v>25</v>
      </c>
      <c r="G145">
        <v>-1.489375000000237E-2</v>
      </c>
      <c r="H145">
        <v>-0.25262812499999843</v>
      </c>
    </row>
    <row r="146" spans="1:8" x14ac:dyDescent="0.35">
      <c r="A146" t="s">
        <v>262</v>
      </c>
      <c r="B146">
        <v>0.14163437499999709</v>
      </c>
      <c r="C146">
        <v>0.3125</v>
      </c>
      <c r="D146">
        <v>0.4201718750000083</v>
      </c>
      <c r="E146">
        <v>8.493333106973644E-2</v>
      </c>
      <c r="F146">
        <v>25</v>
      </c>
      <c r="G146">
        <v>0</v>
      </c>
      <c r="H146">
        <v>0.27853750000002009</v>
      </c>
    </row>
    <row r="147" spans="1:8" x14ac:dyDescent="0.35">
      <c r="A147" t="s">
        <v>262</v>
      </c>
      <c r="B147">
        <v>0.27435937499999952</v>
      </c>
      <c r="C147">
        <v>0.30468559265136363</v>
      </c>
      <c r="D147">
        <v>0.66832499999998518</v>
      </c>
      <c r="E147">
        <v>0.16493230918715351</v>
      </c>
      <c r="F147">
        <v>-20</v>
      </c>
      <c r="G147">
        <v>0.13272500000000242</v>
      </c>
      <c r="H147">
        <v>0.52669062499999697</v>
      </c>
    </row>
    <row r="148" spans="1:8" x14ac:dyDescent="0.35">
      <c r="A148" t="s">
        <v>262</v>
      </c>
      <c r="B148">
        <v>0.35790625000000631</v>
      </c>
      <c r="C148">
        <v>2.9300689697269178E-2</v>
      </c>
      <c r="D148">
        <v>0.50483749999999716</v>
      </c>
      <c r="E148">
        <v>0.10014351547770416</v>
      </c>
      <c r="F148">
        <v>0</v>
      </c>
      <c r="G148">
        <v>0.21627187500000922</v>
      </c>
      <c r="H148">
        <v>0.36320312499999119</v>
      </c>
    </row>
    <row r="149" spans="1:8" x14ac:dyDescent="0.35">
      <c r="A149" t="s">
        <v>262</v>
      </c>
      <c r="B149">
        <v>0.28555625000000084</v>
      </c>
      <c r="C149">
        <v>0.12499999999999289</v>
      </c>
      <c r="D149">
        <v>0.53179374999999141</v>
      </c>
      <c r="E149">
        <v>0.16713750451240905</v>
      </c>
      <c r="F149">
        <v>10</v>
      </c>
      <c r="G149">
        <v>0.14392187500000375</v>
      </c>
      <c r="H149">
        <v>0.39015937500000319</v>
      </c>
    </row>
    <row r="150" spans="1:8" x14ac:dyDescent="0.35">
      <c r="A150" t="s">
        <v>262</v>
      </c>
      <c r="B150">
        <v>0.15534687500000643</v>
      </c>
      <c r="C150">
        <v>8.9845657348632813E-2</v>
      </c>
      <c r="D150">
        <v>-49.012250000000002</v>
      </c>
      <c r="E150">
        <v>9.5957997801288109E-2</v>
      </c>
      <c r="F150">
        <v>25</v>
      </c>
      <c r="G150">
        <v>1.3712500000009342E-2</v>
      </c>
      <c r="H150">
        <v>-49.15388437499999</v>
      </c>
    </row>
    <row r="151" spans="1:8" x14ac:dyDescent="0.35">
      <c r="A151" t="s">
        <v>262</v>
      </c>
      <c r="B151">
        <v>0.19516874999999878</v>
      </c>
      <c r="C151">
        <v>0.27343559265137429</v>
      </c>
      <c r="D151">
        <v>0.45528124999998809</v>
      </c>
      <c r="E151">
        <v>0.12035163800863113</v>
      </c>
      <c r="F151">
        <v>50</v>
      </c>
      <c r="G151">
        <v>5.3534375000001688E-2</v>
      </c>
      <c r="H151">
        <v>0.31364687499999988</v>
      </c>
    </row>
    <row r="152" spans="1:8" x14ac:dyDescent="0.35">
      <c r="A152" t="s">
        <v>262</v>
      </c>
      <c r="B152">
        <v>0.26187499999999808</v>
      </c>
      <c r="C152">
        <v>0.33984184265136719</v>
      </c>
      <c r="D152">
        <v>0.60518124999999756</v>
      </c>
      <c r="E152">
        <v>0.10878433365266282</v>
      </c>
      <c r="F152">
        <v>70</v>
      </c>
      <c r="G152">
        <v>0.12024062500000099</v>
      </c>
      <c r="H152">
        <v>0.46354687500000935</v>
      </c>
    </row>
    <row r="153" spans="1:8" x14ac:dyDescent="0.35">
      <c r="A153" t="s">
        <v>262</v>
      </c>
      <c r="B153">
        <v>0.33633437499999808</v>
      </c>
      <c r="C153">
        <v>0.35937690734863637</v>
      </c>
      <c r="D153">
        <v>0.74710625000001585</v>
      </c>
      <c r="E153">
        <v>0.14901645387117579</v>
      </c>
      <c r="F153">
        <v>85</v>
      </c>
      <c r="G153">
        <v>0.19470000000000098</v>
      </c>
      <c r="H153">
        <v>0.60547187500002764</v>
      </c>
    </row>
    <row r="154" spans="1:8" x14ac:dyDescent="0.35">
      <c r="A154" t="s">
        <v>262</v>
      </c>
      <c r="B154">
        <v>-2.3646875000000733E-2</v>
      </c>
      <c r="C154">
        <v>0.30468940734863281</v>
      </c>
      <c r="D154">
        <v>0.46028750000001395</v>
      </c>
      <c r="E154">
        <v>0.19822878663323884</v>
      </c>
      <c r="F154">
        <v>25</v>
      </c>
      <c r="G154">
        <v>-0.16528124999999783</v>
      </c>
      <c r="H154">
        <v>0.31865312500002574</v>
      </c>
    </row>
    <row r="155" spans="1:8" x14ac:dyDescent="0.35">
      <c r="A155" t="s">
        <v>264</v>
      </c>
      <c r="B155">
        <v>-0.13094687500000646</v>
      </c>
      <c r="C155">
        <v>0.21288681030274145</v>
      </c>
      <c r="D155">
        <v>0.22521875000000691</v>
      </c>
      <c r="E155">
        <v>0.15788706026469645</v>
      </c>
      <c r="F155">
        <v>25</v>
      </c>
      <c r="G155">
        <v>0</v>
      </c>
      <c r="H155">
        <v>0.35616562500001336</v>
      </c>
    </row>
    <row r="156" spans="1:8" x14ac:dyDescent="0.35">
      <c r="A156" t="s">
        <v>264</v>
      </c>
      <c r="B156">
        <v>0.29785312499999606</v>
      </c>
      <c r="C156">
        <v>7.0312500000007105E-2</v>
      </c>
      <c r="D156">
        <v>0.48381562499999697</v>
      </c>
      <c r="E156">
        <v>0.17178289002014679</v>
      </c>
      <c r="F156">
        <v>-20</v>
      </c>
      <c r="G156">
        <v>0.42880000000000251</v>
      </c>
      <c r="H156">
        <v>0.61476250000000343</v>
      </c>
    </row>
    <row r="157" spans="1:8" x14ac:dyDescent="0.35">
      <c r="A157" t="s">
        <v>264</v>
      </c>
      <c r="B157">
        <v>0.10926249999999804</v>
      </c>
      <c r="C157">
        <v>2.539253234862926E-2</v>
      </c>
      <c r="D157">
        <v>0.25784375000000637</v>
      </c>
      <c r="E157">
        <v>0.10265960262441531</v>
      </c>
      <c r="F157">
        <v>0</v>
      </c>
      <c r="G157">
        <v>0.2402093750000045</v>
      </c>
      <c r="H157">
        <v>0.38879062500001282</v>
      </c>
    </row>
    <row r="158" spans="1:8" x14ac:dyDescent="0.35">
      <c r="A158" t="s">
        <v>264</v>
      </c>
      <c r="B158">
        <v>-4.8881249999999099E-2</v>
      </c>
      <c r="C158">
        <v>8.008193969725852E-2</v>
      </c>
      <c r="D158">
        <v>0.2377281250000074</v>
      </c>
      <c r="E158">
        <v>0.16337133862702302</v>
      </c>
      <c r="F158">
        <v>10</v>
      </c>
      <c r="G158">
        <v>8.2065625000007358E-2</v>
      </c>
      <c r="H158">
        <v>0.36867500000001385</v>
      </c>
    </row>
    <row r="159" spans="1:8" x14ac:dyDescent="0.35">
      <c r="A159" t="s">
        <v>264</v>
      </c>
      <c r="B159">
        <v>-4.4674999999996245E-2</v>
      </c>
      <c r="C159">
        <v>7.8123092651374293E-2</v>
      </c>
      <c r="D159">
        <v>0.15756562500000015</v>
      </c>
      <c r="E159">
        <v>0.1051814035429266</v>
      </c>
      <c r="F159">
        <v>25</v>
      </c>
      <c r="G159">
        <v>8.6271875000010212E-2</v>
      </c>
      <c r="H159">
        <v>0.28851250000000661</v>
      </c>
    </row>
    <row r="160" spans="1:8" x14ac:dyDescent="0.35">
      <c r="A160" t="s">
        <v>264</v>
      </c>
      <c r="B160">
        <v>5.6343749999996362E-2</v>
      </c>
      <c r="C160">
        <v>0.20116996765136008</v>
      </c>
      <c r="D160">
        <v>0.23117187499998693</v>
      </c>
      <c r="E160">
        <v>0.14771344543969445</v>
      </c>
      <c r="F160">
        <v>50</v>
      </c>
      <c r="G160">
        <v>0.18729062500000282</v>
      </c>
      <c r="H160">
        <v>0.36211874999999338</v>
      </c>
    </row>
    <row r="161" spans="1:8" x14ac:dyDescent="0.35">
      <c r="A161" t="s">
        <v>264</v>
      </c>
      <c r="B161">
        <v>-1.5978125000000176E-2</v>
      </c>
      <c r="C161">
        <v>0.26757621765137074</v>
      </c>
      <c r="D161">
        <v>0.27020000000000266</v>
      </c>
      <c r="E161">
        <v>9.4879823452034273E-2</v>
      </c>
      <c r="F161">
        <v>70</v>
      </c>
      <c r="G161">
        <v>0.11496875000000628</v>
      </c>
      <c r="H161">
        <v>0.40114687500000912</v>
      </c>
    </row>
    <row r="162" spans="1:8" x14ac:dyDescent="0.35">
      <c r="A162" t="s">
        <v>264</v>
      </c>
      <c r="B162">
        <v>0.15884999999999927</v>
      </c>
      <c r="C162">
        <v>0.20703125000000713</v>
      </c>
      <c r="D162">
        <v>0.32931875000000943</v>
      </c>
      <c r="E162">
        <v>0.12983377372243865</v>
      </c>
      <c r="F162">
        <v>85</v>
      </c>
      <c r="G162">
        <v>0.28979687500000573</v>
      </c>
      <c r="H162">
        <v>0.46026562500001589</v>
      </c>
    </row>
    <row r="163" spans="1:8" x14ac:dyDescent="0.35">
      <c r="A163" t="s">
        <v>264</v>
      </c>
      <c r="B163">
        <v>-0.145293750000004</v>
      </c>
      <c r="C163">
        <v>0.13085937499999645</v>
      </c>
      <c r="D163">
        <v>-0.22031875000000145</v>
      </c>
      <c r="E163">
        <v>8.5308762294284968E-2</v>
      </c>
      <c r="F163">
        <v>25</v>
      </c>
      <c r="G163">
        <v>-1.4346874999997539E-2</v>
      </c>
      <c r="H163">
        <v>0.14577812500000675</v>
      </c>
    </row>
    <row r="164" spans="1:8" x14ac:dyDescent="0.35">
      <c r="A164" t="s">
        <v>266</v>
      </c>
      <c r="B164">
        <v>3.0409374999997851E-2</v>
      </c>
      <c r="C164">
        <v>0.17968368530272727</v>
      </c>
      <c r="D164">
        <v>0.19672499999998649</v>
      </c>
      <c r="E164">
        <v>6.0455571265034529E-2</v>
      </c>
      <c r="F164">
        <v>25</v>
      </c>
      <c r="G164">
        <v>0</v>
      </c>
      <c r="H164">
        <v>0.16631562499998864</v>
      </c>
    </row>
    <row r="165" spans="1:8" x14ac:dyDescent="0.35">
      <c r="A165" t="s">
        <v>266</v>
      </c>
      <c r="B165">
        <v>0.62512812500000514</v>
      </c>
      <c r="C165">
        <v>6.2499999999996447E-2</v>
      </c>
      <c r="D165">
        <v>0.71985624999999942</v>
      </c>
      <c r="E165">
        <v>0.18817475310630716</v>
      </c>
      <c r="F165">
        <v>-20</v>
      </c>
      <c r="G165">
        <v>0.59471875000000729</v>
      </c>
      <c r="H165">
        <v>0.68944687500000157</v>
      </c>
    </row>
    <row r="166" spans="1:8" x14ac:dyDescent="0.35">
      <c r="A166" t="s">
        <v>266</v>
      </c>
      <c r="B166">
        <v>0.1674124999999993</v>
      </c>
      <c r="C166">
        <v>0.29101753234863637</v>
      </c>
      <c r="D166">
        <v>0.39551250000000593</v>
      </c>
      <c r="E166">
        <v>0.11717564171102701</v>
      </c>
      <c r="F166">
        <v>0</v>
      </c>
      <c r="G166">
        <v>0.13700312500000145</v>
      </c>
      <c r="H166">
        <v>0.36510312500000808</v>
      </c>
    </row>
    <row r="167" spans="1:8" x14ac:dyDescent="0.35">
      <c r="A167" t="s">
        <v>266</v>
      </c>
      <c r="B167">
        <v>8.0221874999999443E-2</v>
      </c>
      <c r="C167">
        <v>0.25390625</v>
      </c>
      <c r="D167">
        <v>0.28861875000000481</v>
      </c>
      <c r="E167">
        <v>6.4081051971576208E-2</v>
      </c>
      <c r="F167">
        <v>10</v>
      </c>
      <c r="G167">
        <v>4.9812500000001592E-2</v>
      </c>
      <c r="H167">
        <v>0.25820937500000696</v>
      </c>
    </row>
    <row r="168" spans="1:8" x14ac:dyDescent="0.35">
      <c r="A168" t="s">
        <v>266</v>
      </c>
      <c r="B168">
        <v>3.0234375000004476E-2</v>
      </c>
      <c r="C168">
        <v>0.19140815734862926</v>
      </c>
      <c r="D168">
        <v>0.27744375000001043</v>
      </c>
      <c r="E168">
        <v>8.5254134622334554E-2</v>
      </c>
      <c r="F168">
        <v>25</v>
      </c>
      <c r="G168">
        <v>-1.749999999933749E-4</v>
      </c>
      <c r="H168">
        <v>0.24703437500001257</v>
      </c>
    </row>
    <row r="169" spans="1:8" x14ac:dyDescent="0.35">
      <c r="A169" t="s">
        <v>266</v>
      </c>
      <c r="B169">
        <v>0.16587187499999878</v>
      </c>
      <c r="C169">
        <v>0.18749618530273793</v>
      </c>
      <c r="D169">
        <v>0.34480625000000487</v>
      </c>
      <c r="E169">
        <v>0.10414679928485437</v>
      </c>
      <c r="F169">
        <v>50</v>
      </c>
      <c r="G169">
        <v>0.13546250000000093</v>
      </c>
      <c r="H169">
        <v>0.31439687500000701</v>
      </c>
    </row>
    <row r="170" spans="1:8" x14ac:dyDescent="0.35">
      <c r="A170" t="s">
        <v>266</v>
      </c>
      <c r="B170">
        <v>0.29962499999999892</v>
      </c>
      <c r="C170">
        <v>0.16210556030273438</v>
      </c>
      <c r="D170">
        <v>0.42421562500001286</v>
      </c>
      <c r="E170">
        <v>8.4220244894819274E-2</v>
      </c>
      <c r="F170">
        <v>70</v>
      </c>
      <c r="G170">
        <v>0.26921562500000107</v>
      </c>
      <c r="H170">
        <v>0.39380625000001501</v>
      </c>
    </row>
    <row r="171" spans="1:8" x14ac:dyDescent="0.35">
      <c r="A171" t="s">
        <v>266</v>
      </c>
      <c r="B171">
        <v>0.46949999999999825</v>
      </c>
      <c r="C171">
        <v>-6.2499999999996447E-2</v>
      </c>
      <c r="D171">
        <v>0.46949999999999825</v>
      </c>
      <c r="E171">
        <v>0.11355561557987669</v>
      </c>
      <c r="F171">
        <v>85</v>
      </c>
      <c r="G171">
        <v>0.4390906250000004</v>
      </c>
      <c r="H171">
        <v>0.4390906250000004</v>
      </c>
    </row>
    <row r="172" spans="1:8" x14ac:dyDescent="0.35">
      <c r="A172" t="s">
        <v>266</v>
      </c>
      <c r="B172">
        <v>-1.8087499999994705E-2</v>
      </c>
      <c r="C172">
        <v>0.49219131469726563</v>
      </c>
      <c r="D172">
        <v>0.30720624999998947</v>
      </c>
      <c r="E172">
        <v>5.1047683423526287E-2</v>
      </c>
      <c r="F172">
        <v>25</v>
      </c>
      <c r="G172">
        <v>-4.8496874999992556E-2</v>
      </c>
      <c r="H172">
        <v>0.27679687499999162</v>
      </c>
    </row>
    <row r="173" spans="1:8" x14ac:dyDescent="0.35">
      <c r="A173" t="s">
        <v>268</v>
      </c>
      <c r="B173">
        <v>0.23689062499999913</v>
      </c>
      <c r="C173">
        <v>0.20116806030273438</v>
      </c>
      <c r="D173">
        <v>0.47637499999998667</v>
      </c>
      <c r="E173">
        <v>9.5930113840729803E-2</v>
      </c>
      <c r="F173">
        <v>25</v>
      </c>
      <c r="G173">
        <v>0</v>
      </c>
      <c r="H173">
        <v>0.23948437499999642</v>
      </c>
    </row>
    <row r="174" spans="1:8" x14ac:dyDescent="0.35">
      <c r="A174" t="s">
        <v>268</v>
      </c>
      <c r="B174">
        <v>0.52391874999999644</v>
      </c>
      <c r="C174">
        <v>0.17773628234863281</v>
      </c>
      <c r="D174">
        <v>0.70397812500001322</v>
      </c>
      <c r="E174">
        <v>9.7436216546391563E-2</v>
      </c>
      <c r="F174">
        <v>-20</v>
      </c>
      <c r="G174">
        <v>0.2870281249999973</v>
      </c>
      <c r="H174">
        <v>0.46708750000000521</v>
      </c>
    </row>
    <row r="175" spans="1:8" x14ac:dyDescent="0.35">
      <c r="A175" t="s">
        <v>268</v>
      </c>
      <c r="B175">
        <v>0.47110312500000084</v>
      </c>
      <c r="C175">
        <v>0.28515815734863281</v>
      </c>
      <c r="D175">
        <v>0.65793437500001772</v>
      </c>
      <c r="E175">
        <v>0.14759651411843322</v>
      </c>
      <c r="F175">
        <v>0</v>
      </c>
      <c r="G175">
        <v>0.23421250000000171</v>
      </c>
      <c r="H175">
        <v>0.42104375000000971</v>
      </c>
    </row>
    <row r="176" spans="1:8" x14ac:dyDescent="0.35">
      <c r="A176" t="s">
        <v>268</v>
      </c>
      <c r="B176">
        <v>0.2957624999999986</v>
      </c>
      <c r="C176">
        <v>0.16015624999999645</v>
      </c>
      <c r="D176">
        <v>0.56224999999999525</v>
      </c>
      <c r="E176">
        <v>0.11620224243133136</v>
      </c>
      <c r="F176">
        <v>10</v>
      </c>
      <c r="G176">
        <v>5.8871874999999463E-2</v>
      </c>
      <c r="H176">
        <v>0.325359375000005</v>
      </c>
    </row>
    <row r="177" spans="1:8" x14ac:dyDescent="0.35">
      <c r="A177" t="s">
        <v>268</v>
      </c>
      <c r="B177">
        <v>0.31297812500000077</v>
      </c>
      <c r="C177">
        <v>0.23633003234863281</v>
      </c>
      <c r="D177">
        <v>0.58287812500001479</v>
      </c>
      <c r="E177">
        <v>8.7004819866791649E-2</v>
      </c>
      <c r="F177">
        <v>25</v>
      </c>
      <c r="G177">
        <v>7.608750000000164E-2</v>
      </c>
      <c r="H177">
        <v>0.34598750000000678</v>
      </c>
    </row>
    <row r="178" spans="1:8" x14ac:dyDescent="0.35">
      <c r="A178" t="s">
        <v>268</v>
      </c>
      <c r="B178">
        <v>0.38212500000000205</v>
      </c>
      <c r="C178">
        <v>0.13085937499999645</v>
      </c>
      <c r="D178">
        <v>0.52176875000000678</v>
      </c>
      <c r="E178">
        <v>7.4924650403453974E-2</v>
      </c>
      <c r="F178">
        <v>50</v>
      </c>
      <c r="G178">
        <v>0.14523437500000291</v>
      </c>
      <c r="H178">
        <v>0.28487812500001652</v>
      </c>
    </row>
    <row r="179" spans="1:8" x14ac:dyDescent="0.35">
      <c r="A179" t="s">
        <v>268</v>
      </c>
      <c r="B179">
        <v>0.47155312500000157</v>
      </c>
      <c r="C179">
        <v>-1.9550323486328125E-3</v>
      </c>
      <c r="D179">
        <v>0.56999687499999396</v>
      </c>
      <c r="E179">
        <v>7.9358138990466287E-2</v>
      </c>
      <c r="F179">
        <v>70</v>
      </c>
      <c r="G179">
        <v>0.23466250000000244</v>
      </c>
      <c r="H179">
        <v>0.33310625000000371</v>
      </c>
    </row>
    <row r="180" spans="1:8" x14ac:dyDescent="0.35">
      <c r="A180" t="s">
        <v>268</v>
      </c>
      <c r="B180">
        <v>0.67463437499999834</v>
      </c>
      <c r="C180">
        <v>-0.17773056030273793</v>
      </c>
      <c r="D180">
        <v>0.80574374999999421</v>
      </c>
      <c r="E180">
        <v>5.6148305987195897E-2</v>
      </c>
      <c r="F180">
        <v>85</v>
      </c>
      <c r="G180">
        <v>0.43774374999999921</v>
      </c>
      <c r="H180">
        <v>0.56885312499999507</v>
      </c>
    </row>
    <row r="181" spans="1:8" x14ac:dyDescent="0.35">
      <c r="A181" t="s">
        <v>268</v>
      </c>
      <c r="B181">
        <v>0.15919375000001068</v>
      </c>
      <c r="C181">
        <v>0.34374618530273793</v>
      </c>
      <c r="D181">
        <v>0.41103125000001128</v>
      </c>
      <c r="E181">
        <v>7.4204019107391161E-2</v>
      </c>
      <c r="F181">
        <v>25</v>
      </c>
      <c r="G181">
        <v>-7.7696874999988452E-2</v>
      </c>
      <c r="H181">
        <v>0.17414062500002103</v>
      </c>
    </row>
    <row r="182" spans="1:8" x14ac:dyDescent="0.35">
      <c r="A182" t="s">
        <v>270</v>
      </c>
      <c r="B182">
        <v>-9.603125000001711E-3</v>
      </c>
      <c r="C182">
        <v>-100.00000190734863</v>
      </c>
      <c r="D182">
        <v>-50.007253124999977</v>
      </c>
      <c r="E182">
        <v>0</v>
      </c>
      <c r="F182">
        <v>25</v>
      </c>
      <c r="G182">
        <v>0</v>
      </c>
      <c r="H182">
        <v>50.012350000000005</v>
      </c>
    </row>
    <row r="183" spans="1:8" x14ac:dyDescent="0.35">
      <c r="A183" t="s">
        <v>270</v>
      </c>
      <c r="B183">
        <v>4.6968750000075943E-3</v>
      </c>
      <c r="C183">
        <v>-100.00000190734863</v>
      </c>
      <c r="D183">
        <v>50.004896875</v>
      </c>
      <c r="E183">
        <v>0</v>
      </c>
      <c r="F183">
        <v>-20</v>
      </c>
      <c r="G183">
        <v>1.4300000000009305E-2</v>
      </c>
      <c r="H183">
        <v>50.014500000000005</v>
      </c>
    </row>
    <row r="184" spans="1:8" x14ac:dyDescent="0.35">
      <c r="A184" t="s">
        <v>270</v>
      </c>
      <c r="B184">
        <v>-7.1531250000056446E-3</v>
      </c>
      <c r="C184">
        <v>-100.00000190734863</v>
      </c>
      <c r="D184">
        <v>50.008146875000001</v>
      </c>
      <c r="E184">
        <v>0</v>
      </c>
      <c r="F184">
        <v>0</v>
      </c>
      <c r="G184">
        <v>2.4499999999960664E-3</v>
      </c>
      <c r="H184">
        <v>50.017749999999999</v>
      </c>
    </row>
    <row r="185" spans="1:8" x14ac:dyDescent="0.35">
      <c r="A185" t="s">
        <v>270</v>
      </c>
      <c r="B185">
        <v>9.2968750000022027E-3</v>
      </c>
      <c r="C185">
        <v>-100.00000190734863</v>
      </c>
      <c r="D185">
        <v>50.007196874999998</v>
      </c>
      <c r="E185">
        <v>0</v>
      </c>
      <c r="F185">
        <v>10</v>
      </c>
      <c r="G185">
        <v>1.8900000000003914E-2</v>
      </c>
      <c r="H185">
        <v>50.016800000000003</v>
      </c>
    </row>
    <row r="186" spans="1:8" x14ac:dyDescent="0.35">
      <c r="A186" t="s">
        <v>270</v>
      </c>
      <c r="B186">
        <v>1.2796875000002927E-2</v>
      </c>
      <c r="C186">
        <v>-100.00000190734863</v>
      </c>
      <c r="D186">
        <v>50.009196875000001</v>
      </c>
      <c r="E186">
        <v>0</v>
      </c>
      <c r="F186">
        <v>25</v>
      </c>
      <c r="G186">
        <v>2.2400000000004638E-2</v>
      </c>
      <c r="H186">
        <v>50.018800000000013</v>
      </c>
    </row>
    <row r="187" spans="1:8" x14ac:dyDescent="0.35">
      <c r="A187" t="s">
        <v>270</v>
      </c>
      <c r="B187">
        <v>-1.4753125000002143E-2</v>
      </c>
      <c r="C187">
        <v>-100.00000190734863</v>
      </c>
      <c r="D187">
        <v>50.009046875000003</v>
      </c>
      <c r="E187">
        <v>0</v>
      </c>
      <c r="F187">
        <v>50</v>
      </c>
      <c r="G187">
        <v>-5.150000000000432E-3</v>
      </c>
      <c r="H187">
        <v>50.018650000000001</v>
      </c>
    </row>
    <row r="188" spans="1:8" x14ac:dyDescent="0.35">
      <c r="A188" t="s">
        <v>270</v>
      </c>
      <c r="B188">
        <v>-2.103124999992545E-3</v>
      </c>
      <c r="C188">
        <v>-100.00000190734863</v>
      </c>
      <c r="D188">
        <v>-50.005053124999989</v>
      </c>
      <c r="E188">
        <v>0</v>
      </c>
      <c r="F188">
        <v>70</v>
      </c>
      <c r="G188">
        <v>7.500000000009166E-3</v>
      </c>
      <c r="H188">
        <v>50.007950000000001</v>
      </c>
    </row>
    <row r="189" spans="1:8" x14ac:dyDescent="0.35">
      <c r="A189" t="s">
        <v>270</v>
      </c>
      <c r="B189">
        <v>-9.9531249999973426E-3</v>
      </c>
      <c r="C189">
        <v>-100.00000190734863</v>
      </c>
      <c r="D189">
        <v>50.023146875000002</v>
      </c>
      <c r="E189">
        <v>0</v>
      </c>
      <c r="F189">
        <v>85</v>
      </c>
      <c r="G189">
        <v>-3.4999999999563158E-4</v>
      </c>
      <c r="H189">
        <v>50.032750000000007</v>
      </c>
    </row>
    <row r="190" spans="1:8" x14ac:dyDescent="0.35">
      <c r="A190" t="s">
        <v>270</v>
      </c>
      <c r="B190">
        <v>6.7968750000080291E-3</v>
      </c>
      <c r="C190">
        <v>-100.00000190734863</v>
      </c>
      <c r="D190">
        <v>-50.022053125000021</v>
      </c>
      <c r="E190">
        <v>0</v>
      </c>
      <c r="F190">
        <v>25</v>
      </c>
      <c r="G190">
        <v>1.640000000000974E-2</v>
      </c>
      <c r="H190">
        <v>50.028849999999998</v>
      </c>
    </row>
    <row r="191" spans="1:8" x14ac:dyDescent="0.35">
      <c r="A191" t="s">
        <v>272</v>
      </c>
      <c r="B191">
        <v>-1.1003124999993119E-2</v>
      </c>
      <c r="C191">
        <v>-100.00000190734863</v>
      </c>
      <c r="D191">
        <v>-50.008153124999993</v>
      </c>
      <c r="E191">
        <v>0</v>
      </c>
      <c r="F191">
        <v>25</v>
      </c>
      <c r="G191">
        <v>0</v>
      </c>
      <c r="H191">
        <v>50.015200000000007</v>
      </c>
    </row>
    <row r="192" spans="1:8" x14ac:dyDescent="0.35">
      <c r="A192" t="s">
        <v>272</v>
      </c>
      <c r="B192">
        <v>2.3468749999988603E-3</v>
      </c>
      <c r="C192">
        <v>-100.00000190734863</v>
      </c>
      <c r="D192">
        <v>50.004096875000002</v>
      </c>
      <c r="E192">
        <v>0</v>
      </c>
      <c r="F192">
        <v>-20</v>
      </c>
      <c r="G192">
        <v>1.3349999999991979E-2</v>
      </c>
      <c r="H192">
        <v>50.015099999999997</v>
      </c>
    </row>
    <row r="193" spans="1:8" x14ac:dyDescent="0.35">
      <c r="A193" t="s">
        <v>272</v>
      </c>
      <c r="B193">
        <v>-7.8031249999899188E-3</v>
      </c>
      <c r="C193">
        <v>-100.00000190734863</v>
      </c>
      <c r="D193">
        <v>50.016896875000008</v>
      </c>
      <c r="E193">
        <v>0</v>
      </c>
      <c r="F193">
        <v>0</v>
      </c>
      <c r="G193">
        <v>3.2000000000032003E-3</v>
      </c>
      <c r="H193">
        <v>50.027900000000002</v>
      </c>
    </row>
    <row r="194" spans="1:8" x14ac:dyDescent="0.35">
      <c r="A194" t="s">
        <v>272</v>
      </c>
      <c r="B194">
        <v>1.0796874999998707E-2</v>
      </c>
      <c r="C194">
        <v>-100.00000190734863</v>
      </c>
      <c r="D194">
        <v>50.008096874999993</v>
      </c>
      <c r="E194">
        <v>0</v>
      </c>
      <c r="F194">
        <v>10</v>
      </c>
      <c r="G194">
        <v>2.1799999999991826E-2</v>
      </c>
      <c r="H194">
        <v>50.019099999999987</v>
      </c>
    </row>
    <row r="195" spans="1:8" x14ac:dyDescent="0.35">
      <c r="A195" t="s">
        <v>272</v>
      </c>
      <c r="B195">
        <v>1.214687500000089E-2</v>
      </c>
      <c r="C195">
        <v>-100.00000190734863</v>
      </c>
      <c r="D195">
        <v>50.005546875000007</v>
      </c>
      <c r="E195">
        <v>0</v>
      </c>
      <c r="F195">
        <v>25</v>
      </c>
      <c r="G195">
        <v>2.3149999999994009E-2</v>
      </c>
      <c r="H195">
        <v>50.016549999999995</v>
      </c>
    </row>
    <row r="196" spans="1:8" x14ac:dyDescent="0.35">
      <c r="A196" t="s">
        <v>272</v>
      </c>
      <c r="B196">
        <v>-1.320312499999865E-2</v>
      </c>
      <c r="C196">
        <v>-100.00000190734863</v>
      </c>
      <c r="D196">
        <v>50.010496875000001</v>
      </c>
      <c r="E196">
        <v>0</v>
      </c>
      <c r="F196">
        <v>50</v>
      </c>
      <c r="G196">
        <v>-2.2000000000055309E-3</v>
      </c>
      <c r="H196">
        <v>50.021499999999989</v>
      </c>
    </row>
    <row r="197" spans="1:8" x14ac:dyDescent="0.35">
      <c r="A197" t="s">
        <v>272</v>
      </c>
      <c r="B197">
        <v>-1.8531250000020094E-3</v>
      </c>
      <c r="C197">
        <v>-100.00000190734863</v>
      </c>
      <c r="D197">
        <v>-50.001703124999992</v>
      </c>
      <c r="E197">
        <v>0</v>
      </c>
      <c r="F197">
        <v>70</v>
      </c>
      <c r="G197">
        <v>9.1499999999911097E-3</v>
      </c>
      <c r="H197">
        <v>50.011700000000005</v>
      </c>
    </row>
    <row r="198" spans="1:8" x14ac:dyDescent="0.35">
      <c r="A198" t="s">
        <v>272</v>
      </c>
      <c r="B198">
        <v>-1.2553125000005494E-2</v>
      </c>
      <c r="C198">
        <v>-100.00000190734863</v>
      </c>
      <c r="D198">
        <v>50.017646874999997</v>
      </c>
      <c r="E198">
        <v>0</v>
      </c>
      <c r="F198">
        <v>85</v>
      </c>
      <c r="G198">
        <v>-1.5500000000123748E-3</v>
      </c>
      <c r="H198">
        <v>50.028649999999985</v>
      </c>
    </row>
    <row r="199" spans="1:8" x14ac:dyDescent="0.35">
      <c r="A199" t="s">
        <v>272</v>
      </c>
      <c r="B199">
        <v>5.3468750000007503E-3</v>
      </c>
      <c r="C199">
        <v>-100.00000190734863</v>
      </c>
      <c r="D199">
        <v>-50.018153124999984</v>
      </c>
      <c r="E199">
        <v>0</v>
      </c>
      <c r="F199">
        <v>25</v>
      </c>
      <c r="G199">
        <v>1.6349999999993869E-2</v>
      </c>
      <c r="H199">
        <v>50.028799999999997</v>
      </c>
    </row>
    <row r="200" spans="1:8" x14ac:dyDescent="0.35">
      <c r="A200" t="s">
        <v>274</v>
      </c>
      <c r="B200">
        <v>4.9446875000001E-2</v>
      </c>
      <c r="C200">
        <v>0.21289253234863639</v>
      </c>
      <c r="D200">
        <v>0.31956875000002327</v>
      </c>
      <c r="E200">
        <v>0.11746643536830081</v>
      </c>
      <c r="F200">
        <v>25</v>
      </c>
      <c r="G200">
        <v>0</v>
      </c>
      <c r="H200">
        <v>0.27012187500002227</v>
      </c>
    </row>
    <row r="201" spans="1:8" x14ac:dyDescent="0.35">
      <c r="A201" t="s">
        <v>274</v>
      </c>
      <c r="B201">
        <v>0.81012812500000031</v>
      </c>
      <c r="C201">
        <v>-8.5941314697262072E-2</v>
      </c>
      <c r="D201">
        <v>0.84715937500000393</v>
      </c>
      <c r="E201">
        <v>0.17893144382696402</v>
      </c>
      <c r="F201">
        <v>-20</v>
      </c>
      <c r="G201">
        <v>0.76068124999999931</v>
      </c>
      <c r="H201">
        <v>0.79771250000000293</v>
      </c>
    </row>
    <row r="202" spans="1:8" x14ac:dyDescent="0.35">
      <c r="A202" t="s">
        <v>274</v>
      </c>
      <c r="B202">
        <v>0.28961875000000248</v>
      </c>
      <c r="C202">
        <v>9.1800689697265625E-2</v>
      </c>
      <c r="D202">
        <v>0.40264062500000364</v>
      </c>
      <c r="E202">
        <v>8.8433508736800448E-2</v>
      </c>
      <c r="F202">
        <v>0</v>
      </c>
      <c r="G202">
        <v>0.24017187500000148</v>
      </c>
      <c r="H202">
        <v>0.35319375000000264</v>
      </c>
    </row>
    <row r="203" spans="1:8" x14ac:dyDescent="0.35">
      <c r="A203" t="s">
        <v>274</v>
      </c>
      <c r="B203">
        <v>0.21472500000000672</v>
      </c>
      <c r="C203">
        <v>0.16992378234863992</v>
      </c>
      <c r="D203">
        <v>0.33269374999999712</v>
      </c>
      <c r="E203">
        <v>4.4492622592056108E-2</v>
      </c>
      <c r="F203">
        <v>10</v>
      </c>
      <c r="G203">
        <v>0.16527812500000572</v>
      </c>
      <c r="H203">
        <v>0.28324687499999612</v>
      </c>
    </row>
    <row r="204" spans="1:8" x14ac:dyDescent="0.35">
      <c r="A204" t="s">
        <v>274</v>
      </c>
      <c r="B204">
        <v>0.18327500000000718</v>
      </c>
      <c r="C204">
        <v>0.29101181030274148</v>
      </c>
      <c r="D204">
        <v>0.32749374999999858</v>
      </c>
      <c r="E204">
        <v>4.8601039089088971E-2</v>
      </c>
      <c r="F204">
        <v>25</v>
      </c>
      <c r="G204">
        <v>0.13382812500000618</v>
      </c>
      <c r="H204">
        <v>0.27804687499999758</v>
      </c>
    </row>
    <row r="205" spans="1:8" x14ac:dyDescent="0.35">
      <c r="A205" t="s">
        <v>274</v>
      </c>
      <c r="B205">
        <v>3.9115624999999099E-2</v>
      </c>
      <c r="C205">
        <v>0.29101753234863637</v>
      </c>
      <c r="D205">
        <v>0.38336250000000405</v>
      </c>
      <c r="E205">
        <v>0.15401057484658587</v>
      </c>
      <c r="F205">
        <v>50</v>
      </c>
      <c r="G205">
        <v>-1.0331250000001901E-2</v>
      </c>
      <c r="H205">
        <v>0.33391562500000305</v>
      </c>
    </row>
    <row r="206" spans="1:8" x14ac:dyDescent="0.35">
      <c r="A206" t="s">
        <v>274</v>
      </c>
      <c r="B206">
        <v>0.2067312500000007</v>
      </c>
      <c r="C206">
        <v>0.18164062500000355</v>
      </c>
      <c r="D206">
        <v>0.39162499999999767</v>
      </c>
      <c r="E206">
        <v>5.3967044152507533E-2</v>
      </c>
      <c r="F206">
        <v>70</v>
      </c>
      <c r="G206">
        <v>0.1572843749999997</v>
      </c>
      <c r="H206">
        <v>0.34217812499999667</v>
      </c>
    </row>
    <row r="207" spans="1:8" x14ac:dyDescent="0.35">
      <c r="A207" t="s">
        <v>274</v>
      </c>
      <c r="B207">
        <v>0.24611249999999529</v>
      </c>
      <c r="C207">
        <v>0.18163681030273438</v>
      </c>
      <c r="D207">
        <v>0.53630000000000067</v>
      </c>
      <c r="E207">
        <v>0.11028681148471443</v>
      </c>
      <c r="F207">
        <v>85</v>
      </c>
      <c r="G207">
        <v>0.19666562499999429</v>
      </c>
      <c r="H207">
        <v>0.48685312499999966</v>
      </c>
    </row>
    <row r="208" spans="1:8" x14ac:dyDescent="0.35">
      <c r="A208" t="s">
        <v>274</v>
      </c>
      <c r="B208">
        <v>8.6028124999995015E-2</v>
      </c>
      <c r="C208">
        <v>0.21484565734862571</v>
      </c>
      <c r="D208">
        <v>0.32292187499999514</v>
      </c>
      <c r="E208">
        <v>0.16089591921508273</v>
      </c>
      <c r="F208">
        <v>25</v>
      </c>
      <c r="G208">
        <v>3.6581249999994014E-2</v>
      </c>
      <c r="H208">
        <v>0.27347499999999414</v>
      </c>
    </row>
    <row r="209" spans="1:8" x14ac:dyDescent="0.35">
      <c r="A209" t="s">
        <v>275</v>
      </c>
      <c r="B209">
        <v>0.17450000000000188</v>
      </c>
      <c r="C209">
        <v>-4.0683574676513601</v>
      </c>
      <c r="D209">
        <v>2.3439437499999949</v>
      </c>
      <c r="E209">
        <v>9.669496283400747E-2</v>
      </c>
      <c r="F209">
        <v>25</v>
      </c>
      <c r="G209">
        <v>0</v>
      </c>
      <c r="H209">
        <v>2.169443749999993</v>
      </c>
    </row>
    <row r="210" spans="1:8" x14ac:dyDescent="0.35">
      <c r="A210" t="s">
        <v>275</v>
      </c>
      <c r="B210">
        <v>0.27446874999999871</v>
      </c>
      <c r="C210">
        <v>-4.23828125</v>
      </c>
      <c r="D210">
        <v>2.3560156250000053</v>
      </c>
      <c r="E210">
        <v>9.1252667951722266E-2</v>
      </c>
      <c r="F210">
        <v>-20</v>
      </c>
      <c r="G210">
        <v>9.9968749999996831E-2</v>
      </c>
      <c r="H210">
        <v>2.1815156250000034</v>
      </c>
    </row>
    <row r="211" spans="1:8" x14ac:dyDescent="0.35">
      <c r="A211" t="s">
        <v>275</v>
      </c>
      <c r="B211">
        <v>0.44937499999999631</v>
      </c>
      <c r="C211">
        <v>-4.0742168426513636</v>
      </c>
      <c r="D211">
        <v>2.5962156249999957</v>
      </c>
      <c r="E211">
        <v>0.14236009072049249</v>
      </c>
      <c r="F211">
        <v>0</v>
      </c>
      <c r="G211">
        <v>0.27487499999999443</v>
      </c>
      <c r="H211">
        <v>2.4217156249999938</v>
      </c>
    </row>
    <row r="212" spans="1:8" x14ac:dyDescent="0.35">
      <c r="A212" t="s">
        <v>275</v>
      </c>
      <c r="B212">
        <v>0.2940562499999988</v>
      </c>
      <c r="C212">
        <v>-3.8339805603027339</v>
      </c>
      <c r="D212">
        <v>2.5331499999999996</v>
      </c>
      <c r="E212">
        <v>0.1121272316739219</v>
      </c>
      <c r="F212">
        <v>10</v>
      </c>
      <c r="G212">
        <v>0.11955624999999692</v>
      </c>
      <c r="H212">
        <v>2.3586499999999977</v>
      </c>
    </row>
    <row r="213" spans="1:8" x14ac:dyDescent="0.35">
      <c r="A213" t="s">
        <v>275</v>
      </c>
      <c r="B213">
        <v>0.3089843750000032</v>
      </c>
      <c r="C213">
        <v>-4.4609394073486364</v>
      </c>
      <c r="D213">
        <v>2.730674999999998</v>
      </c>
      <c r="E213">
        <v>7.2682667922023825E-2</v>
      </c>
      <c r="F213">
        <v>25</v>
      </c>
      <c r="G213">
        <v>0.13448437500000132</v>
      </c>
      <c r="H213">
        <v>2.5561749999999961</v>
      </c>
    </row>
    <row r="214" spans="1:8" x14ac:dyDescent="0.35">
      <c r="A214" t="s">
        <v>275</v>
      </c>
      <c r="B214">
        <v>-8.9765625000000071E-2</v>
      </c>
      <c r="C214">
        <v>-1.0683593749999964</v>
      </c>
      <c r="D214">
        <v>0.77825937500000109</v>
      </c>
      <c r="E214">
        <v>0.19365241091506391</v>
      </c>
      <c r="F214">
        <v>50</v>
      </c>
      <c r="G214">
        <v>-0.26426562500000195</v>
      </c>
      <c r="H214">
        <v>0.60375937499999921</v>
      </c>
    </row>
    <row r="215" spans="1:8" x14ac:dyDescent="0.35">
      <c r="A215" t="s">
        <v>275</v>
      </c>
      <c r="B215">
        <v>-0.9796187499999931</v>
      </c>
      <c r="C215">
        <v>-0.38867187499999289</v>
      </c>
      <c r="D215">
        <v>-1.0717125000000038</v>
      </c>
      <c r="E215">
        <v>0.11178236295764864</v>
      </c>
      <c r="F215">
        <v>70</v>
      </c>
      <c r="G215">
        <v>-1.154118749999995</v>
      </c>
      <c r="H215">
        <v>-1.2462125000000057</v>
      </c>
    </row>
    <row r="216" spans="1:8" x14ac:dyDescent="0.35">
      <c r="A216" t="s">
        <v>275</v>
      </c>
      <c r="B216">
        <v>-0.90573437500000686</v>
      </c>
      <c r="C216">
        <v>-0.44726181030274148</v>
      </c>
      <c r="D216">
        <v>-0.94015937500000035</v>
      </c>
      <c r="E216">
        <v>0.11759483955727569</v>
      </c>
      <c r="F216">
        <v>85</v>
      </c>
      <c r="G216">
        <v>-1.0802343750000087</v>
      </c>
      <c r="H216">
        <v>-1.1146593750000022</v>
      </c>
    </row>
    <row r="217" spans="1:8" x14ac:dyDescent="0.35">
      <c r="A217" t="s">
        <v>275</v>
      </c>
      <c r="B217">
        <v>0.11852812499999921</v>
      </c>
      <c r="C217">
        <v>-0.36132621765137429</v>
      </c>
      <c r="D217">
        <v>0.32103749999999875</v>
      </c>
      <c r="E217">
        <v>0.17125749957348724</v>
      </c>
      <c r="F217">
        <v>25</v>
      </c>
      <c r="G217">
        <v>-5.5971875000002669E-2</v>
      </c>
      <c r="H217">
        <v>-0.25352187499999346</v>
      </c>
    </row>
    <row r="218" spans="1:8" x14ac:dyDescent="0.35">
      <c r="A218" t="s">
        <v>277</v>
      </c>
      <c r="B218">
        <v>0.11395312500000365</v>
      </c>
      <c r="C218">
        <v>0.24218940734863637</v>
      </c>
      <c r="D218">
        <v>0.38251250000001846</v>
      </c>
      <c r="E218">
        <v>0.12814141656962708</v>
      </c>
      <c r="F218">
        <v>25</v>
      </c>
      <c r="G218">
        <v>0</v>
      </c>
      <c r="H218">
        <v>0.26855937500002369</v>
      </c>
    </row>
    <row r="219" spans="1:8" x14ac:dyDescent="0.35">
      <c r="A219" t="s">
        <v>277</v>
      </c>
      <c r="B219">
        <v>1.3692218749999974</v>
      </c>
      <c r="C219">
        <v>-0.85742378234863648</v>
      </c>
      <c r="D219">
        <v>2.1536968749999996</v>
      </c>
      <c r="E219">
        <v>0.21286502273338395</v>
      </c>
      <c r="F219">
        <v>-20</v>
      </c>
      <c r="G219">
        <v>1.2552687499999937</v>
      </c>
      <c r="H219">
        <v>2.039743749999996</v>
      </c>
    </row>
    <row r="220" spans="1:8" x14ac:dyDescent="0.35">
      <c r="A220" t="s">
        <v>277</v>
      </c>
      <c r="B220">
        <v>0.60418125000000877</v>
      </c>
      <c r="C220">
        <v>-0.13086318969726563</v>
      </c>
      <c r="D220">
        <v>0.89412187499999585</v>
      </c>
      <c r="E220">
        <v>0.18690043870418727</v>
      </c>
      <c r="F220">
        <v>0</v>
      </c>
      <c r="G220">
        <v>0.49022812500000512</v>
      </c>
      <c r="H220">
        <v>0.78016874999999208</v>
      </c>
    </row>
    <row r="221" spans="1:8" x14ac:dyDescent="0.35">
      <c r="A221" t="s">
        <v>277</v>
      </c>
      <c r="B221">
        <v>0.27618125000000937</v>
      </c>
      <c r="C221">
        <v>0.11523056030274148</v>
      </c>
      <c r="D221">
        <v>0.4671437500000053</v>
      </c>
      <c r="E221">
        <v>0.12490882119237767</v>
      </c>
      <c r="F221">
        <v>10</v>
      </c>
      <c r="G221">
        <v>0.16222812500000572</v>
      </c>
      <c r="H221">
        <v>0.35319062499999276</v>
      </c>
    </row>
    <row r="222" spans="1:8" x14ac:dyDescent="0.35">
      <c r="A222" t="s">
        <v>277</v>
      </c>
      <c r="B222">
        <v>4.8768749999998917E-2</v>
      </c>
      <c r="C222">
        <v>0.26367378234862571</v>
      </c>
      <c r="D222">
        <v>0.33721875000001234</v>
      </c>
      <c r="E222">
        <v>0.13560266566037704</v>
      </c>
      <c r="F222">
        <v>25</v>
      </c>
      <c r="G222">
        <v>-6.5184375000004735E-2</v>
      </c>
      <c r="H222">
        <v>-0.22898437500000313</v>
      </c>
    </row>
    <row r="223" spans="1:8" x14ac:dyDescent="0.35">
      <c r="A223" t="s">
        <v>277</v>
      </c>
      <c r="B223">
        <v>0.34120624999999905</v>
      </c>
      <c r="C223">
        <v>0.15234756469727273</v>
      </c>
      <c r="D223">
        <v>1.3055875000000028</v>
      </c>
      <c r="E223">
        <v>5.24616261499311E-2</v>
      </c>
      <c r="F223">
        <v>50</v>
      </c>
      <c r="G223">
        <v>0.22725312499999539</v>
      </c>
      <c r="H223">
        <v>1.1916343749999991</v>
      </c>
    </row>
    <row r="224" spans="1:8" x14ac:dyDescent="0.35">
      <c r="A224" t="s">
        <v>277</v>
      </c>
      <c r="B224">
        <v>0.8481593750000016</v>
      </c>
      <c r="C224">
        <v>-0.20117378234862926</v>
      </c>
      <c r="D224">
        <v>0.89726250000000007</v>
      </c>
      <c r="E224">
        <v>0.11650605291633198</v>
      </c>
      <c r="F224">
        <v>70</v>
      </c>
      <c r="G224">
        <v>0.73420624999999795</v>
      </c>
      <c r="H224">
        <v>0.78330937499999642</v>
      </c>
    </row>
    <row r="225" spans="1:8" x14ac:dyDescent="0.35">
      <c r="A225" t="s">
        <v>277</v>
      </c>
      <c r="B225">
        <v>1.1796500000000076</v>
      </c>
      <c r="C225">
        <v>-0.57031631469726563</v>
      </c>
      <c r="D225">
        <v>1.4718343749999985</v>
      </c>
      <c r="E225">
        <v>0.1251256521747024</v>
      </c>
      <c r="F225">
        <v>85</v>
      </c>
      <c r="G225">
        <v>1.065696875000004</v>
      </c>
      <c r="H225">
        <v>1.3578812499999948</v>
      </c>
    </row>
    <row r="226" spans="1:8" x14ac:dyDescent="0.35">
      <c r="A226" t="s">
        <v>277</v>
      </c>
      <c r="B226">
        <v>-1.1978125000000617E-2</v>
      </c>
      <c r="C226">
        <v>0.28124809265136719</v>
      </c>
      <c r="D226">
        <v>-0.30585625000000061</v>
      </c>
      <c r="E226">
        <v>0.19092395516637328</v>
      </c>
      <c r="F226">
        <v>25</v>
      </c>
      <c r="G226">
        <v>-0.12593125000000427</v>
      </c>
      <c r="H226">
        <v>-0.41980937500000426</v>
      </c>
    </row>
    <row r="227" spans="1:8" x14ac:dyDescent="0.35">
      <c r="A227" t="s">
        <v>279</v>
      </c>
      <c r="B227">
        <v>0.31862812500000004</v>
      </c>
      <c r="C227">
        <v>0.11327743530273438</v>
      </c>
      <c r="D227">
        <v>0.59054687499999758</v>
      </c>
      <c r="E227">
        <v>0.1294399091611087</v>
      </c>
      <c r="F227">
        <v>25</v>
      </c>
      <c r="G227">
        <v>0</v>
      </c>
      <c r="H227">
        <v>0.27191874999999754</v>
      </c>
    </row>
    <row r="228" spans="1:8" x14ac:dyDescent="0.35">
      <c r="A228" t="s">
        <v>279</v>
      </c>
      <c r="B228">
        <v>-0.43592187499999824</v>
      </c>
      <c r="C228">
        <v>0.8593769073486256</v>
      </c>
      <c r="D228">
        <v>-0.82897500000000302</v>
      </c>
      <c r="E228">
        <v>6.9898157882812839E-2</v>
      </c>
      <c r="F228">
        <v>-20</v>
      </c>
      <c r="G228">
        <v>-0.75454999999999828</v>
      </c>
      <c r="H228">
        <v>-1.1476031250000029</v>
      </c>
    </row>
    <row r="229" spans="1:8" x14ac:dyDescent="0.35">
      <c r="A229" t="s">
        <v>279</v>
      </c>
      <c r="B229">
        <v>0.25678750000000861</v>
      </c>
      <c r="C229">
        <v>0.33789443969727273</v>
      </c>
      <c r="D229">
        <v>0.58312812500000533</v>
      </c>
      <c r="E229">
        <v>0.10845770184973347</v>
      </c>
      <c r="F229">
        <v>0</v>
      </c>
      <c r="G229">
        <v>-6.1840624999991434E-2</v>
      </c>
      <c r="H229">
        <v>0.26450000000000529</v>
      </c>
    </row>
    <row r="230" spans="1:8" x14ac:dyDescent="0.35">
      <c r="A230" t="s">
        <v>279</v>
      </c>
      <c r="B230">
        <v>0.47785937500000486</v>
      </c>
      <c r="C230">
        <v>-7.8144073486363652E-3</v>
      </c>
      <c r="D230">
        <v>0.62976249999998402</v>
      </c>
      <c r="E230">
        <v>8.5418818300606603E-2</v>
      </c>
      <c r="F230">
        <v>10</v>
      </c>
      <c r="G230">
        <v>0.15923125000000482</v>
      </c>
      <c r="H230">
        <v>0.31113437499998398</v>
      </c>
    </row>
    <row r="231" spans="1:8" x14ac:dyDescent="0.35">
      <c r="A231" t="s">
        <v>279</v>
      </c>
      <c r="B231">
        <v>0.59188125000000369</v>
      </c>
      <c r="C231">
        <v>-7.616806030274148E-2</v>
      </c>
      <c r="D231">
        <v>0.67581562500000469</v>
      </c>
      <c r="E231">
        <v>0.10280768780842388</v>
      </c>
      <c r="F231">
        <v>25</v>
      </c>
      <c r="G231">
        <v>0.27325312500000365</v>
      </c>
      <c r="H231">
        <v>0.35718750000000465</v>
      </c>
    </row>
    <row r="232" spans="1:8" x14ac:dyDescent="0.35">
      <c r="A232" t="s">
        <v>279</v>
      </c>
      <c r="B232">
        <v>0.46675312500000565</v>
      </c>
      <c r="C232">
        <v>0.13476943969726207</v>
      </c>
      <c r="D232">
        <v>0.53821562499999587</v>
      </c>
      <c r="E232">
        <v>6.0975017884872258E-2</v>
      </c>
      <c r="F232">
        <v>50</v>
      </c>
      <c r="G232">
        <v>0.14812500000000561</v>
      </c>
      <c r="H232">
        <v>0.21958749999999583</v>
      </c>
    </row>
    <row r="233" spans="1:8" x14ac:dyDescent="0.35">
      <c r="A233" t="s">
        <v>279</v>
      </c>
      <c r="B233">
        <v>0.31530937499999467</v>
      </c>
      <c r="C233">
        <v>0.30078506469726207</v>
      </c>
      <c r="D233">
        <v>0.61072499999999863</v>
      </c>
      <c r="E233">
        <v>0.11268083568649168</v>
      </c>
      <c r="F233">
        <v>70</v>
      </c>
      <c r="G233">
        <v>-3.318750000005366E-3</v>
      </c>
      <c r="H233">
        <v>0.29209687499999859</v>
      </c>
    </row>
    <row r="234" spans="1:8" x14ac:dyDescent="0.35">
      <c r="A234" t="s">
        <v>279</v>
      </c>
      <c r="B234">
        <v>0.32252187499999252</v>
      </c>
      <c r="C234">
        <v>0.33788681030273438</v>
      </c>
      <c r="D234">
        <v>0.61332187500001467</v>
      </c>
      <c r="E234">
        <v>0.11616609621406758</v>
      </c>
      <c r="F234">
        <v>85</v>
      </c>
      <c r="G234">
        <v>3.8937499999924796E-3</v>
      </c>
      <c r="H234">
        <v>0.29469375000001463</v>
      </c>
    </row>
    <row r="235" spans="1:8" x14ac:dyDescent="0.35">
      <c r="A235" t="s">
        <v>279</v>
      </c>
      <c r="B235">
        <v>0.36983437499999994</v>
      </c>
      <c r="C235">
        <v>1.3675689697265625E-2</v>
      </c>
      <c r="D235">
        <v>0.42949375000000956</v>
      </c>
      <c r="E235">
        <v>0.18140764730848691</v>
      </c>
      <c r="F235">
        <v>25</v>
      </c>
      <c r="G235">
        <v>5.1206249999999898E-2</v>
      </c>
      <c r="H235">
        <v>-0.2190093749999944</v>
      </c>
    </row>
    <row r="236" spans="1:8" x14ac:dyDescent="0.35">
      <c r="A236" t="s">
        <v>281</v>
      </c>
      <c r="B236">
        <v>0.24800312500000921</v>
      </c>
      <c r="C236">
        <v>0.17968368530272727</v>
      </c>
      <c r="D236">
        <v>0.52629374999998646</v>
      </c>
      <c r="E236">
        <v>0.11972772810570297</v>
      </c>
      <c r="F236">
        <v>25</v>
      </c>
      <c r="G236">
        <v>0</v>
      </c>
      <c r="H236">
        <v>0.27829062499996837</v>
      </c>
    </row>
    <row r="237" spans="1:8" x14ac:dyDescent="0.35">
      <c r="A237" t="s">
        <v>281</v>
      </c>
      <c r="B237">
        <v>0.9364749999999944</v>
      </c>
      <c r="C237">
        <v>-0.18944931030272727</v>
      </c>
      <c r="D237">
        <v>0.9364749999999944</v>
      </c>
      <c r="E237">
        <v>0.14970287010403371</v>
      </c>
      <c r="F237">
        <v>-20</v>
      </c>
      <c r="G237">
        <v>0.68847187499998519</v>
      </c>
      <c r="H237">
        <v>0.68847187499998519</v>
      </c>
    </row>
    <row r="238" spans="1:8" x14ac:dyDescent="0.35">
      <c r="A238" t="s">
        <v>281</v>
      </c>
      <c r="B238">
        <v>0.40992812499999864</v>
      </c>
      <c r="C238">
        <v>0.29297256469726918</v>
      </c>
      <c r="D238">
        <v>0.79420937500000122</v>
      </c>
      <c r="E238">
        <v>0.1550536916202816</v>
      </c>
      <c r="F238">
        <v>0</v>
      </c>
      <c r="G238">
        <v>0.16192499999998944</v>
      </c>
      <c r="H238">
        <v>0.54620625000000089</v>
      </c>
    </row>
    <row r="239" spans="1:8" x14ac:dyDescent="0.35">
      <c r="A239" t="s">
        <v>281</v>
      </c>
      <c r="B239">
        <v>0.41115312500000556</v>
      </c>
      <c r="C239">
        <v>-5.2736282348639918E-2</v>
      </c>
      <c r="D239">
        <v>0.59279687500000122</v>
      </c>
      <c r="E239">
        <v>0.10770373371706832</v>
      </c>
      <c r="F239">
        <v>10</v>
      </c>
      <c r="G239">
        <v>0.16314999999999635</v>
      </c>
      <c r="H239">
        <v>0.3447937500000009</v>
      </c>
    </row>
    <row r="240" spans="1:8" x14ac:dyDescent="0.35">
      <c r="A240" t="s">
        <v>281</v>
      </c>
      <c r="B240">
        <v>0.39852187500000191</v>
      </c>
      <c r="C240">
        <v>0.25195503234863637</v>
      </c>
      <c r="D240">
        <v>0.58520937500000869</v>
      </c>
      <c r="E240">
        <v>8.4897171233211388E-2</v>
      </c>
      <c r="F240">
        <v>25</v>
      </c>
      <c r="G240">
        <v>0.15051874999999271</v>
      </c>
      <c r="H240">
        <v>0.3372062499999906</v>
      </c>
    </row>
    <row r="241" spans="1:8" x14ac:dyDescent="0.35">
      <c r="A241" t="s">
        <v>281</v>
      </c>
      <c r="B241">
        <v>0.38883437500000007</v>
      </c>
      <c r="C241">
        <v>0.22656250000000711</v>
      </c>
      <c r="D241">
        <v>0.51721562500000928</v>
      </c>
      <c r="E241">
        <v>6.7574534348540105E-2</v>
      </c>
      <c r="F241">
        <v>50</v>
      </c>
      <c r="G241">
        <v>0.14083124999999086</v>
      </c>
      <c r="H241">
        <v>0.26921249999999119</v>
      </c>
    </row>
    <row r="242" spans="1:8" x14ac:dyDescent="0.35">
      <c r="A242" t="s">
        <v>281</v>
      </c>
      <c r="B242">
        <v>0.27057812499998946</v>
      </c>
      <c r="C242">
        <v>0.2734375</v>
      </c>
      <c r="D242">
        <v>0.55259062500001122</v>
      </c>
      <c r="E242">
        <v>0.10159436604761039</v>
      </c>
      <c r="F242">
        <v>70</v>
      </c>
      <c r="G242">
        <v>2.257499999998025E-2</v>
      </c>
      <c r="H242">
        <v>0.30458749999999313</v>
      </c>
    </row>
    <row r="243" spans="1:8" x14ac:dyDescent="0.35">
      <c r="A243" t="s">
        <v>281</v>
      </c>
      <c r="B243">
        <v>0.34955625000000268</v>
      </c>
      <c r="C243">
        <v>0.22851181030272724</v>
      </c>
      <c r="D243">
        <v>0.56535000000000224</v>
      </c>
      <c r="E243">
        <v>0.12940415055228804</v>
      </c>
      <c r="F243">
        <v>85</v>
      </c>
      <c r="G243">
        <v>0.10155312499999347</v>
      </c>
      <c r="H243">
        <v>0.31734687500000192</v>
      </c>
    </row>
    <row r="244" spans="1:8" x14ac:dyDescent="0.35">
      <c r="A244" t="s">
        <v>281</v>
      </c>
      <c r="B244">
        <v>0.29406562500000177</v>
      </c>
      <c r="C244">
        <v>0.25586318969725852</v>
      </c>
      <c r="D244">
        <v>0.45869375000000545</v>
      </c>
      <c r="E244">
        <v>0.12941246260806061</v>
      </c>
      <c r="F244">
        <v>25</v>
      </c>
      <c r="G244">
        <v>4.6062499999992568E-2</v>
      </c>
      <c r="H244">
        <v>0.21069062500000513</v>
      </c>
    </row>
    <row r="245" spans="1:8" x14ac:dyDescent="0.35">
      <c r="A245" t="s">
        <v>283</v>
      </c>
      <c r="B245">
        <v>0.25675312499999769</v>
      </c>
      <c r="C245">
        <v>0.26758003234863992</v>
      </c>
      <c r="D245">
        <v>0.61317187500002035</v>
      </c>
      <c r="E245">
        <v>0.14830774919516676</v>
      </c>
      <c r="F245">
        <v>25</v>
      </c>
      <c r="G245">
        <v>0</v>
      </c>
      <c r="H245">
        <v>0.35641875000003154</v>
      </c>
    </row>
    <row r="246" spans="1:8" x14ac:dyDescent="0.35">
      <c r="A246" t="s">
        <v>283</v>
      </c>
      <c r="B246">
        <v>0.38572500000000787</v>
      </c>
      <c r="C246">
        <v>0.65624618530273793</v>
      </c>
      <c r="D246">
        <v>1.1634031250000021</v>
      </c>
      <c r="E246">
        <v>0.2745605341665458</v>
      </c>
      <c r="F246">
        <v>-20</v>
      </c>
      <c r="G246">
        <v>0.12897187500001017</v>
      </c>
      <c r="H246">
        <v>0.90664999999999552</v>
      </c>
    </row>
    <row r="247" spans="1:8" x14ac:dyDescent="0.35">
      <c r="A247" t="s">
        <v>283</v>
      </c>
      <c r="B247">
        <v>0.28541249999999962</v>
      </c>
      <c r="C247">
        <v>0.58594131469726918</v>
      </c>
      <c r="D247">
        <v>0.957603124999995</v>
      </c>
      <c r="E247">
        <v>0.25466063477543877</v>
      </c>
      <c r="F247">
        <v>0</v>
      </c>
      <c r="G247">
        <v>2.865937500000193E-2</v>
      </c>
      <c r="H247">
        <v>0.70084999999998843</v>
      </c>
    </row>
    <row r="248" spans="1:8" x14ac:dyDescent="0.35">
      <c r="A248" t="s">
        <v>283</v>
      </c>
      <c r="B248">
        <v>0.34439374999999828</v>
      </c>
      <c r="C248">
        <v>0.22656440734863278</v>
      </c>
      <c r="D248">
        <v>0.76050625000000593</v>
      </c>
      <c r="E248">
        <v>0.1626499956320604</v>
      </c>
      <c r="F248">
        <v>10</v>
      </c>
      <c r="G248">
        <v>8.7640625000000583E-2</v>
      </c>
      <c r="H248">
        <v>0.50375312500001712</v>
      </c>
    </row>
    <row r="249" spans="1:8" x14ac:dyDescent="0.35">
      <c r="A249" t="s">
        <v>283</v>
      </c>
      <c r="B249">
        <v>0.36226874999999659</v>
      </c>
      <c r="C249">
        <v>0.25781059265137074</v>
      </c>
      <c r="D249">
        <v>0.69884062499999899</v>
      </c>
      <c r="E249">
        <v>0.12350413103154434</v>
      </c>
      <c r="F249">
        <v>25</v>
      </c>
      <c r="G249">
        <v>0.10551562499999889</v>
      </c>
      <c r="H249">
        <v>0.44208750000001018</v>
      </c>
    </row>
    <row r="250" spans="1:8" x14ac:dyDescent="0.35">
      <c r="A250" t="s">
        <v>283</v>
      </c>
      <c r="B250">
        <v>0.37737812499999634</v>
      </c>
      <c r="C250">
        <v>9.179496765137074E-2</v>
      </c>
      <c r="D250">
        <v>0.56534687499999237</v>
      </c>
      <c r="E250">
        <v>0.10349911764967247</v>
      </c>
      <c r="F250">
        <v>50</v>
      </c>
      <c r="G250">
        <v>0.12062499999999865</v>
      </c>
      <c r="H250">
        <v>0.30859374999998579</v>
      </c>
    </row>
    <row r="251" spans="1:8" x14ac:dyDescent="0.35">
      <c r="A251" t="s">
        <v>283</v>
      </c>
      <c r="B251">
        <v>0.43813749999999985</v>
      </c>
      <c r="C251">
        <v>-0.17187500000000355</v>
      </c>
      <c r="D251">
        <v>0.52367187499999801</v>
      </c>
      <c r="E251">
        <v>8.3854010323651806E-2</v>
      </c>
      <c r="F251">
        <v>70</v>
      </c>
      <c r="G251">
        <v>0.18138437500000215</v>
      </c>
      <c r="H251">
        <v>0.26691875000000032</v>
      </c>
    </row>
    <row r="252" spans="1:8" x14ac:dyDescent="0.35">
      <c r="A252" t="s">
        <v>283</v>
      </c>
      <c r="B252">
        <v>0.52307812500000495</v>
      </c>
      <c r="C252">
        <v>-0.25195121765136719</v>
      </c>
      <c r="D252">
        <v>0.68623750000000427</v>
      </c>
      <c r="E252">
        <v>0.10996265843427722</v>
      </c>
      <c r="F252">
        <v>85</v>
      </c>
      <c r="G252">
        <v>0.26632500000000725</v>
      </c>
      <c r="H252">
        <v>0.42948437500000658</v>
      </c>
    </row>
    <row r="253" spans="1:8" x14ac:dyDescent="0.35">
      <c r="A253" t="s">
        <v>283</v>
      </c>
      <c r="B253">
        <v>0.17663125000000335</v>
      </c>
      <c r="C253">
        <v>0.40234375000000711</v>
      </c>
      <c r="D253">
        <v>0.54964374999999066</v>
      </c>
      <c r="E253">
        <v>0.10981403447605011</v>
      </c>
      <c r="F253">
        <v>25</v>
      </c>
      <c r="G253">
        <v>-8.0121874999994347E-2</v>
      </c>
      <c r="H253">
        <v>0.29289062500000185</v>
      </c>
    </row>
    <row r="254" spans="1:8" x14ac:dyDescent="0.35">
      <c r="A254" t="s">
        <v>285</v>
      </c>
      <c r="B254">
        <v>0.14977499999999644</v>
      </c>
      <c r="C254">
        <v>8.593368530274148E-2</v>
      </c>
      <c r="D254">
        <v>0.23901874999999961</v>
      </c>
      <c r="E254">
        <v>0.14059019458815492</v>
      </c>
      <c r="F254">
        <v>25</v>
      </c>
      <c r="G254">
        <v>0</v>
      </c>
      <c r="H254">
        <v>-0.2004062499999959</v>
      </c>
    </row>
    <row r="255" spans="1:8" x14ac:dyDescent="0.35">
      <c r="A255" t="s">
        <v>285</v>
      </c>
      <c r="B255">
        <v>0.36942187500000223</v>
      </c>
      <c r="C255">
        <v>0.24804878234863992</v>
      </c>
      <c r="D255">
        <v>0.58501250000000837</v>
      </c>
      <c r="E255">
        <v>0.12732870744960323</v>
      </c>
      <c r="F255">
        <v>-20</v>
      </c>
      <c r="G255">
        <v>0.21964687500000579</v>
      </c>
      <c r="H255">
        <v>0.43523750000002082</v>
      </c>
    </row>
    <row r="256" spans="1:8" x14ac:dyDescent="0.35">
      <c r="A256" t="s">
        <v>285</v>
      </c>
      <c r="B256">
        <v>0.2682218749999965</v>
      </c>
      <c r="C256">
        <v>0.23047256469727273</v>
      </c>
      <c r="D256">
        <v>0.45864687499998169</v>
      </c>
      <c r="E256">
        <v>9.9631338829730964E-2</v>
      </c>
      <c r="F256">
        <v>0</v>
      </c>
      <c r="G256">
        <v>0.11844687500000006</v>
      </c>
      <c r="H256">
        <v>0.30887187499997637</v>
      </c>
    </row>
    <row r="257" spans="1:8" x14ac:dyDescent="0.35">
      <c r="A257" t="s">
        <v>285</v>
      </c>
      <c r="B257">
        <v>0.28760624999999429</v>
      </c>
      <c r="C257">
        <v>0.13866806030273793</v>
      </c>
      <c r="D257">
        <v>0.37138750000000442</v>
      </c>
      <c r="E257">
        <v>5.4257510546085186E-2</v>
      </c>
      <c r="F257">
        <v>10</v>
      </c>
      <c r="G257">
        <v>0.13783124999999785</v>
      </c>
      <c r="H257">
        <v>0.22161250000001687</v>
      </c>
    </row>
    <row r="258" spans="1:8" x14ac:dyDescent="0.35">
      <c r="A258" t="s">
        <v>285</v>
      </c>
      <c r="B258">
        <v>0.17181250000000148</v>
      </c>
      <c r="C258">
        <v>0.11328506469727273</v>
      </c>
      <c r="D258">
        <v>0.37778437500000095</v>
      </c>
      <c r="E258">
        <v>0.1264217659854916</v>
      </c>
      <c r="F258">
        <v>25</v>
      </c>
      <c r="G258">
        <v>2.2037500000005039E-2</v>
      </c>
      <c r="H258">
        <v>0.22800937500001339</v>
      </c>
    </row>
    <row r="259" spans="1:8" x14ac:dyDescent="0.35">
      <c r="A259" t="s">
        <v>285</v>
      </c>
      <c r="B259">
        <v>0.16013749999999938</v>
      </c>
      <c r="C259">
        <v>3.9058685302730822E-2</v>
      </c>
      <c r="D259">
        <v>0.3891250000000035</v>
      </c>
      <c r="E259">
        <v>0.12169623021321742</v>
      </c>
      <c r="F259">
        <v>50</v>
      </c>
      <c r="G259">
        <v>1.0362500000002939E-2</v>
      </c>
      <c r="H259">
        <v>0.23934999999999818</v>
      </c>
    </row>
    <row r="260" spans="1:8" x14ac:dyDescent="0.35">
      <c r="A260" t="s">
        <v>285</v>
      </c>
      <c r="B260">
        <v>0.26416249999999586</v>
      </c>
      <c r="C260">
        <v>5.8589935302730822E-2</v>
      </c>
      <c r="D260">
        <v>0.36106874999999761</v>
      </c>
      <c r="E260">
        <v>0.1568828604120398</v>
      </c>
      <c r="F260">
        <v>70</v>
      </c>
      <c r="G260">
        <v>0.11438749999999942</v>
      </c>
      <c r="H260">
        <v>0.21129375000001005</v>
      </c>
    </row>
    <row r="261" spans="1:8" x14ac:dyDescent="0.35">
      <c r="A261" t="s">
        <v>285</v>
      </c>
      <c r="B261">
        <v>0.25629687499999498</v>
      </c>
      <c r="C261">
        <v>7.8125E-2</v>
      </c>
      <c r="D261">
        <v>0.39342187499999071</v>
      </c>
      <c r="E261">
        <v>6.8507932665262672E-2</v>
      </c>
      <c r="F261">
        <v>85</v>
      </c>
      <c r="G261">
        <v>0.10652187499999854</v>
      </c>
      <c r="H261">
        <v>0.24364687499998539</v>
      </c>
    </row>
    <row r="262" spans="1:8" x14ac:dyDescent="0.35">
      <c r="A262" t="s">
        <v>285</v>
      </c>
      <c r="B262">
        <v>2.198749999999805E-2</v>
      </c>
      <c r="C262">
        <v>0.2207069396972727</v>
      </c>
      <c r="D262">
        <v>0.16889062499998886</v>
      </c>
      <c r="E262">
        <v>5.7209353059612937E-2</v>
      </c>
      <c r="F262">
        <v>25</v>
      </c>
      <c r="G262">
        <v>-0.12778749999999839</v>
      </c>
      <c r="H262">
        <v>-0.24790937500000165</v>
      </c>
    </row>
    <row r="263" spans="1:8" x14ac:dyDescent="0.35">
      <c r="A263" t="s">
        <v>287</v>
      </c>
      <c r="B263">
        <v>0.2451281249999937</v>
      </c>
      <c r="C263">
        <v>0.16210937500000355</v>
      </c>
      <c r="D263">
        <v>0.33902812499999158</v>
      </c>
      <c r="E263">
        <v>0.11219105456520494</v>
      </c>
      <c r="F263">
        <v>25</v>
      </c>
      <c r="G263">
        <v>0</v>
      </c>
      <c r="H263">
        <v>-0.23515937499999362</v>
      </c>
    </row>
    <row r="264" spans="1:8" x14ac:dyDescent="0.35">
      <c r="A264" t="s">
        <v>287</v>
      </c>
      <c r="B264">
        <v>0.9337781249999999</v>
      </c>
      <c r="C264">
        <v>7.8125E-2</v>
      </c>
      <c r="D264">
        <v>0.97614374999999143</v>
      </c>
      <c r="E264">
        <v>0.24032172782440853</v>
      </c>
      <c r="F264">
        <v>-20</v>
      </c>
      <c r="G264">
        <v>0.6886500000000062</v>
      </c>
      <c r="H264">
        <v>0.73101562499999773</v>
      </c>
    </row>
    <row r="265" spans="1:8" x14ac:dyDescent="0.35">
      <c r="A265" t="s">
        <v>287</v>
      </c>
      <c r="B265">
        <v>0.68443437499999149</v>
      </c>
      <c r="C265">
        <v>9.7618103027308223E-3</v>
      </c>
      <c r="D265">
        <v>0.71410937500001381</v>
      </c>
      <c r="E265">
        <v>0.1934390156877086</v>
      </c>
      <c r="F265">
        <v>0</v>
      </c>
      <c r="G265">
        <v>0.43930624999999779</v>
      </c>
      <c r="H265">
        <v>0.46898125000002011</v>
      </c>
    </row>
    <row r="266" spans="1:8" x14ac:dyDescent="0.35">
      <c r="A266" t="s">
        <v>287</v>
      </c>
      <c r="B266">
        <v>0.47731562500000102</v>
      </c>
      <c r="C266">
        <v>5.6636810302741473E-2</v>
      </c>
      <c r="D266">
        <v>0.58597187499998427</v>
      </c>
      <c r="E266">
        <v>0.12840692720166302</v>
      </c>
      <c r="F266">
        <v>10</v>
      </c>
      <c r="G266">
        <v>0.23218750000000732</v>
      </c>
      <c r="H266">
        <v>0.34084374999999056</v>
      </c>
    </row>
    <row r="267" spans="1:8" x14ac:dyDescent="0.35">
      <c r="A267" t="s">
        <v>287</v>
      </c>
      <c r="B267">
        <v>0.32105000000000494</v>
      </c>
      <c r="C267">
        <v>0.15820121765136363</v>
      </c>
      <c r="D267">
        <v>0.41911562499999278</v>
      </c>
      <c r="E267">
        <v>9.583007294329704E-2</v>
      </c>
      <c r="F267">
        <v>25</v>
      </c>
      <c r="G267">
        <v>7.5921875000011241E-2</v>
      </c>
      <c r="H267">
        <v>0.17398749999999907</v>
      </c>
    </row>
    <row r="268" spans="1:8" x14ac:dyDescent="0.35">
      <c r="A268" t="s">
        <v>287</v>
      </c>
      <c r="B268">
        <v>0.11446249999999658</v>
      </c>
      <c r="C268">
        <v>0.16210746765136008</v>
      </c>
      <c r="D268">
        <v>0.34376875000001306</v>
      </c>
      <c r="E268">
        <v>0.14218984902177656</v>
      </c>
      <c r="F268">
        <v>50</v>
      </c>
      <c r="G268">
        <v>-0.13066562499999712</v>
      </c>
      <c r="H268">
        <v>-0.27417812499999084</v>
      </c>
    </row>
    <row r="269" spans="1:8" x14ac:dyDescent="0.35">
      <c r="A269" t="s">
        <v>287</v>
      </c>
      <c r="B269">
        <v>0.14367812499999744</v>
      </c>
      <c r="C269">
        <v>0.19140815734862926</v>
      </c>
      <c r="D269">
        <v>0.41737499999999983</v>
      </c>
      <c r="E269">
        <v>0.12619102513950597</v>
      </c>
      <c r="F269">
        <v>70</v>
      </c>
      <c r="G269">
        <v>-0.10144999999999627</v>
      </c>
      <c r="H269">
        <v>-0.18574999999999342</v>
      </c>
    </row>
    <row r="270" spans="1:8" x14ac:dyDescent="0.35">
      <c r="A270" t="s">
        <v>287</v>
      </c>
      <c r="B270">
        <v>0.162346874999999</v>
      </c>
      <c r="C270">
        <v>0.26952743530273438</v>
      </c>
      <c r="D270">
        <v>0.61317812499998681</v>
      </c>
      <c r="E270">
        <v>0.17932696507914514</v>
      </c>
      <c r="F270">
        <v>85</v>
      </c>
      <c r="G270">
        <v>-8.2781249999994699E-2</v>
      </c>
      <c r="H270">
        <v>0.3680499999999931</v>
      </c>
    </row>
    <row r="271" spans="1:8" x14ac:dyDescent="0.35">
      <c r="A271" t="s">
        <v>287</v>
      </c>
      <c r="B271">
        <v>3.2209375000009643E-2</v>
      </c>
      <c r="C271">
        <v>0.33593749999999645</v>
      </c>
      <c r="D271">
        <v>0.26215937500001729</v>
      </c>
      <c r="E271">
        <v>8.6382659138131146E-2</v>
      </c>
      <c r="F271">
        <v>25</v>
      </c>
      <c r="G271">
        <v>-0.21291874999998406</v>
      </c>
      <c r="H271">
        <v>-0.37543749999999543</v>
      </c>
    </row>
    <row r="272" spans="1:8" x14ac:dyDescent="0.35">
      <c r="A272" t="s">
        <v>289</v>
      </c>
      <c r="B272">
        <v>0.20717499999999944</v>
      </c>
      <c r="C272">
        <v>0.17383193969726207</v>
      </c>
      <c r="D272">
        <v>0.52421874999998508</v>
      </c>
      <c r="E272">
        <v>0.14655641637350669</v>
      </c>
      <c r="F272">
        <v>25</v>
      </c>
      <c r="G272">
        <v>0</v>
      </c>
      <c r="H272">
        <v>0.31704374999998564</v>
      </c>
    </row>
    <row r="273" spans="1:8" x14ac:dyDescent="0.35">
      <c r="A273" t="s">
        <v>289</v>
      </c>
      <c r="B273">
        <v>-0.18963125000000858</v>
      </c>
      <c r="C273">
        <v>0.84179496765136363</v>
      </c>
      <c r="D273">
        <v>0.54275624999998939</v>
      </c>
      <c r="E273">
        <v>0.19544517362305669</v>
      </c>
      <c r="F273">
        <v>-20</v>
      </c>
      <c r="G273">
        <v>-0.39680625000000802</v>
      </c>
      <c r="H273">
        <v>-0.55217500000000141</v>
      </c>
    </row>
    <row r="274" spans="1:8" x14ac:dyDescent="0.35">
      <c r="A274" t="s">
        <v>289</v>
      </c>
      <c r="B274">
        <v>0.3433906250000085</v>
      </c>
      <c r="C274">
        <v>0.15039062499999645</v>
      </c>
      <c r="D274">
        <v>0.55816249999999457</v>
      </c>
      <c r="E274">
        <v>8.9643321202865778E-2</v>
      </c>
      <c r="F274">
        <v>0</v>
      </c>
      <c r="G274">
        <v>0.13621562500000906</v>
      </c>
      <c r="H274">
        <v>0.35098749999999512</v>
      </c>
    </row>
    <row r="275" spans="1:8" x14ac:dyDescent="0.35">
      <c r="A275" t="s">
        <v>289</v>
      </c>
      <c r="B275">
        <v>0.48587812500000105</v>
      </c>
      <c r="C275">
        <v>6.0544967651363635E-2</v>
      </c>
      <c r="D275">
        <v>0.65295937500000178</v>
      </c>
      <c r="E275">
        <v>0.10385256331550963</v>
      </c>
      <c r="F275">
        <v>10</v>
      </c>
      <c r="G275">
        <v>0.27870312500000161</v>
      </c>
      <c r="H275">
        <v>0.44578437500000234</v>
      </c>
    </row>
    <row r="276" spans="1:8" x14ac:dyDescent="0.35">
      <c r="A276" t="s">
        <v>289</v>
      </c>
      <c r="B276">
        <v>0.51491562499999866</v>
      </c>
      <c r="C276">
        <v>2.343368530272727E-2</v>
      </c>
      <c r="D276">
        <v>0.64534062499999933</v>
      </c>
      <c r="E276">
        <v>8.2964516756620643E-2</v>
      </c>
      <c r="F276">
        <v>25</v>
      </c>
      <c r="G276">
        <v>0.30774062499999921</v>
      </c>
      <c r="H276">
        <v>0.43816562499999989</v>
      </c>
    </row>
    <row r="277" spans="1:8" x14ac:dyDescent="0.35">
      <c r="A277" t="s">
        <v>289</v>
      </c>
      <c r="B277">
        <v>0.29464374999999876</v>
      </c>
      <c r="C277">
        <v>0.19726371765136363</v>
      </c>
      <c r="D277">
        <v>0.47656249999999289</v>
      </c>
      <c r="E277">
        <v>8.3462261073479205E-2</v>
      </c>
      <c r="F277">
        <v>50</v>
      </c>
      <c r="G277">
        <v>8.7468749999999318E-2</v>
      </c>
      <c r="H277">
        <v>0.26938749999999345</v>
      </c>
    </row>
    <row r="278" spans="1:8" x14ac:dyDescent="0.35">
      <c r="A278" t="s">
        <v>289</v>
      </c>
      <c r="B278">
        <v>8.6440625000001603E-2</v>
      </c>
      <c r="C278">
        <v>0.390625</v>
      </c>
      <c r="D278">
        <v>0.32105312500000593</v>
      </c>
      <c r="E278">
        <v>9.7178029586038051E-2</v>
      </c>
      <c r="F278">
        <v>70</v>
      </c>
      <c r="G278">
        <v>-0.12073437499999784</v>
      </c>
      <c r="H278">
        <v>-0.31970937499999907</v>
      </c>
    </row>
    <row r="279" spans="1:8" x14ac:dyDescent="0.35">
      <c r="A279" t="s">
        <v>289</v>
      </c>
      <c r="B279">
        <v>-2.8909375000001347E-2</v>
      </c>
      <c r="C279">
        <v>0.57226181030273438</v>
      </c>
      <c r="D279">
        <v>-0.32115937499999525</v>
      </c>
      <c r="E279">
        <v>0.12667577354934512</v>
      </c>
      <c r="F279">
        <v>85</v>
      </c>
      <c r="G279">
        <v>-0.23608437500000079</v>
      </c>
      <c r="H279">
        <v>-0.52833437499999469</v>
      </c>
    </row>
    <row r="280" spans="1:8" x14ac:dyDescent="0.35">
      <c r="A280" t="s">
        <v>289</v>
      </c>
      <c r="B280">
        <v>0.22677187500000251</v>
      </c>
      <c r="C280">
        <v>0.18163681030273438</v>
      </c>
      <c r="D280">
        <v>0.50775312499999004</v>
      </c>
      <c r="E280">
        <v>0.1496431430973022</v>
      </c>
      <c r="F280">
        <v>25</v>
      </c>
      <c r="G280">
        <v>1.9596875000003067E-2</v>
      </c>
      <c r="H280">
        <v>0.30057812499999059</v>
      </c>
    </row>
    <row r="281" spans="1:8" x14ac:dyDescent="0.35">
      <c r="A281" t="s">
        <v>291</v>
      </c>
      <c r="B281">
        <v>0.33503124999999301</v>
      </c>
      <c r="C281">
        <v>1.7578124999992895E-2</v>
      </c>
      <c r="D281">
        <v>0.54675937499998994</v>
      </c>
      <c r="E281">
        <v>0.14209380017334183</v>
      </c>
      <c r="F281">
        <v>25</v>
      </c>
      <c r="G281">
        <v>0</v>
      </c>
      <c r="H281">
        <v>0.21172812499999694</v>
      </c>
    </row>
    <row r="282" spans="1:8" x14ac:dyDescent="0.35">
      <c r="A282" t="s">
        <v>291</v>
      </c>
      <c r="B282">
        <v>-0.47942500000000443</v>
      </c>
      <c r="C282">
        <v>0.78515624999999645</v>
      </c>
      <c r="D282">
        <v>-0.66015312500000256</v>
      </c>
      <c r="E282">
        <v>0.16117956353209451</v>
      </c>
      <c r="F282">
        <v>-20</v>
      </c>
      <c r="G282">
        <v>-0.81445624999999744</v>
      </c>
      <c r="H282">
        <v>-0.99518437499999557</v>
      </c>
    </row>
    <row r="283" spans="1:8" x14ac:dyDescent="0.35">
      <c r="A283" t="s">
        <v>291</v>
      </c>
      <c r="B283">
        <v>0.21037812500000364</v>
      </c>
      <c r="C283">
        <v>-8.7894439697269178E-2</v>
      </c>
      <c r="D283">
        <v>0.40333750000000057</v>
      </c>
      <c r="E283">
        <v>9.0456729566650296E-2</v>
      </c>
      <c r="F283">
        <v>0</v>
      </c>
      <c r="G283">
        <v>-0.12465312499998937</v>
      </c>
      <c r="H283">
        <v>-0.12465312499998937</v>
      </c>
    </row>
    <row r="284" spans="1:8" x14ac:dyDescent="0.35">
      <c r="A284" t="s">
        <v>291</v>
      </c>
      <c r="B284">
        <v>0.44350312499999767</v>
      </c>
      <c r="C284">
        <v>7.4214935302734375E-2</v>
      </c>
      <c r="D284">
        <v>0.51184687499999271</v>
      </c>
      <c r="E284">
        <v>5.5591687239058281E-2</v>
      </c>
      <c r="F284">
        <v>10</v>
      </c>
      <c r="G284">
        <v>0.10847187500000466</v>
      </c>
      <c r="H284">
        <v>0.1768156249999997</v>
      </c>
    </row>
    <row r="285" spans="1:8" x14ac:dyDescent="0.35">
      <c r="A285" t="s">
        <v>291</v>
      </c>
      <c r="B285">
        <v>0.43509374999999295</v>
      </c>
      <c r="C285">
        <v>-9.7654342651374293E-2</v>
      </c>
      <c r="D285">
        <v>0.59140312500000292</v>
      </c>
      <c r="E285">
        <v>6.552863030043099E-2</v>
      </c>
      <c r="F285">
        <v>25</v>
      </c>
      <c r="G285">
        <v>0.10006249999999994</v>
      </c>
      <c r="H285">
        <v>0.25637187500000991</v>
      </c>
    </row>
    <row r="286" spans="1:8" x14ac:dyDescent="0.35">
      <c r="A286" t="s">
        <v>291</v>
      </c>
      <c r="B286">
        <v>0.29765000000000263</v>
      </c>
      <c r="C286">
        <v>0.22460746765137429</v>
      </c>
      <c r="D286">
        <v>0.47736249999999814</v>
      </c>
      <c r="E286">
        <v>5.4149708175472704E-2</v>
      </c>
      <c r="F286">
        <v>50</v>
      </c>
      <c r="G286">
        <v>-3.7381249999990374E-2</v>
      </c>
      <c r="H286">
        <v>0.14233125000000513</v>
      </c>
    </row>
    <row r="287" spans="1:8" x14ac:dyDescent="0.35">
      <c r="A287" t="s">
        <v>291</v>
      </c>
      <c r="B287">
        <v>7.8725000000003931E-2</v>
      </c>
      <c r="C287">
        <v>0.34960746765136719</v>
      </c>
      <c r="D287">
        <v>0.43939999999999202</v>
      </c>
      <c r="E287">
        <v>0.12169491856632852</v>
      </c>
      <c r="F287">
        <v>70</v>
      </c>
      <c r="G287">
        <v>-0.25630624999998908</v>
      </c>
      <c r="H287">
        <v>-0.28061562499999138</v>
      </c>
    </row>
    <row r="288" spans="1:8" x14ac:dyDescent="0.35">
      <c r="A288" t="s">
        <v>291</v>
      </c>
      <c r="B288">
        <v>0.12469062500000128</v>
      </c>
      <c r="C288">
        <v>0.4941406250000035</v>
      </c>
      <c r="D288">
        <v>0.52129374999999811</v>
      </c>
      <c r="E288">
        <v>9.9938721583936463E-2</v>
      </c>
      <c r="F288">
        <v>85</v>
      </c>
      <c r="G288">
        <v>-0.21034062499999173</v>
      </c>
      <c r="H288">
        <v>-0.34662187499999053</v>
      </c>
    </row>
    <row r="289" spans="1:8" x14ac:dyDescent="0.35">
      <c r="A289" t="s">
        <v>291</v>
      </c>
      <c r="B289">
        <v>0.19616562500000434</v>
      </c>
      <c r="C289">
        <v>0.20312881469726207</v>
      </c>
      <c r="D289">
        <v>0.33993750000000489</v>
      </c>
      <c r="E289">
        <v>7.5319195779584014E-2</v>
      </c>
      <c r="F289">
        <v>25</v>
      </c>
      <c r="G289">
        <v>-0.13886562499998867</v>
      </c>
      <c r="H289">
        <v>-0.25684374999999093</v>
      </c>
    </row>
    <row r="290" spans="1:8" x14ac:dyDescent="0.35">
      <c r="A290" t="s">
        <v>293</v>
      </c>
      <c r="B290">
        <v>-0.73522812500000256</v>
      </c>
      <c r="C290">
        <v>6.2498092651370733E-2</v>
      </c>
      <c r="D290">
        <v>-0.88537500000000158</v>
      </c>
      <c r="E290">
        <v>0.10016414134879525</v>
      </c>
      <c r="F290">
        <v>25</v>
      </c>
      <c r="G290">
        <v>0</v>
      </c>
      <c r="H290">
        <v>0.1533968750000092</v>
      </c>
    </row>
    <row r="291" spans="1:8" x14ac:dyDescent="0.35">
      <c r="A291" t="s">
        <v>293</v>
      </c>
      <c r="B291">
        <v>0.2309125000000023</v>
      </c>
      <c r="C291">
        <v>0.24609565734863281</v>
      </c>
      <c r="D291">
        <v>0.37463125000000375</v>
      </c>
      <c r="E291">
        <v>0.13842513107523047</v>
      </c>
      <c r="F291">
        <v>-20</v>
      </c>
      <c r="G291">
        <v>0.96614062500000486</v>
      </c>
      <c r="H291">
        <v>1.1098593750000063</v>
      </c>
    </row>
    <row r="292" spans="1:8" x14ac:dyDescent="0.35">
      <c r="A292" t="s">
        <v>293</v>
      </c>
      <c r="B292">
        <v>-0.24535937499999605</v>
      </c>
      <c r="C292">
        <v>5.8589935302730822E-2</v>
      </c>
      <c r="D292">
        <v>-0.35155625000000246</v>
      </c>
      <c r="E292">
        <v>0.12255744612710728</v>
      </c>
      <c r="F292">
        <v>0</v>
      </c>
      <c r="G292">
        <v>0.48986875000000651</v>
      </c>
      <c r="H292">
        <v>0.7020906250000003</v>
      </c>
    </row>
    <row r="293" spans="1:8" x14ac:dyDescent="0.35">
      <c r="A293" t="s">
        <v>293</v>
      </c>
      <c r="B293">
        <v>-0.37189687499999735</v>
      </c>
      <c r="C293">
        <v>0.14453506469726207</v>
      </c>
      <c r="D293">
        <v>-0.55824375000000259</v>
      </c>
      <c r="E293">
        <v>9.1376278679220491E-2</v>
      </c>
      <c r="F293">
        <v>10</v>
      </c>
      <c r="G293">
        <v>0.36333125000000521</v>
      </c>
      <c r="H293">
        <v>0.43703125000000398</v>
      </c>
    </row>
    <row r="294" spans="1:8" x14ac:dyDescent="0.35">
      <c r="A294" t="s">
        <v>293</v>
      </c>
      <c r="B294">
        <v>-0.91706874999999854</v>
      </c>
      <c r="C294">
        <v>0.20312118530274151</v>
      </c>
      <c r="D294">
        <v>-0.91706874999999854</v>
      </c>
      <c r="E294">
        <v>0.10702324907667204</v>
      </c>
      <c r="F294">
        <v>25</v>
      </c>
      <c r="G294">
        <v>-0.18184062499999598</v>
      </c>
      <c r="H294">
        <v>-0.18184062499999598</v>
      </c>
    </row>
    <row r="295" spans="1:8" x14ac:dyDescent="0.35">
      <c r="A295" t="s">
        <v>293</v>
      </c>
      <c r="B295">
        <v>-1.0416874999999948</v>
      </c>
      <c r="C295">
        <v>1.9527435302730822E-2</v>
      </c>
      <c r="D295">
        <v>-1.0416874999999948</v>
      </c>
      <c r="E295">
        <v>8.9095146128452818E-2</v>
      </c>
      <c r="F295">
        <v>50</v>
      </c>
      <c r="G295">
        <v>-0.30645937499999221</v>
      </c>
      <c r="H295">
        <v>-0.30645937499999221</v>
      </c>
    </row>
    <row r="296" spans="1:8" x14ac:dyDescent="0.35">
      <c r="A296" t="s">
        <v>293</v>
      </c>
      <c r="B296">
        <v>1.0550000000000281E-2</v>
      </c>
      <c r="C296">
        <v>-3.910064697265625E-3</v>
      </c>
      <c r="D296">
        <v>-0.47522812500000011</v>
      </c>
      <c r="E296">
        <v>0.30156898007281718</v>
      </c>
      <c r="F296">
        <v>70</v>
      </c>
      <c r="G296">
        <v>0.74577812500000285</v>
      </c>
      <c r="H296">
        <v>0.74577812500000285</v>
      </c>
    </row>
    <row r="297" spans="1:8" x14ac:dyDescent="0.35">
      <c r="A297" t="s">
        <v>293</v>
      </c>
      <c r="B297">
        <v>0.38480625000000046</v>
      </c>
      <c r="C297">
        <v>0.12890243530273793</v>
      </c>
      <c r="D297">
        <v>0.57748124999998041</v>
      </c>
      <c r="E297">
        <v>0.10148041849778355</v>
      </c>
      <c r="F297">
        <v>85</v>
      </c>
      <c r="G297">
        <v>1.120034375000003</v>
      </c>
      <c r="H297">
        <v>1.312709374999983</v>
      </c>
    </row>
    <row r="298" spans="1:8" x14ac:dyDescent="0.35">
      <c r="A298" t="s">
        <v>293</v>
      </c>
      <c r="B298">
        <v>1.1635656250000004</v>
      </c>
      <c r="C298">
        <v>0.33202934265137429</v>
      </c>
      <c r="D298">
        <v>1.3063000000000002</v>
      </c>
      <c r="E298">
        <v>0.16278969947425725</v>
      </c>
      <c r="F298">
        <v>25</v>
      </c>
      <c r="G298">
        <v>1.8987937500000029</v>
      </c>
      <c r="H298">
        <v>2.0415281250000028</v>
      </c>
    </row>
    <row r="299" spans="1:8" x14ac:dyDescent="0.35">
      <c r="A299" t="s">
        <v>295</v>
      </c>
      <c r="B299">
        <v>7.9128124999998661E-2</v>
      </c>
      <c r="C299">
        <v>0.42187309265136363</v>
      </c>
      <c r="D299">
        <v>0.48181249999998954</v>
      </c>
      <c r="E299">
        <v>0.11517653963794672</v>
      </c>
      <c r="F299">
        <v>25</v>
      </c>
      <c r="G299">
        <v>0</v>
      </c>
      <c r="H299">
        <v>0.40268437499999976</v>
      </c>
    </row>
    <row r="300" spans="1:8" x14ac:dyDescent="0.35">
      <c r="A300" t="s">
        <v>295</v>
      </c>
      <c r="B300">
        <v>3.8987500000002839E-2</v>
      </c>
      <c r="C300">
        <v>0.73437118530273793</v>
      </c>
      <c r="D300">
        <v>0.52047187499999481</v>
      </c>
      <c r="E300">
        <v>9.7705890020360897E-2</v>
      </c>
      <c r="F300">
        <v>-20</v>
      </c>
      <c r="G300">
        <v>-4.0140624999995822E-2</v>
      </c>
      <c r="H300">
        <v>0.44134374999998727</v>
      </c>
    </row>
    <row r="301" spans="1:8" x14ac:dyDescent="0.35">
      <c r="A301" t="s">
        <v>295</v>
      </c>
      <c r="B301">
        <v>0.15396875000000421</v>
      </c>
      <c r="C301">
        <v>0.33983993530274148</v>
      </c>
      <c r="D301">
        <v>0.59928125000000776</v>
      </c>
      <c r="E301">
        <v>0.15777674488066218</v>
      </c>
      <c r="F301">
        <v>0</v>
      </c>
      <c r="G301">
        <v>7.4840625000005545E-2</v>
      </c>
      <c r="H301">
        <v>0.52015312500000022</v>
      </c>
    </row>
    <row r="302" spans="1:8" x14ac:dyDescent="0.35">
      <c r="A302" t="s">
        <v>295</v>
      </c>
      <c r="B302">
        <v>0.20573749999999613</v>
      </c>
      <c r="C302">
        <v>0.23046875000000355</v>
      </c>
      <c r="D302">
        <v>0.48981250000000642</v>
      </c>
      <c r="E302">
        <v>0.11833475729678522</v>
      </c>
      <c r="F302">
        <v>10</v>
      </c>
      <c r="G302">
        <v>0.12660937499999747</v>
      </c>
      <c r="H302">
        <v>0.41068437500001664</v>
      </c>
    </row>
    <row r="303" spans="1:8" x14ac:dyDescent="0.35">
      <c r="A303" t="s">
        <v>295</v>
      </c>
      <c r="B303">
        <v>0.19585312499999397</v>
      </c>
      <c r="C303">
        <v>0.12499618530274147</v>
      </c>
      <c r="D303">
        <v>0.44515312499999737</v>
      </c>
      <c r="E303">
        <v>0.10937426960669684</v>
      </c>
      <c r="F303">
        <v>25</v>
      </c>
      <c r="G303">
        <v>0.1167249999999953</v>
      </c>
      <c r="H303">
        <v>0.36602500000000759</v>
      </c>
    </row>
    <row r="304" spans="1:8" x14ac:dyDescent="0.35">
      <c r="A304" t="s">
        <v>295</v>
      </c>
      <c r="B304">
        <v>0.24076875000000442</v>
      </c>
      <c r="C304">
        <v>0.15819931030273793</v>
      </c>
      <c r="D304">
        <v>0.40457812500001467</v>
      </c>
      <c r="E304">
        <v>7.2911135562279128E-2</v>
      </c>
      <c r="F304">
        <v>50</v>
      </c>
      <c r="G304">
        <v>0.16164062500000576</v>
      </c>
      <c r="H304">
        <v>0.32545000000002489</v>
      </c>
    </row>
    <row r="305" spans="1:8" x14ac:dyDescent="0.35">
      <c r="A305" t="s">
        <v>295</v>
      </c>
      <c r="B305">
        <v>0.23233750000000164</v>
      </c>
      <c r="C305">
        <v>0.15038681030272727</v>
      </c>
      <c r="D305">
        <v>0.43804687499999773</v>
      </c>
      <c r="E305">
        <v>9.4559228915023219E-2</v>
      </c>
      <c r="F305">
        <v>70</v>
      </c>
      <c r="G305">
        <v>0.15320937500000298</v>
      </c>
      <c r="H305">
        <v>0.35891874999999018</v>
      </c>
    </row>
    <row r="306" spans="1:8" x14ac:dyDescent="0.35">
      <c r="A306" t="s">
        <v>295</v>
      </c>
      <c r="B306">
        <v>0.2975718749999956</v>
      </c>
      <c r="C306">
        <v>0.13866806030273793</v>
      </c>
      <c r="D306">
        <v>0.46875937500001186</v>
      </c>
      <c r="E306">
        <v>7.6386196172877341E-2</v>
      </c>
      <c r="F306">
        <v>85</v>
      </c>
      <c r="G306">
        <v>0.21844374999999694</v>
      </c>
      <c r="H306">
        <v>0.38963125000000431</v>
      </c>
    </row>
    <row r="307" spans="1:8" x14ac:dyDescent="0.35">
      <c r="A307" t="s">
        <v>295</v>
      </c>
      <c r="B307">
        <v>8.4640624999998693E-2</v>
      </c>
      <c r="C307">
        <v>0.30469131469725852</v>
      </c>
      <c r="D307">
        <v>0.4442593749999979</v>
      </c>
      <c r="E307">
        <v>0.1961009549206594</v>
      </c>
      <c r="F307">
        <v>25</v>
      </c>
      <c r="G307">
        <v>5.5125000000000313E-3</v>
      </c>
      <c r="H307">
        <v>0.36513124999999036</v>
      </c>
    </row>
    <row r="308" spans="1:8" x14ac:dyDescent="0.35">
      <c r="A308" t="s">
        <v>296</v>
      </c>
      <c r="B308">
        <v>5.6793750000005971E-2</v>
      </c>
      <c r="C308">
        <v>0.13867568969725852</v>
      </c>
      <c r="D308">
        <v>0.31234062499999382</v>
      </c>
      <c r="E308">
        <v>0.12923467932364874</v>
      </c>
      <c r="F308">
        <v>25</v>
      </c>
      <c r="G308">
        <v>0</v>
      </c>
      <c r="H308">
        <v>0.25554687499997897</v>
      </c>
    </row>
    <row r="309" spans="1:8" x14ac:dyDescent="0.35">
      <c r="A309" t="s">
        <v>296</v>
      </c>
      <c r="B309">
        <v>0.2709093749999969</v>
      </c>
      <c r="C309">
        <v>0.30077743530274148</v>
      </c>
      <c r="D309">
        <v>0.49017499999999714</v>
      </c>
      <c r="E309">
        <v>0.1363537778824675</v>
      </c>
      <c r="F309">
        <v>-20</v>
      </c>
      <c r="G309">
        <v>0.21411562499999093</v>
      </c>
      <c r="H309">
        <v>0.43338124999998229</v>
      </c>
    </row>
    <row r="310" spans="1:8" x14ac:dyDescent="0.35">
      <c r="A310" t="s">
        <v>296</v>
      </c>
      <c r="B310">
        <v>0.24766249999999879</v>
      </c>
      <c r="C310">
        <v>0.15234756469727273</v>
      </c>
      <c r="D310">
        <v>0.50117187499999716</v>
      </c>
      <c r="E310">
        <v>0.10867940241655161</v>
      </c>
      <c r="F310">
        <v>0</v>
      </c>
      <c r="G310">
        <v>0.19086874999999281</v>
      </c>
      <c r="H310">
        <v>0.4443781249999823</v>
      </c>
    </row>
    <row r="311" spans="1:8" x14ac:dyDescent="0.35">
      <c r="A311" t="s">
        <v>296</v>
      </c>
      <c r="B311">
        <v>0.24029062499999476</v>
      </c>
      <c r="C311">
        <v>-1.7578124999992895E-2</v>
      </c>
      <c r="D311">
        <v>0.42116874999999609</v>
      </c>
      <c r="E311">
        <v>0.12828306575705994</v>
      </c>
      <c r="F311">
        <v>10</v>
      </c>
      <c r="G311">
        <v>0.18349687499998879</v>
      </c>
      <c r="H311">
        <v>0.36437499999999901</v>
      </c>
    </row>
    <row r="312" spans="1:8" x14ac:dyDescent="0.35">
      <c r="A312" t="s">
        <v>296</v>
      </c>
      <c r="B312">
        <v>0.2272437500000013</v>
      </c>
      <c r="C312">
        <v>8.9845657348632813E-2</v>
      </c>
      <c r="D312">
        <v>0.35016562500000958</v>
      </c>
      <c r="E312">
        <v>0.10392090714497204</v>
      </c>
      <c r="F312">
        <v>25</v>
      </c>
      <c r="G312">
        <v>0.17044999999999533</v>
      </c>
      <c r="H312">
        <v>0.29337187500001249</v>
      </c>
    </row>
    <row r="313" spans="1:8" x14ac:dyDescent="0.35">
      <c r="A313" t="s">
        <v>296</v>
      </c>
      <c r="B313">
        <v>0.17111250000000133</v>
      </c>
      <c r="C313">
        <v>0.13086318969726563</v>
      </c>
      <c r="D313">
        <v>0.37092499999998196</v>
      </c>
      <c r="E313">
        <v>9.3014412430316717E-2</v>
      </c>
      <c r="F313">
        <v>50</v>
      </c>
      <c r="G313">
        <v>0.11431874999999536</v>
      </c>
      <c r="H313">
        <v>0.31413124999998487</v>
      </c>
    </row>
    <row r="314" spans="1:8" x14ac:dyDescent="0.35">
      <c r="A314" t="s">
        <v>296</v>
      </c>
      <c r="B314">
        <v>0.14063437499999942</v>
      </c>
      <c r="C314">
        <v>0.24609565734863281</v>
      </c>
      <c r="D314">
        <v>0.36718125000000157</v>
      </c>
      <c r="E314">
        <v>9.7908381011562184E-2</v>
      </c>
      <c r="F314">
        <v>70</v>
      </c>
      <c r="G314">
        <v>8.3840624999993452E-2</v>
      </c>
      <c r="H314">
        <v>0.31038750000000448</v>
      </c>
    </row>
    <row r="315" spans="1:8" x14ac:dyDescent="0.35">
      <c r="A315" t="s">
        <v>296</v>
      </c>
      <c r="B315">
        <v>0.13145937500000038</v>
      </c>
      <c r="C315">
        <v>0.26171493530274148</v>
      </c>
      <c r="D315">
        <v>0.31807500000001099</v>
      </c>
      <c r="E315">
        <v>7.0584461857454706E-2</v>
      </c>
      <c r="F315">
        <v>85</v>
      </c>
      <c r="G315">
        <v>7.4665624999994407E-2</v>
      </c>
      <c r="H315">
        <v>0.26128124999999613</v>
      </c>
    </row>
    <row r="316" spans="1:8" x14ac:dyDescent="0.35">
      <c r="A316" t="s">
        <v>296</v>
      </c>
      <c r="B316">
        <v>-3.90625E-2</v>
      </c>
      <c r="C316">
        <v>0.18945693969726563</v>
      </c>
      <c r="D316">
        <v>0.25691249999999499</v>
      </c>
      <c r="E316">
        <v>0.16755955641761577</v>
      </c>
      <c r="F316">
        <v>25</v>
      </c>
      <c r="G316">
        <v>-9.5856250000005971E-2</v>
      </c>
      <c r="H316">
        <v>-0.22894062500000256</v>
      </c>
    </row>
    <row r="317" spans="1:8" x14ac:dyDescent="0.35">
      <c r="A317" t="s">
        <v>298</v>
      </c>
      <c r="B317">
        <v>-0.11778749999999505</v>
      </c>
      <c r="C317">
        <v>0.42577934265136008</v>
      </c>
      <c r="D317">
        <v>-0.38346875000000002</v>
      </c>
      <c r="E317">
        <v>9.1096830696528741E-2</v>
      </c>
      <c r="F317">
        <v>25</v>
      </c>
      <c r="G317">
        <v>0</v>
      </c>
      <c r="H317">
        <v>-0.26568125000000498</v>
      </c>
    </row>
    <row r="318" spans="1:8" x14ac:dyDescent="0.35">
      <c r="A318" t="s">
        <v>298</v>
      </c>
      <c r="B318">
        <v>3.7981125000000033</v>
      </c>
      <c r="C318">
        <v>-54.580078125</v>
      </c>
      <c r="D318">
        <v>-49.99560000000001</v>
      </c>
      <c r="E318">
        <v>21.107955093174446</v>
      </c>
      <c r="F318">
        <v>-20</v>
      </c>
      <c r="G318">
        <v>3.9158999999999993</v>
      </c>
      <c r="H318">
        <v>-49.877812500000012</v>
      </c>
    </row>
    <row r="319" spans="1:8" x14ac:dyDescent="0.35">
      <c r="A319" t="s">
        <v>298</v>
      </c>
      <c r="B319">
        <v>1.088859375000002</v>
      </c>
      <c r="C319">
        <v>-0.39257812500000705</v>
      </c>
      <c r="D319">
        <v>1.1500468750000015</v>
      </c>
      <c r="E319">
        <v>0.1085747357560507</v>
      </c>
      <c r="F319">
        <v>0</v>
      </c>
      <c r="G319">
        <v>1.206646874999997</v>
      </c>
      <c r="H319">
        <v>1.2678343749999965</v>
      </c>
    </row>
    <row r="320" spans="1:8" x14ac:dyDescent="0.35">
      <c r="A320" t="s">
        <v>298</v>
      </c>
      <c r="B320">
        <v>0.20092187500000414</v>
      </c>
      <c r="C320">
        <v>0.14062690734863992</v>
      </c>
      <c r="D320">
        <v>0.3518125000000083</v>
      </c>
      <c r="E320">
        <v>0.13534122438059626</v>
      </c>
      <c r="F320">
        <v>10</v>
      </c>
      <c r="G320">
        <v>0.31870937499999918</v>
      </c>
      <c r="H320">
        <v>0.46960000000000335</v>
      </c>
    </row>
    <row r="321" spans="1:8" x14ac:dyDescent="0.35">
      <c r="A321" t="s">
        <v>298</v>
      </c>
      <c r="B321">
        <v>-0.31327500000000619</v>
      </c>
      <c r="C321">
        <v>0.59766006469725852</v>
      </c>
      <c r="D321">
        <v>-0.58318437500000098</v>
      </c>
      <c r="E321">
        <v>0.10655146582834174</v>
      </c>
      <c r="F321">
        <v>25</v>
      </c>
      <c r="G321">
        <v>-0.19548750000001114</v>
      </c>
      <c r="H321">
        <v>-0.46539687500000593</v>
      </c>
    </row>
    <row r="322" spans="1:8" x14ac:dyDescent="0.35">
      <c r="A322" t="s">
        <v>298</v>
      </c>
      <c r="B322">
        <v>0.14762812500000777</v>
      </c>
      <c r="C322">
        <v>0.17383003234863637</v>
      </c>
      <c r="D322">
        <v>0.36563125000000696</v>
      </c>
      <c r="E322">
        <v>8.0888387358974967E-2</v>
      </c>
      <c r="F322">
        <v>50</v>
      </c>
      <c r="G322">
        <v>0.26541562500000282</v>
      </c>
      <c r="H322">
        <v>0.48341875000000201</v>
      </c>
    </row>
    <row r="323" spans="1:8" x14ac:dyDescent="0.35">
      <c r="A323" t="s">
        <v>298</v>
      </c>
      <c r="B323">
        <v>0.84957500000000685</v>
      </c>
      <c r="C323">
        <v>-0.50195503234863992</v>
      </c>
      <c r="D323">
        <v>1.3903187500000036</v>
      </c>
      <c r="E323">
        <v>0.16568046232189104</v>
      </c>
      <c r="F323">
        <v>70</v>
      </c>
      <c r="G323">
        <v>0.9673625000000019</v>
      </c>
      <c r="H323">
        <v>1.5081062499999986</v>
      </c>
    </row>
    <row r="324" spans="1:8" x14ac:dyDescent="0.35">
      <c r="A324" t="s">
        <v>298</v>
      </c>
      <c r="B324">
        <v>1.5077593749999973</v>
      </c>
      <c r="C324">
        <v>-0.97460937499999289</v>
      </c>
      <c r="D324">
        <v>2.1887374999999998</v>
      </c>
      <c r="E324">
        <v>0.1391836506700761</v>
      </c>
      <c r="F324">
        <v>85</v>
      </c>
      <c r="G324">
        <v>1.6255468749999924</v>
      </c>
      <c r="H324">
        <v>2.3065249999999948</v>
      </c>
    </row>
    <row r="325" spans="1:8" x14ac:dyDescent="0.35">
      <c r="A325" t="s">
        <v>298</v>
      </c>
      <c r="B325">
        <v>-0.22015937499999971</v>
      </c>
      <c r="C325">
        <v>0.56640243530273082</v>
      </c>
      <c r="D325">
        <v>-0.51331562500000372</v>
      </c>
      <c r="E325">
        <v>7.2361464980024159E-2</v>
      </c>
      <c r="F325">
        <v>25</v>
      </c>
      <c r="G325">
        <v>-0.10237187500000466</v>
      </c>
      <c r="H325">
        <v>-0.39552812500000867</v>
      </c>
    </row>
    <row r="326" spans="1:8" x14ac:dyDescent="0.35">
      <c r="A326" t="s">
        <v>300</v>
      </c>
      <c r="B326">
        <v>2.9043749999999591E-2</v>
      </c>
      <c r="C326">
        <v>0.13476181030274148</v>
      </c>
      <c r="D326">
        <v>0.23706875000000238</v>
      </c>
      <c r="E326">
        <v>9.3019508860736622E-2</v>
      </c>
      <c r="F326">
        <v>25</v>
      </c>
      <c r="G326">
        <v>0</v>
      </c>
      <c r="H326">
        <v>0.20802500000000279</v>
      </c>
    </row>
    <row r="327" spans="1:8" x14ac:dyDescent="0.35">
      <c r="A327" t="s">
        <v>300</v>
      </c>
      <c r="B327">
        <v>0.42006250000000023</v>
      </c>
      <c r="C327">
        <v>6.0548782348632813E-2</v>
      </c>
      <c r="D327">
        <v>0.519578125000002</v>
      </c>
      <c r="E327">
        <v>6.841009471287407E-2</v>
      </c>
      <c r="F327">
        <v>-20</v>
      </c>
      <c r="G327">
        <v>0.39101875000000064</v>
      </c>
      <c r="H327">
        <v>0.49053437500000241</v>
      </c>
    </row>
    <row r="328" spans="1:8" x14ac:dyDescent="0.35">
      <c r="A328" t="s">
        <v>300</v>
      </c>
      <c r="B328">
        <v>0.1799093750000047</v>
      </c>
      <c r="C328">
        <v>-9.3746185302734375E-2</v>
      </c>
      <c r="D328">
        <v>0.4113718749999995</v>
      </c>
      <c r="E328">
        <v>0.16835423397801641</v>
      </c>
      <c r="F328">
        <v>0</v>
      </c>
      <c r="G328">
        <v>0.15086562500000511</v>
      </c>
      <c r="H328">
        <v>0.38232812499999991</v>
      </c>
    </row>
    <row r="329" spans="1:8" x14ac:dyDescent="0.35">
      <c r="A329" t="s">
        <v>300</v>
      </c>
      <c r="B329">
        <v>0.12780312500000335</v>
      </c>
      <c r="C329">
        <v>9.7637176513742929E-3</v>
      </c>
      <c r="D329">
        <v>0.34595625000001462</v>
      </c>
      <c r="E329">
        <v>0.10479510087433529</v>
      </c>
      <c r="F329">
        <v>10</v>
      </c>
      <c r="G329">
        <v>9.8759375000003757E-2</v>
      </c>
      <c r="H329">
        <v>0.31691250000001503</v>
      </c>
    </row>
    <row r="330" spans="1:8" x14ac:dyDescent="0.35">
      <c r="A330" t="s">
        <v>300</v>
      </c>
      <c r="B330">
        <v>0.16695000000000348</v>
      </c>
      <c r="C330">
        <v>0.17969131469726563</v>
      </c>
      <c r="D330">
        <v>0.41426250000000664</v>
      </c>
      <c r="E330">
        <v>0.1392540517336327</v>
      </c>
      <c r="F330">
        <v>25</v>
      </c>
      <c r="G330">
        <v>0.13790625000000389</v>
      </c>
      <c r="H330">
        <v>0.38521875000000705</v>
      </c>
    </row>
    <row r="331" spans="1:8" x14ac:dyDescent="0.35">
      <c r="A331" t="s">
        <v>300</v>
      </c>
      <c r="B331">
        <v>0.18308437499999997</v>
      </c>
      <c r="C331">
        <v>0.31444931030273793</v>
      </c>
      <c r="D331">
        <v>0.43793749999998965</v>
      </c>
      <c r="E331">
        <v>9.5792662184344124E-2</v>
      </c>
      <c r="F331">
        <v>50</v>
      </c>
      <c r="G331">
        <v>0.15404062500000038</v>
      </c>
      <c r="H331">
        <v>0.40889374999999006</v>
      </c>
    </row>
    <row r="332" spans="1:8" x14ac:dyDescent="0.35">
      <c r="A332" t="s">
        <v>300</v>
      </c>
      <c r="B332">
        <v>0.21896874999999483</v>
      </c>
      <c r="C332">
        <v>0.30859565734862926</v>
      </c>
      <c r="D332">
        <v>0.44107187500001643</v>
      </c>
      <c r="E332">
        <v>7.3635563606870846E-2</v>
      </c>
      <c r="F332">
        <v>70</v>
      </c>
      <c r="G332">
        <v>0.18992499999999524</v>
      </c>
      <c r="H332">
        <v>0.41202812500001684</v>
      </c>
    </row>
    <row r="333" spans="1:8" x14ac:dyDescent="0.35">
      <c r="A333" t="s">
        <v>300</v>
      </c>
      <c r="B333">
        <v>0.30869374999999977</v>
      </c>
      <c r="C333">
        <v>0.28125381469726207</v>
      </c>
      <c r="D333">
        <v>0.52819999999998757</v>
      </c>
      <c r="E333">
        <v>7.8233441621669009E-2</v>
      </c>
      <c r="F333">
        <v>85</v>
      </c>
      <c r="G333">
        <v>0.27965000000000018</v>
      </c>
      <c r="H333">
        <v>0.49915624999998798</v>
      </c>
    </row>
    <row r="334" spans="1:8" x14ac:dyDescent="0.35">
      <c r="A334" t="s">
        <v>300</v>
      </c>
      <c r="B334">
        <v>-6.6187499999958987E-3</v>
      </c>
      <c r="C334">
        <v>0.28124809265136719</v>
      </c>
      <c r="D334">
        <v>0.25125312499998387</v>
      </c>
      <c r="E334">
        <v>9.7128144354190482E-2</v>
      </c>
      <c r="F334">
        <v>25</v>
      </c>
      <c r="G334">
        <v>-3.5662499999995489E-2</v>
      </c>
      <c r="H334">
        <v>0.22220937499998428</v>
      </c>
    </row>
    <row r="335" spans="1:8" x14ac:dyDescent="0.35">
      <c r="A335" t="s">
        <v>302</v>
      </c>
      <c r="B335">
        <v>5.9468750000046811E-3</v>
      </c>
      <c r="C335">
        <v>-100.00000190734863</v>
      </c>
      <c r="D335">
        <v>50.008596875000002</v>
      </c>
      <c r="E335">
        <v>0</v>
      </c>
      <c r="F335">
        <v>25</v>
      </c>
      <c r="G335">
        <v>0</v>
      </c>
      <c r="H335">
        <v>50.002650000000003</v>
      </c>
    </row>
    <row r="336" spans="1:8" x14ac:dyDescent="0.35">
      <c r="A336" t="s">
        <v>302</v>
      </c>
      <c r="B336">
        <v>2.9646874999995632E-2</v>
      </c>
      <c r="C336">
        <v>-100.00000190734863</v>
      </c>
      <c r="D336">
        <v>50.002046875000005</v>
      </c>
      <c r="E336">
        <v>0</v>
      </c>
      <c r="F336">
        <v>-20</v>
      </c>
      <c r="G336">
        <v>2.3699999999990951E-2</v>
      </c>
      <c r="H336">
        <v>-50.001649999999991</v>
      </c>
    </row>
    <row r="337" spans="1:8" x14ac:dyDescent="0.35">
      <c r="A337" t="s">
        <v>302</v>
      </c>
      <c r="B337">
        <v>1.5496875000007293E-2</v>
      </c>
      <c r="C337">
        <v>-100.00000190734863</v>
      </c>
      <c r="D337">
        <v>-49.988753125000002</v>
      </c>
      <c r="E337">
        <v>0</v>
      </c>
      <c r="F337">
        <v>0</v>
      </c>
      <c r="G337">
        <v>9.550000000002612E-3</v>
      </c>
      <c r="H337">
        <v>-49.994700000000009</v>
      </c>
    </row>
    <row r="338" spans="1:8" x14ac:dyDescent="0.35">
      <c r="A338" t="s">
        <v>302</v>
      </c>
      <c r="B338">
        <v>-2.5531249999932726E-3</v>
      </c>
      <c r="C338">
        <v>-100.00000190734863</v>
      </c>
      <c r="D338">
        <v>50.006046874999996</v>
      </c>
      <c r="E338">
        <v>0</v>
      </c>
      <c r="F338">
        <v>10</v>
      </c>
      <c r="G338">
        <v>-8.4999999999979536E-3</v>
      </c>
      <c r="H338">
        <v>50.000099999999996</v>
      </c>
    </row>
    <row r="339" spans="1:8" x14ac:dyDescent="0.35">
      <c r="A339" t="s">
        <v>302</v>
      </c>
      <c r="B339">
        <v>3.3468750000054115E-3</v>
      </c>
      <c r="C339">
        <v>-100.00000190734863</v>
      </c>
      <c r="D339">
        <v>-50.002703125000025</v>
      </c>
      <c r="E339">
        <v>0</v>
      </c>
      <c r="F339">
        <v>25</v>
      </c>
      <c r="G339">
        <v>-2.5999999999992696E-3</v>
      </c>
      <c r="H339">
        <v>-50.008650000000031</v>
      </c>
    </row>
    <row r="340" spans="1:8" x14ac:dyDescent="0.35">
      <c r="A340" t="s">
        <v>302</v>
      </c>
      <c r="B340">
        <v>4.2468749999979849E-3</v>
      </c>
      <c r="C340">
        <v>-100.00000190734863</v>
      </c>
      <c r="D340">
        <v>-50.00355312500001</v>
      </c>
      <c r="E340">
        <v>0</v>
      </c>
      <c r="F340">
        <v>50</v>
      </c>
      <c r="G340">
        <v>-1.7000000000066962E-3</v>
      </c>
      <c r="H340">
        <v>-50.009500000000017</v>
      </c>
    </row>
    <row r="341" spans="1:8" x14ac:dyDescent="0.35">
      <c r="A341" t="s">
        <v>302</v>
      </c>
      <c r="B341">
        <v>1.7546875000000739E-2</v>
      </c>
      <c r="C341">
        <v>-100.00000190734863</v>
      </c>
      <c r="D341">
        <v>-50.006453125000007</v>
      </c>
      <c r="E341">
        <v>0</v>
      </c>
      <c r="F341">
        <v>70</v>
      </c>
      <c r="G341">
        <v>1.1599999999996058E-2</v>
      </c>
      <c r="H341">
        <v>-50.012400000000007</v>
      </c>
    </row>
    <row r="342" spans="1:8" x14ac:dyDescent="0.35">
      <c r="A342" t="s">
        <v>302</v>
      </c>
      <c r="B342">
        <v>-5.0531249999963279E-3</v>
      </c>
      <c r="C342">
        <v>-100.00000190734863</v>
      </c>
      <c r="D342">
        <v>-50.004303124999993</v>
      </c>
      <c r="E342">
        <v>0</v>
      </c>
      <c r="F342">
        <v>85</v>
      </c>
      <c r="G342">
        <v>-1.1000000000001009E-2</v>
      </c>
      <c r="H342">
        <v>-50.010249999999999</v>
      </c>
    </row>
    <row r="343" spans="1:8" x14ac:dyDescent="0.35">
      <c r="A343" t="s">
        <v>302</v>
      </c>
      <c r="B343">
        <v>2.6968750000033737E-3</v>
      </c>
      <c r="C343">
        <v>-100.00000190734863</v>
      </c>
      <c r="D343">
        <v>50.006146875000006</v>
      </c>
      <c r="E343">
        <v>0</v>
      </c>
      <c r="F343">
        <v>25</v>
      </c>
      <c r="G343">
        <v>-3.2500000000013074E-3</v>
      </c>
      <c r="H343">
        <v>-50.011800000000015</v>
      </c>
    </row>
    <row r="344" spans="1:8" x14ac:dyDescent="0.35">
      <c r="A344" t="s">
        <v>304</v>
      </c>
      <c r="B344">
        <v>-0.11330625000000261</v>
      </c>
      <c r="C344">
        <v>0.16797256469725852</v>
      </c>
      <c r="D344">
        <v>50.013199999999998</v>
      </c>
      <c r="E344">
        <v>0.14734317959013588</v>
      </c>
      <c r="F344">
        <v>25</v>
      </c>
      <c r="G344">
        <v>0</v>
      </c>
      <c r="H344">
        <v>50.126506250000013</v>
      </c>
    </row>
    <row r="345" spans="1:8" x14ac:dyDescent="0.35">
      <c r="A345" t="s">
        <v>304</v>
      </c>
      <c r="B345">
        <v>2.1493750000001199E-2</v>
      </c>
      <c r="C345">
        <v>0.13672256469726918</v>
      </c>
      <c r="D345">
        <v>0.27152812499998902</v>
      </c>
      <c r="E345">
        <v>0.16884906114122966</v>
      </c>
      <c r="F345">
        <v>-20</v>
      </c>
      <c r="G345">
        <v>0.13480000000000381</v>
      </c>
      <c r="H345">
        <v>0.38483437500000051</v>
      </c>
    </row>
    <row r="346" spans="1:8" x14ac:dyDescent="0.35">
      <c r="A346" t="s">
        <v>304</v>
      </c>
      <c r="B346">
        <v>0.18271874999999937</v>
      </c>
      <c r="C346">
        <v>-0.13281631469727273</v>
      </c>
      <c r="D346">
        <v>0.38469374999999806</v>
      </c>
      <c r="E346">
        <v>0.12369381091141385</v>
      </c>
      <c r="F346">
        <v>0</v>
      </c>
      <c r="G346">
        <v>0.29602500000000198</v>
      </c>
      <c r="H346">
        <v>0.49800000000000066</v>
      </c>
    </row>
    <row r="347" spans="1:8" x14ac:dyDescent="0.35">
      <c r="A347" t="s">
        <v>304</v>
      </c>
      <c r="B347">
        <v>1.8328125000000028E-2</v>
      </c>
      <c r="C347">
        <v>-0.17968940734863992</v>
      </c>
      <c r="D347">
        <v>0.40709062500000393</v>
      </c>
      <c r="E347">
        <v>0.16936785397422049</v>
      </c>
      <c r="F347">
        <v>10</v>
      </c>
      <c r="G347">
        <v>0.13163437500000263</v>
      </c>
      <c r="H347">
        <v>0.52039687500000653</v>
      </c>
    </row>
    <row r="348" spans="1:8" x14ac:dyDescent="0.35">
      <c r="A348" t="s">
        <v>304</v>
      </c>
      <c r="B348">
        <v>6.5203125000001805E-2</v>
      </c>
      <c r="C348">
        <v>7.8144073486363652E-3</v>
      </c>
      <c r="D348">
        <v>0.33775000000002109</v>
      </c>
      <c r="E348">
        <v>0.16167763296685234</v>
      </c>
      <c r="F348">
        <v>25</v>
      </c>
      <c r="G348">
        <v>0.17850937500000441</v>
      </c>
      <c r="H348">
        <v>0.45105625000001481</v>
      </c>
    </row>
    <row r="349" spans="1:8" x14ac:dyDescent="0.35">
      <c r="A349" t="s">
        <v>304</v>
      </c>
      <c r="B349">
        <v>6.2949999999997175E-2</v>
      </c>
      <c r="C349">
        <v>0.16406249999999289</v>
      </c>
      <c r="D349">
        <v>0.19216249999999491</v>
      </c>
      <c r="E349">
        <v>0.12727114507510962</v>
      </c>
      <c r="F349">
        <v>50</v>
      </c>
      <c r="G349">
        <v>0.17625624999999978</v>
      </c>
      <c r="H349">
        <v>0.30546874999998863</v>
      </c>
    </row>
    <row r="350" spans="1:8" x14ac:dyDescent="0.35">
      <c r="A350" t="s">
        <v>304</v>
      </c>
      <c r="B350">
        <v>-6.2228124999998968E-2</v>
      </c>
      <c r="C350">
        <v>0.32031440734863637</v>
      </c>
      <c r="D350">
        <v>-0.21789062499999901</v>
      </c>
      <c r="E350">
        <v>5.9299686896778787E-2</v>
      </c>
      <c r="F350">
        <v>70</v>
      </c>
      <c r="G350">
        <v>5.1078125000003638E-2</v>
      </c>
      <c r="H350">
        <v>0.24436250000000825</v>
      </c>
    </row>
    <row r="351" spans="1:8" x14ac:dyDescent="0.35">
      <c r="A351" t="s">
        <v>304</v>
      </c>
      <c r="B351">
        <v>-0.1254531250000035</v>
      </c>
      <c r="C351">
        <v>0.39258003234863281</v>
      </c>
      <c r="D351">
        <v>-0.33424062499999962</v>
      </c>
      <c r="E351">
        <v>6.1695264403387469E-2</v>
      </c>
      <c r="F351">
        <v>85</v>
      </c>
      <c r="G351">
        <v>-1.214687500000089E-2</v>
      </c>
      <c r="H351">
        <v>-0.22093437499999702</v>
      </c>
    </row>
    <row r="352" spans="1:8" x14ac:dyDescent="0.35">
      <c r="A352" t="s">
        <v>304</v>
      </c>
      <c r="B352">
        <v>-0.16581562499999869</v>
      </c>
      <c r="C352">
        <v>5.078506469725852E-2</v>
      </c>
      <c r="D352">
        <v>-0.22525312500000894</v>
      </c>
      <c r="E352">
        <v>0.12263384360977625</v>
      </c>
      <c r="F352">
        <v>25</v>
      </c>
      <c r="G352">
        <v>-5.2509374999996083E-2</v>
      </c>
      <c r="H352">
        <v>0.205649999999995</v>
      </c>
    </row>
    <row r="353" spans="1:8" x14ac:dyDescent="0.35">
      <c r="A353" t="s">
        <v>306</v>
      </c>
      <c r="B353">
        <v>1.7696875000003942E-2</v>
      </c>
      <c r="C353">
        <v>-100.00000190734863</v>
      </c>
      <c r="D353">
        <v>50.010896875</v>
      </c>
      <c r="E353">
        <v>0</v>
      </c>
      <c r="F353">
        <v>25</v>
      </c>
      <c r="G353">
        <v>0</v>
      </c>
      <c r="H353">
        <v>-50.019750000000016</v>
      </c>
    </row>
    <row r="354" spans="1:8" x14ac:dyDescent="0.35">
      <c r="A354" t="s">
        <v>306</v>
      </c>
      <c r="B354">
        <v>1.4796874999998266E-2</v>
      </c>
      <c r="C354">
        <v>-100.00000190734863</v>
      </c>
      <c r="D354">
        <v>50.002946875000006</v>
      </c>
      <c r="E354">
        <v>0</v>
      </c>
      <c r="F354">
        <v>-20</v>
      </c>
      <c r="G354">
        <v>-2.9000000000056758E-3</v>
      </c>
      <c r="H354">
        <v>-50.019000000000013</v>
      </c>
    </row>
    <row r="355" spans="1:8" x14ac:dyDescent="0.35">
      <c r="A355" t="s">
        <v>306</v>
      </c>
      <c r="B355">
        <v>1.0996875000000017E-2</v>
      </c>
      <c r="C355">
        <v>-100.00000190734863</v>
      </c>
      <c r="D355">
        <v>50.011646875000004</v>
      </c>
      <c r="E355">
        <v>0</v>
      </c>
      <c r="F355">
        <v>0</v>
      </c>
      <c r="G355">
        <v>-6.700000000003925E-3</v>
      </c>
      <c r="H355">
        <v>-50.010600000000004</v>
      </c>
    </row>
    <row r="356" spans="1:8" x14ac:dyDescent="0.35">
      <c r="A356" t="s">
        <v>306</v>
      </c>
      <c r="B356">
        <v>3.1968750000022084E-3</v>
      </c>
      <c r="C356">
        <v>-100.00000190734863</v>
      </c>
      <c r="D356">
        <v>50.004696874999993</v>
      </c>
      <c r="E356">
        <v>0</v>
      </c>
      <c r="F356">
        <v>10</v>
      </c>
      <c r="G356">
        <v>-1.4500000000001734E-2</v>
      </c>
      <c r="H356">
        <v>-49.989849999999997</v>
      </c>
    </row>
    <row r="357" spans="1:8" x14ac:dyDescent="0.35">
      <c r="A357" t="s">
        <v>306</v>
      </c>
      <c r="B357">
        <v>4.6875000005996981E-5</v>
      </c>
      <c r="C357">
        <v>-100.00000190734863</v>
      </c>
      <c r="D357">
        <v>-50.011703124999983</v>
      </c>
      <c r="E357">
        <v>0</v>
      </c>
      <c r="F357">
        <v>25</v>
      </c>
      <c r="G357">
        <v>-1.7649999999997945E-2</v>
      </c>
      <c r="H357">
        <v>-50.029399999999988</v>
      </c>
    </row>
    <row r="358" spans="1:8" x14ac:dyDescent="0.35">
      <c r="A358" t="s">
        <v>306</v>
      </c>
      <c r="B358">
        <v>-4.7531249999988034E-3</v>
      </c>
      <c r="C358">
        <v>-100.00000190734863</v>
      </c>
      <c r="D358">
        <v>-50.004103124999986</v>
      </c>
      <c r="E358">
        <v>0</v>
      </c>
      <c r="F358">
        <v>50</v>
      </c>
      <c r="G358">
        <v>-2.2450000000002746E-2</v>
      </c>
      <c r="H358">
        <v>-50.021799999999992</v>
      </c>
    </row>
    <row r="359" spans="1:8" x14ac:dyDescent="0.35">
      <c r="A359" t="s">
        <v>306</v>
      </c>
      <c r="B359">
        <v>1.3696875000004383E-2</v>
      </c>
      <c r="C359">
        <v>-100.00000190734863</v>
      </c>
      <c r="D359">
        <v>49.995896875000007</v>
      </c>
      <c r="E359">
        <v>0</v>
      </c>
      <c r="F359">
        <v>70</v>
      </c>
      <c r="G359">
        <v>-3.9999999999995595E-3</v>
      </c>
      <c r="H359">
        <v>-50.011200000000002</v>
      </c>
    </row>
    <row r="360" spans="1:8" x14ac:dyDescent="0.35">
      <c r="A360" t="s">
        <v>306</v>
      </c>
      <c r="B360">
        <v>3.8968750000023533E-3</v>
      </c>
      <c r="C360">
        <v>-100.00000190734863</v>
      </c>
      <c r="D360">
        <v>-50.006453125000007</v>
      </c>
      <c r="E360">
        <v>0</v>
      </c>
      <c r="F360">
        <v>85</v>
      </c>
      <c r="G360">
        <v>-1.3800000000001589E-2</v>
      </c>
      <c r="H360">
        <v>-50.024150000000006</v>
      </c>
    </row>
    <row r="361" spans="1:8" x14ac:dyDescent="0.35">
      <c r="A361" t="s">
        <v>306</v>
      </c>
      <c r="B361">
        <v>-2.4531249999970584E-3</v>
      </c>
      <c r="C361">
        <v>-100.00000190734863</v>
      </c>
      <c r="D361">
        <v>50.009696874999996</v>
      </c>
      <c r="E361">
        <v>0</v>
      </c>
      <c r="F361">
        <v>25</v>
      </c>
      <c r="G361">
        <v>-2.0150000000001E-2</v>
      </c>
      <c r="H361">
        <v>-50.02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96EE0-6A95-4C9C-A4B1-870F8F2623AB}">
  <sheetPr codeName="Sheet6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15CB4-869F-409C-BDAE-48849F3E421A}">
  <sheetPr codeName="Sheet7"/>
  <dimension ref="A1"/>
  <sheetViews>
    <sheetView topLeftCell="A10" workbookViewId="0"/>
  </sheetViews>
  <sheetFormatPr defaultRowHeight="14.5" x14ac:dyDescent="0.35"/>
  <sheetData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d546e5e1-5d42-4630-bacd-c69bfdcbd5e8}" enabled="1" method="Standard" siteId="{96ece526-9c7d-48b0-8daf-8b93c90a5d1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ScratchPad</vt:lpstr>
      <vt:lpstr>Summary</vt:lpstr>
      <vt:lpstr>Data</vt:lpstr>
      <vt:lpstr>Stacked Data</vt:lpstr>
      <vt:lpstr>SOSummary</vt:lpstr>
      <vt:lpstr>Revision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Badagi, Sunil (He/Him/His)</dc:creator>
  <cp:lastModifiedBy>Badagi, Sunil (He/Him/His)</cp:lastModifiedBy>
  <dcterms:created xsi:type="dcterms:W3CDTF">2026-08-28T05:27:18Z</dcterms:created>
  <dcterms:modified xsi:type="dcterms:W3CDTF">2026-09-07T17:33:15Z</dcterms:modified>
</cp:coreProperties>
</file>